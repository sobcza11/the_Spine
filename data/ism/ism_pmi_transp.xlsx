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and Sobczak Jr\_rts\_Trading\_Master_review\_Important_metrics\data\tab_scrape\data_trad_econ\"/>
    </mc:Choice>
  </mc:AlternateContent>
  <xr:revisionPtr revIDLastSave="0" documentId="13_ncr:1_{67F0D4BA-2AC5-4D62-A736-62B9017B9B8E}" xr6:coauthVersionLast="47" xr6:coauthVersionMax="47" xr10:uidLastSave="{00000000-0000-0000-0000-000000000000}"/>
  <bookViews>
    <workbookView xWindow="-120" yWindow="-120" windowWidth="29040" windowHeight="15720" tabRatio="846" xr2:uid="{E67FED67-470C-460F-B775-4BE7E5A1F3CE}"/>
  </bookViews>
  <sheets>
    <sheet name="ISM Manu" sheetId="13" r:id="rId1"/>
    <sheet name="industry notes" sheetId="11" r:id="rId2"/>
    <sheet name="manu_pmi" sheetId="1" r:id="rId3"/>
    <sheet name="manu_rank" sheetId="2" r:id="rId4"/>
    <sheet name="manu_rank_pct" sheetId="8" r:id="rId5"/>
    <sheet name="manu_no" sheetId="3" r:id="rId6"/>
    <sheet name="ISM Non-Manu" sheetId="12" r:id="rId7"/>
    <sheet name="serv_pmi" sheetId="4" r:id="rId8"/>
    <sheet name="serv_rank" sheetId="5" r:id="rId9"/>
    <sheet name="serv_rank_pct" sheetId="9" r:id="rId10"/>
    <sheet name="serv_no" sheetId="7" r:id="rId11"/>
    <sheet name="QUAL" sheetId="10" r:id="rId12"/>
    <sheet name="serv_biz_act" sheetId="6" r:id="rId13"/>
  </sheets>
  <definedNames>
    <definedName name="_xlnm._FilterDatabase" localSheetId="0" hidden="1">'ISM Manu'!$B$5:$H$5</definedName>
    <definedName name="_xlnm._FilterDatabase" localSheetId="6" hidden="1">'ISM Non-Manu'!$B$5:$H$5</definedName>
    <definedName name="_xlnm._FilterDatabase" localSheetId="11" hidden="1">QUAL!$B$2:$F$257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1" i="9" l="1"/>
  <c r="C71" i="9"/>
  <c r="D71" i="9"/>
  <c r="E71" i="9"/>
  <c r="F71" i="9"/>
  <c r="G71" i="9"/>
  <c r="H71" i="9"/>
  <c r="I71" i="9"/>
  <c r="J71" i="9"/>
  <c r="K71" i="9"/>
  <c r="L71" i="9"/>
  <c r="M71" i="9"/>
  <c r="N71" i="9"/>
  <c r="O71" i="9"/>
  <c r="P71" i="9"/>
  <c r="Q71" i="9"/>
  <c r="R71" i="9"/>
  <c r="S71" i="9"/>
  <c r="CE64" i="12"/>
  <c r="CE26" i="12"/>
  <c r="CE27" i="12"/>
  <c r="CE28" i="12"/>
  <c r="CE29" i="12"/>
  <c r="CE30" i="12"/>
  <c r="CE31" i="12"/>
  <c r="CE32" i="12"/>
  <c r="CE33" i="12"/>
  <c r="CE34" i="12"/>
  <c r="CE35" i="12"/>
  <c r="CE36" i="12"/>
  <c r="CE37" i="12"/>
  <c r="CE38" i="12"/>
  <c r="CE39" i="12"/>
  <c r="CE40" i="12"/>
  <c r="CE41" i="12"/>
  <c r="CE42" i="12"/>
  <c r="CE43" i="12"/>
  <c r="CE6" i="12"/>
  <c r="B71" i="8"/>
  <c r="C71" i="8"/>
  <c r="D71" i="8"/>
  <c r="E71" i="8"/>
  <c r="F71" i="8"/>
  <c r="G71" i="8"/>
  <c r="H71" i="8"/>
  <c r="I71" i="8"/>
  <c r="J71" i="8"/>
  <c r="K71" i="8"/>
  <c r="L71" i="8"/>
  <c r="M71" i="8"/>
  <c r="N71" i="8"/>
  <c r="O71" i="8"/>
  <c r="P71" i="8"/>
  <c r="Q71" i="8"/>
  <c r="R71" i="8"/>
  <c r="S71" i="8"/>
  <c r="CE26" i="13"/>
  <c r="CE27" i="13"/>
  <c r="CE28" i="13"/>
  <c r="CE29" i="13"/>
  <c r="CE30" i="13"/>
  <c r="CE31" i="13"/>
  <c r="CE32" i="13"/>
  <c r="CE33" i="13"/>
  <c r="CE34" i="13"/>
  <c r="CE35" i="13"/>
  <c r="CE36" i="13"/>
  <c r="CE37" i="13"/>
  <c r="CE38" i="13"/>
  <c r="CE39" i="13"/>
  <c r="CE40" i="13"/>
  <c r="CE41" i="13"/>
  <c r="CE42" i="13"/>
  <c r="CE43" i="13"/>
  <c r="CE6" i="13"/>
  <c r="B70" i="9"/>
  <c r="C70" i="9"/>
  <c r="D70" i="9"/>
  <c r="E70" i="9"/>
  <c r="F70" i="9"/>
  <c r="G70" i="9"/>
  <c r="H70" i="9"/>
  <c r="I70" i="9"/>
  <c r="J70" i="9"/>
  <c r="K70" i="9"/>
  <c r="L70" i="9"/>
  <c r="M70" i="9"/>
  <c r="N70" i="9"/>
  <c r="O70" i="9"/>
  <c r="P70" i="9"/>
  <c r="Q70" i="9"/>
  <c r="R70" i="9"/>
  <c r="S70" i="9"/>
  <c r="CD64" i="12"/>
  <c r="CD6" i="12"/>
  <c r="CD26" i="12"/>
  <c r="CD27" i="12"/>
  <c r="CD28" i="12"/>
  <c r="CD29" i="12"/>
  <c r="CD30" i="12"/>
  <c r="CD31" i="12"/>
  <c r="CD32" i="12"/>
  <c r="CD33" i="12"/>
  <c r="CD34" i="12"/>
  <c r="CD35" i="12"/>
  <c r="CD36" i="12"/>
  <c r="CD37" i="12"/>
  <c r="CD38" i="12"/>
  <c r="CD39" i="12"/>
  <c r="CD40" i="12"/>
  <c r="CD41" i="12"/>
  <c r="CD42" i="12"/>
  <c r="CD43" i="12"/>
  <c r="B70" i="8"/>
  <c r="C70" i="8"/>
  <c r="D70" i="8"/>
  <c r="E70" i="8"/>
  <c r="F70" i="8"/>
  <c r="G70" i="8"/>
  <c r="H70" i="8"/>
  <c r="I70" i="8"/>
  <c r="J70" i="8"/>
  <c r="K70" i="8"/>
  <c r="L70" i="8"/>
  <c r="M70" i="8"/>
  <c r="N70" i="8"/>
  <c r="O70" i="8"/>
  <c r="P70" i="8"/>
  <c r="Q70" i="8"/>
  <c r="R70" i="8"/>
  <c r="S70" i="8"/>
  <c r="CD26" i="13"/>
  <c r="CD27" i="13"/>
  <c r="CD28" i="13"/>
  <c r="CD29" i="13"/>
  <c r="CD30" i="13"/>
  <c r="CD31" i="13"/>
  <c r="CD32" i="13"/>
  <c r="CD33" i="13"/>
  <c r="CD34" i="13"/>
  <c r="CD35" i="13"/>
  <c r="CD36" i="13"/>
  <c r="CD37" i="13"/>
  <c r="CD38" i="13"/>
  <c r="CD39" i="13"/>
  <c r="CD40" i="13"/>
  <c r="CD41" i="13"/>
  <c r="CD42" i="13"/>
  <c r="CD43" i="13"/>
  <c r="CD4" i="13"/>
  <c r="CD6" i="13"/>
  <c r="B69" i="9"/>
  <c r="C69" i="9"/>
  <c r="D69" i="9"/>
  <c r="E69" i="9"/>
  <c r="F69" i="9"/>
  <c r="G69" i="9"/>
  <c r="H69" i="9"/>
  <c r="I69" i="9"/>
  <c r="J69" i="9"/>
  <c r="K69" i="9"/>
  <c r="L69" i="9"/>
  <c r="M69" i="9"/>
  <c r="N69" i="9"/>
  <c r="O69" i="9"/>
  <c r="P69" i="9"/>
  <c r="Q69" i="9"/>
  <c r="R69" i="9"/>
  <c r="S69" i="9"/>
  <c r="CC64" i="12"/>
  <c r="CC43" i="12"/>
  <c r="CC42" i="12"/>
  <c r="CC41" i="12"/>
  <c r="CC40" i="12"/>
  <c r="CC39" i="12"/>
  <c r="CC38" i="12"/>
  <c r="CC37" i="12"/>
  <c r="CC36" i="12"/>
  <c r="CC35" i="12"/>
  <c r="CC34" i="12"/>
  <c r="CC33" i="12"/>
  <c r="CC32" i="12"/>
  <c r="CC31" i="12"/>
  <c r="CC30" i="12"/>
  <c r="CC29" i="12"/>
  <c r="CC28" i="12"/>
  <c r="CC27" i="12"/>
  <c r="CC26" i="12"/>
  <c r="CC6" i="12"/>
  <c r="B69" i="8"/>
  <c r="C69" i="8"/>
  <c r="D69" i="8"/>
  <c r="E69" i="8"/>
  <c r="F69" i="8"/>
  <c r="G69" i="8"/>
  <c r="H69" i="8"/>
  <c r="I69" i="8"/>
  <c r="J69" i="8"/>
  <c r="K69" i="8"/>
  <c r="L69" i="8"/>
  <c r="M69" i="8"/>
  <c r="N69" i="8"/>
  <c r="O69" i="8"/>
  <c r="P69" i="8"/>
  <c r="Q69" i="8"/>
  <c r="R69" i="8"/>
  <c r="S69" i="8"/>
  <c r="CC43" i="13"/>
  <c r="CC42" i="13"/>
  <c r="CC41" i="13"/>
  <c r="CC40" i="13"/>
  <c r="CC39" i="13"/>
  <c r="CC38" i="13"/>
  <c r="CC37" i="13"/>
  <c r="CC36" i="13"/>
  <c r="CC35" i="13"/>
  <c r="CC34" i="13"/>
  <c r="CC33" i="13"/>
  <c r="CC32" i="13"/>
  <c r="CC31" i="13"/>
  <c r="CC30" i="13"/>
  <c r="CC29" i="13"/>
  <c r="CC28" i="13"/>
  <c r="CC27" i="13"/>
  <c r="CC26" i="13"/>
  <c r="CC4" i="13"/>
  <c r="CC6" i="13"/>
  <c r="B68" i="9"/>
  <c r="C68" i="9"/>
  <c r="D68" i="9"/>
  <c r="E68" i="9"/>
  <c r="F68" i="9"/>
  <c r="G68" i="9"/>
  <c r="H68" i="9"/>
  <c r="I68" i="9"/>
  <c r="J68" i="9"/>
  <c r="K68" i="9"/>
  <c r="L68" i="9"/>
  <c r="M68" i="9"/>
  <c r="N68" i="9"/>
  <c r="O68" i="9"/>
  <c r="P68" i="9"/>
  <c r="Q68" i="9"/>
  <c r="R68" i="9"/>
  <c r="S68" i="9"/>
  <c r="CA6" i="12"/>
  <c r="CB64" i="12"/>
  <c r="CB26" i="12"/>
  <c r="CB27" i="12"/>
  <c r="CB28" i="12"/>
  <c r="CB29" i="12"/>
  <c r="CB30" i="12"/>
  <c r="CB31" i="12"/>
  <c r="CB32" i="12"/>
  <c r="CB33" i="12"/>
  <c r="CB34" i="12"/>
  <c r="CB35" i="12"/>
  <c r="CB36" i="12"/>
  <c r="CB37" i="12"/>
  <c r="CB38" i="12"/>
  <c r="CB39" i="12"/>
  <c r="CB40" i="12"/>
  <c r="CB41" i="12"/>
  <c r="CB42" i="12"/>
  <c r="CB43" i="12"/>
  <c r="CB6" i="12"/>
  <c r="B68" i="8"/>
  <c r="C68" i="8"/>
  <c r="D68" i="8"/>
  <c r="E68" i="8"/>
  <c r="F68" i="8"/>
  <c r="G68" i="8"/>
  <c r="H68" i="8"/>
  <c r="I68" i="8"/>
  <c r="J68" i="8"/>
  <c r="K68" i="8"/>
  <c r="L68" i="8"/>
  <c r="M68" i="8"/>
  <c r="N68" i="8"/>
  <c r="O68" i="8"/>
  <c r="P68" i="8"/>
  <c r="Q68" i="8"/>
  <c r="R68" i="8"/>
  <c r="S68" i="8"/>
  <c r="CB26" i="13"/>
  <c r="CB27" i="13"/>
  <c r="CB28" i="13"/>
  <c r="CB29" i="13"/>
  <c r="CB30" i="13"/>
  <c r="CB31" i="13"/>
  <c r="CB32" i="13"/>
  <c r="CB33" i="13"/>
  <c r="CB34" i="13"/>
  <c r="CB35" i="13"/>
  <c r="CB36" i="13"/>
  <c r="CB37" i="13"/>
  <c r="CB38" i="13"/>
  <c r="CB39" i="13"/>
  <c r="CB40" i="13"/>
  <c r="CB41" i="13"/>
  <c r="CB42" i="13"/>
  <c r="CB43" i="13"/>
  <c r="CB6" i="13"/>
  <c r="CB4" i="13"/>
  <c r="B67" i="9"/>
  <c r="C67" i="9"/>
  <c r="D67" i="9"/>
  <c r="E67" i="9"/>
  <c r="F67" i="9"/>
  <c r="G67" i="9"/>
  <c r="H67" i="9"/>
  <c r="I67" i="9"/>
  <c r="J67" i="9"/>
  <c r="K67" i="9"/>
  <c r="L67" i="9"/>
  <c r="M67" i="9"/>
  <c r="N67" i="9"/>
  <c r="O67" i="9"/>
  <c r="P67" i="9"/>
  <c r="Q67" i="9"/>
  <c r="R67" i="9"/>
  <c r="S67" i="9"/>
  <c r="B67" i="8"/>
  <c r="C67" i="8"/>
  <c r="D67" i="8"/>
  <c r="E67" i="8"/>
  <c r="F67" i="8"/>
  <c r="G67" i="8"/>
  <c r="H67" i="8"/>
  <c r="I67" i="8"/>
  <c r="J67" i="8"/>
  <c r="K67" i="8"/>
  <c r="L67" i="8"/>
  <c r="M67" i="8"/>
  <c r="N67" i="8"/>
  <c r="O67" i="8"/>
  <c r="P67" i="8"/>
  <c r="Q67" i="8"/>
  <c r="R67" i="8"/>
  <c r="S67" i="8"/>
  <c r="CA26" i="13"/>
  <c r="CA27" i="13"/>
  <c r="CA28" i="13"/>
  <c r="CA29" i="13"/>
  <c r="CA30" i="13"/>
  <c r="CA31" i="13"/>
  <c r="CA32" i="13"/>
  <c r="CA33" i="13"/>
  <c r="CA34" i="13"/>
  <c r="CA35" i="13"/>
  <c r="CA36" i="13"/>
  <c r="CA37" i="13"/>
  <c r="CA38" i="13"/>
  <c r="CA39" i="13"/>
  <c r="CA40" i="13"/>
  <c r="CA41" i="13"/>
  <c r="CA42" i="13"/>
  <c r="CA43" i="13"/>
  <c r="CA4" i="13"/>
  <c r="CA6" i="13"/>
  <c r="CA26" i="12"/>
  <c r="CA27" i="12"/>
  <c r="CA28" i="12"/>
  <c r="CA29" i="12"/>
  <c r="CA30" i="12"/>
  <c r="CA31" i="12"/>
  <c r="CA32" i="12"/>
  <c r="CA33" i="12"/>
  <c r="CA34" i="12"/>
  <c r="CA35" i="12"/>
  <c r="CA36" i="12"/>
  <c r="CA37" i="12"/>
  <c r="CA38" i="12"/>
  <c r="CA39" i="12"/>
  <c r="CA40" i="12"/>
  <c r="CA41" i="12"/>
  <c r="CA42" i="12"/>
  <c r="CA43" i="12"/>
  <c r="CA64" i="12"/>
  <c r="B66" i="9"/>
  <c r="C66" i="9"/>
  <c r="D66" i="9"/>
  <c r="E66" i="9"/>
  <c r="F66" i="9"/>
  <c r="G66" i="9"/>
  <c r="H66" i="9"/>
  <c r="I66" i="9"/>
  <c r="J66" i="9"/>
  <c r="K66" i="9"/>
  <c r="L66" i="9"/>
  <c r="M66" i="9"/>
  <c r="N66" i="9"/>
  <c r="O66" i="9"/>
  <c r="P66" i="9"/>
  <c r="Q66" i="9"/>
  <c r="R66" i="9"/>
  <c r="S66" i="9"/>
  <c r="BZ26" i="12"/>
  <c r="BZ27" i="12"/>
  <c r="BZ28" i="12"/>
  <c r="BZ29" i="12"/>
  <c r="BZ30" i="12"/>
  <c r="BZ31" i="12"/>
  <c r="BZ32" i="12"/>
  <c r="BZ33" i="12"/>
  <c r="BZ34" i="12"/>
  <c r="BZ35" i="12"/>
  <c r="BZ36" i="12"/>
  <c r="BZ37" i="12"/>
  <c r="BZ38" i="12"/>
  <c r="BZ39" i="12"/>
  <c r="BZ40" i="12"/>
  <c r="BZ41" i="12"/>
  <c r="BZ42" i="12"/>
  <c r="BZ43" i="12"/>
  <c r="BZ64" i="12"/>
  <c r="BZ6" i="12"/>
  <c r="B66" i="8"/>
  <c r="C66" i="8"/>
  <c r="D66" i="8"/>
  <c r="E66" i="8"/>
  <c r="F66" i="8"/>
  <c r="G66" i="8"/>
  <c r="H66" i="8"/>
  <c r="I66" i="8"/>
  <c r="J66" i="8"/>
  <c r="K66" i="8"/>
  <c r="L66" i="8"/>
  <c r="M66" i="8"/>
  <c r="N66" i="8"/>
  <c r="O66" i="8"/>
  <c r="P66" i="8"/>
  <c r="Q66" i="8"/>
  <c r="R66" i="8"/>
  <c r="S66" i="8"/>
  <c r="BO4" i="13"/>
  <c r="BP4" i="13"/>
  <c r="BQ4" i="13"/>
  <c r="BR4" i="13"/>
  <c r="BS4" i="13"/>
  <c r="BT4" i="13"/>
  <c r="BU4" i="13"/>
  <c r="BV4" i="13"/>
  <c r="BW4" i="13"/>
  <c r="BX4" i="13"/>
  <c r="BY4" i="13"/>
  <c r="BZ4" i="13"/>
  <c r="BZ6" i="13"/>
  <c r="BZ26" i="13"/>
  <c r="BZ27" i="13"/>
  <c r="BZ28" i="13"/>
  <c r="BZ29" i="13"/>
  <c r="BZ30" i="13"/>
  <c r="BZ31" i="13"/>
  <c r="BZ32" i="13"/>
  <c r="BZ33" i="13"/>
  <c r="BZ34" i="13"/>
  <c r="BZ35" i="13"/>
  <c r="BZ36" i="13"/>
  <c r="BZ37" i="13"/>
  <c r="BZ38" i="13"/>
  <c r="BZ39" i="13"/>
  <c r="BZ40" i="13"/>
  <c r="BZ41" i="13"/>
  <c r="BZ42" i="13"/>
  <c r="BZ43" i="13"/>
  <c r="B63" i="9"/>
  <c r="C63" i="9"/>
  <c r="D63" i="9"/>
  <c r="E63" i="9"/>
  <c r="F63" i="9"/>
  <c r="G63" i="9"/>
  <c r="H63" i="9"/>
  <c r="I63" i="9"/>
  <c r="J63" i="9"/>
  <c r="K63" i="9"/>
  <c r="L63" i="9"/>
  <c r="M63" i="9"/>
  <c r="N63" i="9"/>
  <c r="O63" i="9"/>
  <c r="P63" i="9"/>
  <c r="Q63" i="9"/>
  <c r="R63" i="9"/>
  <c r="S63" i="9"/>
  <c r="B64" i="9"/>
  <c r="C64" i="9"/>
  <c r="D64" i="9"/>
  <c r="E64" i="9"/>
  <c r="F64" i="9"/>
  <c r="G64" i="9"/>
  <c r="H64" i="9"/>
  <c r="I64" i="9"/>
  <c r="J64" i="9"/>
  <c r="K64" i="9"/>
  <c r="L64" i="9"/>
  <c r="M64" i="9"/>
  <c r="N64" i="9"/>
  <c r="O64" i="9"/>
  <c r="P64" i="9"/>
  <c r="Q64" i="9"/>
  <c r="R64" i="9"/>
  <c r="S64" i="9"/>
  <c r="B65" i="9"/>
  <c r="C65" i="9"/>
  <c r="D65" i="9"/>
  <c r="E65" i="9"/>
  <c r="F65" i="9"/>
  <c r="G65" i="9"/>
  <c r="H65" i="9"/>
  <c r="I65" i="9"/>
  <c r="J65" i="9"/>
  <c r="K65" i="9"/>
  <c r="L65" i="9"/>
  <c r="M65" i="9"/>
  <c r="N65" i="9"/>
  <c r="O65" i="9"/>
  <c r="P65" i="9"/>
  <c r="Q65" i="9"/>
  <c r="R65" i="9"/>
  <c r="S65" i="9"/>
  <c r="BY26" i="12"/>
  <c r="BY27" i="12"/>
  <c r="BY28" i="12"/>
  <c r="BY29" i="12"/>
  <c r="BY30" i="12"/>
  <c r="BY31" i="12"/>
  <c r="BY32" i="12"/>
  <c r="BY33" i="12"/>
  <c r="BY34" i="12"/>
  <c r="BY35" i="12"/>
  <c r="BY36" i="12"/>
  <c r="BY37" i="12"/>
  <c r="BY38" i="12"/>
  <c r="BY39" i="12"/>
  <c r="BY40" i="12"/>
  <c r="BY41" i="12"/>
  <c r="BY42" i="12"/>
  <c r="BY43" i="12"/>
  <c r="BY64" i="12"/>
  <c r="BY6" i="12"/>
  <c r="B64" i="8"/>
  <c r="C64" i="8"/>
  <c r="D64" i="8"/>
  <c r="E64" i="8"/>
  <c r="F64" i="8"/>
  <c r="G64" i="8"/>
  <c r="H64" i="8"/>
  <c r="I64" i="8"/>
  <c r="J64" i="8"/>
  <c r="K64" i="8"/>
  <c r="L64" i="8"/>
  <c r="M64" i="8"/>
  <c r="N64" i="8"/>
  <c r="O64" i="8"/>
  <c r="P64" i="8"/>
  <c r="Q64" i="8"/>
  <c r="R64" i="8"/>
  <c r="S64" i="8"/>
  <c r="B65" i="8"/>
  <c r="C65" i="8"/>
  <c r="D65" i="8"/>
  <c r="E65" i="8"/>
  <c r="F65" i="8"/>
  <c r="G65" i="8"/>
  <c r="H65" i="8"/>
  <c r="I65" i="8"/>
  <c r="J65" i="8"/>
  <c r="K65" i="8"/>
  <c r="L65" i="8"/>
  <c r="M65" i="8"/>
  <c r="N65" i="8"/>
  <c r="O65" i="8"/>
  <c r="P65" i="8"/>
  <c r="Q65" i="8"/>
  <c r="R65" i="8"/>
  <c r="S65" i="8"/>
  <c r="BY26" i="13"/>
  <c r="BY27" i="13"/>
  <c r="BY28" i="13"/>
  <c r="BY29" i="13"/>
  <c r="BY30" i="13"/>
  <c r="BY31" i="13"/>
  <c r="BY32" i="13"/>
  <c r="BY33" i="13"/>
  <c r="BY34" i="13"/>
  <c r="BY35" i="13"/>
  <c r="BY36" i="13"/>
  <c r="BY37" i="13"/>
  <c r="BY38" i="13"/>
  <c r="BY39" i="13"/>
  <c r="BY40" i="13"/>
  <c r="BY41" i="13"/>
  <c r="BY42" i="13"/>
  <c r="BY43" i="13"/>
  <c r="BY6" i="13"/>
  <c r="BX64" i="12"/>
  <c r="BX26" i="13"/>
  <c r="BX27" i="13"/>
  <c r="BX28" i="13"/>
  <c r="BX29" i="13"/>
  <c r="BX30" i="13"/>
  <c r="BX31" i="13"/>
  <c r="BX32" i="13"/>
  <c r="BX33" i="13"/>
  <c r="BX34" i="13"/>
  <c r="BX35" i="13"/>
  <c r="BX36" i="13"/>
  <c r="BX37" i="13"/>
  <c r="BX38" i="13"/>
  <c r="BX39" i="13"/>
  <c r="BX40" i="13"/>
  <c r="BX41" i="13"/>
  <c r="BX42" i="13"/>
  <c r="BX43" i="13"/>
  <c r="BX26" i="12"/>
  <c r="BX27" i="12"/>
  <c r="BX28" i="12"/>
  <c r="BX29" i="12"/>
  <c r="BX30" i="12"/>
  <c r="BX31" i="12"/>
  <c r="BX32" i="12"/>
  <c r="BX33" i="12"/>
  <c r="BX34" i="12"/>
  <c r="BX35" i="12"/>
  <c r="BX36" i="12"/>
  <c r="BX37" i="12"/>
  <c r="BX38" i="12"/>
  <c r="BX39" i="12"/>
  <c r="BX40" i="12"/>
  <c r="BX41" i="12"/>
  <c r="BX42" i="12"/>
  <c r="BX43" i="12"/>
  <c r="BX6" i="12"/>
  <c r="BX6" i="13"/>
  <c r="B63" i="8"/>
  <c r="C63" i="8"/>
  <c r="D63" i="8"/>
  <c r="E63" i="8"/>
  <c r="F63" i="8"/>
  <c r="G63" i="8"/>
  <c r="H63" i="8"/>
  <c r="I63" i="8"/>
  <c r="J63" i="8"/>
  <c r="K63" i="8"/>
  <c r="L63" i="8"/>
  <c r="M63" i="8"/>
  <c r="N63" i="8"/>
  <c r="O63" i="8"/>
  <c r="P63" i="8"/>
  <c r="Q63" i="8"/>
  <c r="R63" i="8"/>
  <c r="S63" i="8"/>
  <c r="BW64" i="12"/>
  <c r="BW26" i="12"/>
  <c r="BW27" i="12"/>
  <c r="BW28" i="12"/>
  <c r="BW29" i="12"/>
  <c r="BW30" i="12"/>
  <c r="BW31" i="12"/>
  <c r="BW32" i="12"/>
  <c r="BW33" i="12"/>
  <c r="BW34" i="12"/>
  <c r="BW35" i="12"/>
  <c r="BW36" i="12"/>
  <c r="BW37" i="12"/>
  <c r="BW38" i="12"/>
  <c r="BW39" i="12"/>
  <c r="BW40" i="12"/>
  <c r="BW41" i="12"/>
  <c r="BW42" i="12"/>
  <c r="BW43" i="12"/>
  <c r="BW6" i="12"/>
  <c r="BW6" i="13"/>
  <c r="BW26" i="13"/>
  <c r="BW27" i="13"/>
  <c r="BW28" i="13"/>
  <c r="BW29" i="13"/>
  <c r="BW30" i="13"/>
  <c r="BW31" i="13"/>
  <c r="BW32" i="13"/>
  <c r="BW33" i="13"/>
  <c r="BW34" i="13"/>
  <c r="BW35" i="13"/>
  <c r="BW36" i="13"/>
  <c r="BW37" i="13"/>
  <c r="BW38" i="13"/>
  <c r="BW39" i="13"/>
  <c r="BW40" i="13"/>
  <c r="BW41" i="13"/>
  <c r="BW42" i="13"/>
  <c r="BW43" i="13"/>
  <c r="BV6" i="13"/>
  <c r="BV26" i="13"/>
  <c r="BV27" i="13"/>
  <c r="BV28" i="13"/>
  <c r="BV29" i="13"/>
  <c r="BV30" i="13"/>
  <c r="BV31" i="13"/>
  <c r="BV32" i="13"/>
  <c r="BV33" i="13"/>
  <c r="BV34" i="13"/>
  <c r="BV35" i="13"/>
  <c r="BV36" i="13"/>
  <c r="BV37" i="13"/>
  <c r="BV38" i="13"/>
  <c r="BV39" i="13"/>
  <c r="BV40" i="13"/>
  <c r="BV41" i="13"/>
  <c r="BV42" i="13"/>
  <c r="BV43" i="13"/>
  <c r="B62" i="9"/>
  <c r="C62" i="9"/>
  <c r="D62" i="9"/>
  <c r="E62" i="9"/>
  <c r="F62" i="9"/>
  <c r="G62" i="9"/>
  <c r="H62" i="9"/>
  <c r="I62" i="9"/>
  <c r="J62" i="9"/>
  <c r="K62" i="9"/>
  <c r="L62" i="9"/>
  <c r="M62" i="9"/>
  <c r="N62" i="9"/>
  <c r="O62" i="9"/>
  <c r="P62" i="9"/>
  <c r="Q62" i="9"/>
  <c r="R62" i="9"/>
  <c r="S62" i="9"/>
  <c r="B62" i="8"/>
  <c r="C62" i="8"/>
  <c r="D62" i="8"/>
  <c r="E62" i="8"/>
  <c r="F62" i="8"/>
  <c r="G62" i="8"/>
  <c r="H62" i="8"/>
  <c r="I62" i="8"/>
  <c r="J62" i="8"/>
  <c r="K62" i="8"/>
  <c r="L62" i="8"/>
  <c r="M62" i="8"/>
  <c r="N62" i="8"/>
  <c r="O62" i="8"/>
  <c r="P62" i="8"/>
  <c r="Q62" i="8"/>
  <c r="R62" i="8"/>
  <c r="S62" i="8"/>
  <c r="BV64" i="12"/>
  <c r="BV26" i="12"/>
  <c r="BV27" i="12"/>
  <c r="BV28" i="12"/>
  <c r="BV29" i="12"/>
  <c r="BV30" i="12"/>
  <c r="BV31" i="12"/>
  <c r="BV32" i="12"/>
  <c r="BV33" i="12"/>
  <c r="BV34" i="12"/>
  <c r="BV35" i="12"/>
  <c r="BV36" i="12"/>
  <c r="BV37" i="12"/>
  <c r="BV38" i="12"/>
  <c r="BV39" i="12"/>
  <c r="BV40" i="12"/>
  <c r="BV41" i="12"/>
  <c r="BV42" i="12"/>
  <c r="BV43" i="12"/>
  <c r="BV6" i="12"/>
  <c r="B61" i="9"/>
  <c r="C61" i="9"/>
  <c r="D61" i="9"/>
  <c r="E61" i="9"/>
  <c r="F61" i="9"/>
  <c r="G61" i="9"/>
  <c r="H61" i="9"/>
  <c r="I61" i="9"/>
  <c r="J61" i="9"/>
  <c r="K61" i="9"/>
  <c r="L61" i="9"/>
  <c r="M61" i="9"/>
  <c r="N61" i="9"/>
  <c r="O61" i="9"/>
  <c r="P61" i="9"/>
  <c r="Q61" i="9"/>
  <c r="R61" i="9"/>
  <c r="S61" i="9"/>
  <c r="BU26" i="12"/>
  <c r="BU27" i="12"/>
  <c r="BU28" i="12"/>
  <c r="BU29" i="12"/>
  <c r="BU30" i="12"/>
  <c r="BU31" i="12"/>
  <c r="BU32" i="12"/>
  <c r="BU33" i="12"/>
  <c r="BU34" i="12"/>
  <c r="BU35" i="12"/>
  <c r="BU36" i="12"/>
  <c r="BU37" i="12"/>
  <c r="BU38" i="12"/>
  <c r="BU39" i="12"/>
  <c r="BU40" i="12"/>
  <c r="BU41" i="12"/>
  <c r="BU42" i="12"/>
  <c r="BU43" i="12"/>
  <c r="BU64" i="12"/>
  <c r="BU6" i="12"/>
  <c r="B61" i="8"/>
  <c r="C61" i="8"/>
  <c r="D61" i="8"/>
  <c r="E61" i="8"/>
  <c r="F61" i="8"/>
  <c r="G61" i="8"/>
  <c r="H61" i="8"/>
  <c r="I61" i="8"/>
  <c r="J61" i="8"/>
  <c r="K61" i="8"/>
  <c r="L61" i="8"/>
  <c r="M61" i="8"/>
  <c r="N61" i="8"/>
  <c r="O61" i="8"/>
  <c r="P61" i="8"/>
  <c r="Q61" i="8"/>
  <c r="R61" i="8"/>
  <c r="S61" i="8"/>
  <c r="BU26" i="13"/>
  <c r="BU27" i="13"/>
  <c r="BU28" i="13"/>
  <c r="BU29" i="13"/>
  <c r="BU30" i="13"/>
  <c r="BU31" i="13"/>
  <c r="BU32" i="13"/>
  <c r="BU33" i="13"/>
  <c r="BU34" i="13"/>
  <c r="BU35" i="13"/>
  <c r="BU36" i="13"/>
  <c r="BU37" i="13"/>
  <c r="BU38" i="13"/>
  <c r="BU39" i="13"/>
  <c r="BU40" i="13"/>
  <c r="BU41" i="13"/>
  <c r="BU42" i="13"/>
  <c r="BU43" i="13"/>
  <c r="BU6" i="13"/>
  <c r="B60" i="9"/>
  <c r="C60" i="9"/>
  <c r="D60" i="9"/>
  <c r="E60" i="9"/>
  <c r="F60" i="9"/>
  <c r="G60" i="9"/>
  <c r="H60" i="9"/>
  <c r="I60" i="9"/>
  <c r="J60" i="9"/>
  <c r="K60" i="9"/>
  <c r="L60" i="9"/>
  <c r="M60" i="9"/>
  <c r="N60" i="9"/>
  <c r="O60" i="9"/>
  <c r="P60" i="9"/>
  <c r="Q60" i="9"/>
  <c r="R60" i="9"/>
  <c r="S60" i="9"/>
  <c r="BT26" i="12"/>
  <c r="BT27" i="12"/>
  <c r="BT28" i="12"/>
  <c r="BT29" i="12"/>
  <c r="BT30" i="12"/>
  <c r="BT31" i="12"/>
  <c r="BT32" i="12"/>
  <c r="BT33" i="12"/>
  <c r="BT34" i="12"/>
  <c r="BT35" i="12"/>
  <c r="BT36" i="12"/>
  <c r="BT37" i="12"/>
  <c r="BT38" i="12"/>
  <c r="BT39" i="12"/>
  <c r="BT40" i="12"/>
  <c r="BT41" i="12"/>
  <c r="BT42" i="12"/>
  <c r="BT43" i="12"/>
  <c r="BT6" i="12"/>
  <c r="BT64" i="12"/>
  <c r="B60" i="8"/>
  <c r="C60" i="8"/>
  <c r="D60" i="8"/>
  <c r="E60" i="8"/>
  <c r="F60" i="8"/>
  <c r="G60" i="8"/>
  <c r="H60" i="8"/>
  <c r="I60" i="8"/>
  <c r="J60" i="8"/>
  <c r="K60" i="8"/>
  <c r="L60" i="8"/>
  <c r="M60" i="8"/>
  <c r="N60" i="8"/>
  <c r="O60" i="8"/>
  <c r="P60" i="8"/>
  <c r="Q60" i="8"/>
  <c r="R60" i="8"/>
  <c r="S60" i="8"/>
  <c r="BT6" i="13"/>
  <c r="BT26" i="13"/>
  <c r="BT27" i="13"/>
  <c r="BT28" i="13"/>
  <c r="BT29" i="13"/>
  <c r="BT30" i="13"/>
  <c r="BT31" i="13"/>
  <c r="BT32" i="13"/>
  <c r="BT33" i="13"/>
  <c r="BT34" i="13"/>
  <c r="BT35" i="13"/>
  <c r="BT36" i="13"/>
  <c r="BT37" i="13"/>
  <c r="BT38" i="13"/>
  <c r="BT39" i="13"/>
  <c r="BT40" i="13"/>
  <c r="BT41" i="13"/>
  <c r="BT42" i="13"/>
  <c r="BT43" i="13"/>
  <c r="B59" i="9"/>
  <c r="C59" i="9"/>
  <c r="D59" i="9"/>
  <c r="E59" i="9"/>
  <c r="F59" i="9"/>
  <c r="G59" i="9"/>
  <c r="H59" i="9"/>
  <c r="I59" i="9"/>
  <c r="J59" i="9"/>
  <c r="K59" i="9"/>
  <c r="L59" i="9"/>
  <c r="M59" i="9"/>
  <c r="N59" i="9"/>
  <c r="O59" i="9"/>
  <c r="P59" i="9"/>
  <c r="Q59" i="9"/>
  <c r="R59" i="9"/>
  <c r="S59" i="9"/>
  <c r="BS26" i="12"/>
  <c r="BS27" i="12"/>
  <c r="BS28" i="12"/>
  <c r="BS29" i="12"/>
  <c r="BS30" i="12"/>
  <c r="BS31" i="12"/>
  <c r="BS32" i="12"/>
  <c r="BS33" i="12"/>
  <c r="BS34" i="12"/>
  <c r="BS35" i="12"/>
  <c r="BS36" i="12"/>
  <c r="BS37" i="12"/>
  <c r="BS38" i="12"/>
  <c r="BS39" i="12"/>
  <c r="BS40" i="12"/>
  <c r="BS41" i="12"/>
  <c r="BS42" i="12"/>
  <c r="BS43" i="12"/>
  <c r="B59" i="8"/>
  <c r="C59" i="8"/>
  <c r="D59" i="8"/>
  <c r="E59" i="8"/>
  <c r="F59" i="8"/>
  <c r="G59" i="8"/>
  <c r="H59" i="8"/>
  <c r="I59" i="8"/>
  <c r="J59" i="8"/>
  <c r="K59" i="8"/>
  <c r="L59" i="8"/>
  <c r="M59" i="8"/>
  <c r="N59" i="8"/>
  <c r="O59" i="8"/>
  <c r="P59" i="8"/>
  <c r="Q59" i="8"/>
  <c r="R59" i="8"/>
  <c r="S59" i="8"/>
  <c r="BS26" i="13"/>
  <c r="BS27" i="13"/>
  <c r="BS28" i="13"/>
  <c r="BS29" i="13"/>
  <c r="BS30" i="13"/>
  <c r="BS31" i="13"/>
  <c r="BS32" i="13"/>
  <c r="BS33" i="13"/>
  <c r="BS34" i="13"/>
  <c r="BS35" i="13"/>
  <c r="BS36" i="13"/>
  <c r="BS37" i="13"/>
  <c r="BS38" i="13"/>
  <c r="BS39" i="13"/>
  <c r="BS40" i="13"/>
  <c r="BS41" i="13"/>
  <c r="BS42" i="13"/>
  <c r="BS43" i="13"/>
  <c r="BS64" i="12"/>
  <c r="BS6" i="12"/>
  <c r="BS6" i="13"/>
  <c r="B58" i="9"/>
  <c r="C58" i="9"/>
  <c r="D58" i="9"/>
  <c r="E58" i="9"/>
  <c r="F58" i="9"/>
  <c r="G58" i="9"/>
  <c r="H58" i="9"/>
  <c r="I58" i="9"/>
  <c r="J58" i="9"/>
  <c r="K58" i="9"/>
  <c r="L58" i="9"/>
  <c r="M58" i="9"/>
  <c r="N58" i="9"/>
  <c r="O58" i="9"/>
  <c r="P58" i="9"/>
  <c r="Q58" i="9"/>
  <c r="R58" i="9"/>
  <c r="S58" i="9"/>
  <c r="B58" i="8"/>
  <c r="C58" i="8"/>
  <c r="D58" i="8"/>
  <c r="E58" i="8"/>
  <c r="F58" i="8"/>
  <c r="G58" i="8"/>
  <c r="H58" i="8"/>
  <c r="I58" i="8"/>
  <c r="J58" i="8"/>
  <c r="K58" i="8"/>
  <c r="L58" i="8"/>
  <c r="M58" i="8"/>
  <c r="N58" i="8"/>
  <c r="O58" i="8"/>
  <c r="P58" i="8"/>
  <c r="Q58" i="8"/>
  <c r="R58" i="8"/>
  <c r="S58" i="8"/>
  <c r="BR26" i="12"/>
  <c r="BR27" i="12"/>
  <c r="BR28" i="12"/>
  <c r="BR29" i="12"/>
  <c r="BR30" i="12"/>
  <c r="BR31" i="12"/>
  <c r="BR32" i="12"/>
  <c r="BR33" i="12"/>
  <c r="BR34" i="12"/>
  <c r="BR35" i="12"/>
  <c r="BR36" i="12"/>
  <c r="BR37" i="12"/>
  <c r="BR38" i="12"/>
  <c r="BR39" i="12"/>
  <c r="BR40" i="12"/>
  <c r="BR41" i="12"/>
  <c r="BR42" i="12"/>
  <c r="BR43" i="12"/>
  <c r="BR26" i="13"/>
  <c r="BR27" i="13"/>
  <c r="BR28" i="13"/>
  <c r="BR29" i="13"/>
  <c r="BR30" i="13"/>
  <c r="BR31" i="13"/>
  <c r="BR32" i="13"/>
  <c r="BR33" i="13"/>
  <c r="BR34" i="13"/>
  <c r="BR35" i="13"/>
  <c r="BR36" i="13"/>
  <c r="BR37" i="13"/>
  <c r="BR38" i="13"/>
  <c r="BR39" i="13"/>
  <c r="BR40" i="13"/>
  <c r="BR41" i="13"/>
  <c r="BR42" i="13"/>
  <c r="BR43" i="13"/>
  <c r="BR6" i="13"/>
  <c r="BR64" i="12"/>
  <c r="BR6" i="12"/>
  <c r="B57" i="9"/>
  <c r="C57" i="9"/>
  <c r="D57" i="9"/>
  <c r="E57" i="9"/>
  <c r="F57" i="9"/>
  <c r="G57" i="9"/>
  <c r="H57" i="9"/>
  <c r="I57" i="9"/>
  <c r="J57" i="9"/>
  <c r="K57" i="9"/>
  <c r="L57" i="9"/>
  <c r="M57" i="9"/>
  <c r="N57" i="9"/>
  <c r="O57" i="9"/>
  <c r="P57" i="9"/>
  <c r="Q57" i="9"/>
  <c r="R57" i="9"/>
  <c r="S57" i="9"/>
  <c r="BQ26" i="12"/>
  <c r="BQ27" i="12"/>
  <c r="BQ28" i="12"/>
  <c r="BQ29" i="12"/>
  <c r="BQ30" i="12"/>
  <c r="BQ31" i="12"/>
  <c r="BQ32" i="12"/>
  <c r="BQ33" i="12"/>
  <c r="BQ34" i="12"/>
  <c r="BQ35" i="12"/>
  <c r="BQ36" i="12"/>
  <c r="BQ37" i="12"/>
  <c r="BQ38" i="12"/>
  <c r="BQ39" i="12"/>
  <c r="BQ40" i="12"/>
  <c r="BQ41" i="12"/>
  <c r="BQ42" i="12"/>
  <c r="BQ43" i="12"/>
  <c r="B57" i="8"/>
  <c r="C57" i="8"/>
  <c r="D57" i="8"/>
  <c r="E57" i="8"/>
  <c r="F57" i="8"/>
  <c r="G57" i="8"/>
  <c r="H57" i="8"/>
  <c r="I57" i="8"/>
  <c r="J57" i="8"/>
  <c r="K57" i="8"/>
  <c r="L57" i="8"/>
  <c r="M57" i="8"/>
  <c r="N57" i="8"/>
  <c r="O57" i="8"/>
  <c r="P57" i="8"/>
  <c r="Q57" i="8"/>
  <c r="R57" i="8"/>
  <c r="S57" i="8"/>
  <c r="BQ26" i="13"/>
  <c r="BQ27" i="13"/>
  <c r="BQ28" i="13"/>
  <c r="BQ29" i="13"/>
  <c r="BQ30" i="13"/>
  <c r="BQ31" i="13"/>
  <c r="BQ32" i="13"/>
  <c r="BQ33" i="13"/>
  <c r="BQ34" i="13"/>
  <c r="BQ35" i="13"/>
  <c r="BQ36" i="13"/>
  <c r="BQ37" i="13"/>
  <c r="BQ38" i="13"/>
  <c r="BQ39" i="13"/>
  <c r="BQ40" i="13"/>
  <c r="BQ41" i="13"/>
  <c r="BQ42" i="13"/>
  <c r="BQ43" i="13"/>
  <c r="BQ6" i="13"/>
  <c r="BQ64" i="12"/>
  <c r="BQ6" i="12"/>
  <c r="B56" i="9"/>
  <c r="C56" i="9"/>
  <c r="D56" i="9"/>
  <c r="E56" i="9"/>
  <c r="F56" i="9"/>
  <c r="G56" i="9"/>
  <c r="H56" i="9"/>
  <c r="I56" i="9"/>
  <c r="J56" i="9"/>
  <c r="K56" i="9"/>
  <c r="L56" i="9"/>
  <c r="M56" i="9"/>
  <c r="N56" i="9"/>
  <c r="O56" i="9"/>
  <c r="P56" i="9"/>
  <c r="Q56" i="9"/>
  <c r="R56" i="9"/>
  <c r="S56" i="9"/>
  <c r="B56" i="8"/>
  <c r="C56" i="8"/>
  <c r="D56" i="8"/>
  <c r="E56" i="8"/>
  <c r="F56" i="8"/>
  <c r="G56" i="8"/>
  <c r="H56" i="8"/>
  <c r="I56" i="8"/>
  <c r="J56" i="8"/>
  <c r="K56" i="8"/>
  <c r="L56" i="8"/>
  <c r="M56" i="8"/>
  <c r="N56" i="8"/>
  <c r="O56" i="8"/>
  <c r="P56" i="8"/>
  <c r="Q56" i="8"/>
  <c r="R56" i="8"/>
  <c r="S56" i="8"/>
  <c r="BP6" i="13"/>
  <c r="BP6" i="12"/>
  <c r="BP26" i="12"/>
  <c r="BP27" i="12"/>
  <c r="BP28" i="12"/>
  <c r="BP29" i="12"/>
  <c r="BP30" i="12"/>
  <c r="BP31" i="12"/>
  <c r="BP32" i="12"/>
  <c r="BP33" i="12"/>
  <c r="BP34" i="12"/>
  <c r="BP35" i="12"/>
  <c r="BP36" i="12"/>
  <c r="BP37" i="12"/>
  <c r="BP38" i="12"/>
  <c r="BP39" i="12"/>
  <c r="BP40" i="12"/>
  <c r="BP41" i="12"/>
  <c r="BP42" i="12"/>
  <c r="BP43" i="12"/>
  <c r="BP64" i="12"/>
  <c r="BP26" i="13"/>
  <c r="BP27" i="13"/>
  <c r="BP28" i="13"/>
  <c r="BP29" i="13"/>
  <c r="BP30" i="13"/>
  <c r="BP31" i="13"/>
  <c r="BP32" i="13"/>
  <c r="BP33" i="13"/>
  <c r="BP34" i="13"/>
  <c r="BP35" i="13"/>
  <c r="BP36" i="13"/>
  <c r="BP37" i="13"/>
  <c r="BP38" i="13"/>
  <c r="BP39" i="13"/>
  <c r="BP40" i="13"/>
  <c r="BP41" i="13"/>
  <c r="BP42" i="13"/>
  <c r="BP43" i="13"/>
  <c r="B55" i="9"/>
  <c r="C55" i="9"/>
  <c r="D55" i="9"/>
  <c r="E55" i="9"/>
  <c r="F55" i="9"/>
  <c r="G55" i="9"/>
  <c r="H55" i="9"/>
  <c r="I55" i="9"/>
  <c r="J55" i="9"/>
  <c r="K55" i="9"/>
  <c r="L55" i="9"/>
  <c r="M55" i="9"/>
  <c r="N55" i="9"/>
  <c r="O55" i="9"/>
  <c r="P55" i="9"/>
  <c r="Q55" i="9"/>
  <c r="R55" i="9"/>
  <c r="S55" i="9"/>
  <c r="B55" i="8"/>
  <c r="C55" i="8"/>
  <c r="D55" i="8"/>
  <c r="E55" i="8"/>
  <c r="F55" i="8"/>
  <c r="G55" i="8"/>
  <c r="H55" i="8"/>
  <c r="I55" i="8"/>
  <c r="J55" i="8"/>
  <c r="K55" i="8"/>
  <c r="L55" i="8"/>
  <c r="M55" i="8"/>
  <c r="N55" i="8"/>
  <c r="O55" i="8"/>
  <c r="P55" i="8"/>
  <c r="Q55" i="8"/>
  <c r="R55" i="8"/>
  <c r="S55" i="8"/>
  <c r="BO26" i="13"/>
  <c r="BO27" i="13"/>
  <c r="BO28" i="13"/>
  <c r="BO29" i="13"/>
  <c r="BO30" i="13"/>
  <c r="BO31" i="13"/>
  <c r="BO32" i="13"/>
  <c r="BO33" i="13"/>
  <c r="BO34" i="13"/>
  <c r="BO35" i="13"/>
  <c r="BO36" i="13"/>
  <c r="BO37" i="13"/>
  <c r="BO38" i="13"/>
  <c r="BO39" i="13"/>
  <c r="BO40" i="13"/>
  <c r="BO41" i="13"/>
  <c r="BO42" i="13"/>
  <c r="BO43" i="13"/>
  <c r="BO6" i="13"/>
  <c r="BO26" i="12"/>
  <c r="BO27" i="12"/>
  <c r="BO28" i="12"/>
  <c r="BO29" i="12"/>
  <c r="BO30" i="12"/>
  <c r="BO31" i="12"/>
  <c r="BO32" i="12"/>
  <c r="BO33" i="12"/>
  <c r="BO34" i="12"/>
  <c r="BO35" i="12"/>
  <c r="BO36" i="12"/>
  <c r="BO37" i="12"/>
  <c r="BO38" i="12"/>
  <c r="BO39" i="12"/>
  <c r="BO40" i="12"/>
  <c r="BO41" i="12"/>
  <c r="BO42" i="12"/>
  <c r="BO43" i="12"/>
  <c r="BO64" i="12"/>
  <c r="BO6" i="12"/>
  <c r="B54" i="9" l="1"/>
  <c r="C54" i="9"/>
  <c r="D54" i="9"/>
  <c r="E54" i="9"/>
  <c r="F54" i="9"/>
  <c r="G54" i="9"/>
  <c r="H54" i="9"/>
  <c r="I54" i="9"/>
  <c r="J54" i="9"/>
  <c r="K54" i="9"/>
  <c r="L54" i="9"/>
  <c r="M54" i="9"/>
  <c r="N54" i="9"/>
  <c r="O54" i="9"/>
  <c r="P54" i="9"/>
  <c r="Q54" i="9"/>
  <c r="R54" i="9"/>
  <c r="S54" i="9"/>
  <c r="BN64" i="12" l="1"/>
  <c r="B53" i="9" l="1"/>
  <c r="C53" i="9"/>
  <c r="D53" i="9"/>
  <c r="E53" i="9"/>
  <c r="F53" i="9"/>
  <c r="G53" i="9"/>
  <c r="H53" i="9"/>
  <c r="I53" i="9"/>
  <c r="J53" i="9"/>
  <c r="K53" i="9"/>
  <c r="L53" i="9"/>
  <c r="M53" i="9"/>
  <c r="N53" i="9"/>
  <c r="O53" i="9"/>
  <c r="P53" i="9"/>
  <c r="Q53" i="9"/>
  <c r="R53" i="9"/>
  <c r="S53" i="9"/>
  <c r="B54" i="8"/>
  <c r="C54" i="8"/>
  <c r="D54" i="8"/>
  <c r="E54" i="8"/>
  <c r="F54" i="8"/>
  <c r="G54" i="8"/>
  <c r="H54" i="8"/>
  <c r="I54" i="8"/>
  <c r="J54" i="8"/>
  <c r="K54" i="8"/>
  <c r="L54" i="8"/>
  <c r="M54" i="8"/>
  <c r="N54" i="8"/>
  <c r="O54" i="8"/>
  <c r="P54" i="8"/>
  <c r="Q54" i="8"/>
  <c r="R54" i="8"/>
  <c r="S54" i="8"/>
  <c r="BN26" i="12"/>
  <c r="BN27" i="12"/>
  <c r="BN28" i="12"/>
  <c r="BN29" i="12"/>
  <c r="BN30" i="12"/>
  <c r="BN31" i="12"/>
  <c r="BN32" i="12"/>
  <c r="BN33" i="12"/>
  <c r="BN34" i="12"/>
  <c r="BN35" i="12"/>
  <c r="BN36" i="12"/>
  <c r="BN37" i="12"/>
  <c r="BN38" i="12"/>
  <c r="BN39" i="12"/>
  <c r="BN40" i="12"/>
  <c r="BN41" i="12"/>
  <c r="BN42" i="12"/>
  <c r="BN43" i="12"/>
  <c r="BN6" i="12"/>
  <c r="BN26" i="13"/>
  <c r="BN27" i="13"/>
  <c r="BN28" i="13"/>
  <c r="BN29" i="13"/>
  <c r="BN30" i="13"/>
  <c r="BN31" i="13"/>
  <c r="BN32" i="13"/>
  <c r="BN33" i="13"/>
  <c r="BN34" i="13"/>
  <c r="BN35" i="13"/>
  <c r="BN36" i="13"/>
  <c r="BN37" i="13"/>
  <c r="BN38" i="13"/>
  <c r="BN39" i="13"/>
  <c r="BN40" i="13"/>
  <c r="BN41" i="13"/>
  <c r="BN42" i="13"/>
  <c r="BN43" i="13"/>
  <c r="BN6" i="13"/>
  <c r="B53" i="8" l="1"/>
  <c r="C53" i="8"/>
  <c r="D53" i="8"/>
  <c r="E53" i="8"/>
  <c r="F53" i="8"/>
  <c r="G53" i="8"/>
  <c r="H53" i="8"/>
  <c r="I53" i="8"/>
  <c r="J53" i="8"/>
  <c r="K53" i="8"/>
  <c r="L53" i="8"/>
  <c r="M53" i="8"/>
  <c r="N53" i="8"/>
  <c r="O53" i="8"/>
  <c r="P53" i="8"/>
  <c r="Q53" i="8"/>
  <c r="R53" i="8"/>
  <c r="S53" i="8"/>
  <c r="BM64" i="12" l="1"/>
  <c r="BM26" i="13"/>
  <c r="BM27" i="13"/>
  <c r="BM28" i="13"/>
  <c r="BM29" i="13"/>
  <c r="BM30" i="13"/>
  <c r="BM31" i="13"/>
  <c r="BM32" i="13"/>
  <c r="BM33" i="13"/>
  <c r="BM34" i="13"/>
  <c r="BM35" i="13"/>
  <c r="BM36" i="13"/>
  <c r="BM37" i="13"/>
  <c r="BM38" i="13"/>
  <c r="BM39" i="13"/>
  <c r="BM40" i="13"/>
  <c r="BM41" i="13"/>
  <c r="BM42" i="13"/>
  <c r="BM43" i="13"/>
  <c r="BM26" i="12"/>
  <c r="BM27" i="12"/>
  <c r="BM28" i="12"/>
  <c r="BM29" i="12"/>
  <c r="BM30" i="12"/>
  <c r="BM31" i="12"/>
  <c r="BM32" i="12"/>
  <c r="BM33" i="12"/>
  <c r="BM34" i="12"/>
  <c r="BM35" i="12"/>
  <c r="BM36" i="12"/>
  <c r="BM37" i="12"/>
  <c r="BM38" i="12"/>
  <c r="BM39" i="12"/>
  <c r="BM40" i="12"/>
  <c r="BM41" i="12"/>
  <c r="BM42" i="12"/>
  <c r="BM43" i="12"/>
  <c r="BM6" i="12"/>
  <c r="BM6" i="13"/>
  <c r="B52" i="9" l="1"/>
  <c r="C52" i="9"/>
  <c r="D52" i="9"/>
  <c r="E52" i="9"/>
  <c r="F52" i="9"/>
  <c r="G52" i="9"/>
  <c r="H52" i="9"/>
  <c r="I52" i="9"/>
  <c r="J52" i="9"/>
  <c r="K52" i="9"/>
  <c r="L52" i="9"/>
  <c r="M52" i="9"/>
  <c r="N52" i="9"/>
  <c r="O52" i="9"/>
  <c r="P52" i="9"/>
  <c r="Q52" i="9"/>
  <c r="R52" i="9"/>
  <c r="S52" i="9"/>
  <c r="B52" i="8"/>
  <c r="C52" i="8"/>
  <c r="D52" i="8"/>
  <c r="E52" i="8"/>
  <c r="F52" i="8"/>
  <c r="G52" i="8"/>
  <c r="H52" i="8"/>
  <c r="I52" i="8"/>
  <c r="J52" i="8"/>
  <c r="K52" i="8"/>
  <c r="L52" i="8"/>
  <c r="M52" i="8"/>
  <c r="N52" i="8"/>
  <c r="O52" i="8"/>
  <c r="P52" i="8"/>
  <c r="Q52" i="8"/>
  <c r="R52" i="8"/>
  <c r="S52" i="8"/>
  <c r="BL6" i="13" l="1"/>
  <c r="B51" i="9"/>
  <c r="C51" i="9"/>
  <c r="D51" i="9"/>
  <c r="E51" i="9"/>
  <c r="F51" i="9"/>
  <c r="G51" i="9"/>
  <c r="H51" i="9"/>
  <c r="I51" i="9"/>
  <c r="J51" i="9"/>
  <c r="K51" i="9"/>
  <c r="L51" i="9"/>
  <c r="M51" i="9"/>
  <c r="N51" i="9"/>
  <c r="O51" i="9"/>
  <c r="P51" i="9"/>
  <c r="Q51" i="9"/>
  <c r="R51" i="9"/>
  <c r="S51" i="9"/>
  <c r="BL26" i="13" l="1"/>
  <c r="BL27" i="13"/>
  <c r="BL28" i="13"/>
  <c r="BL29" i="13"/>
  <c r="BL30" i="13"/>
  <c r="BL31" i="13"/>
  <c r="BL32" i="13"/>
  <c r="BL33" i="13"/>
  <c r="BL34" i="13"/>
  <c r="BL35" i="13"/>
  <c r="BL36" i="13"/>
  <c r="BL37" i="13"/>
  <c r="BL38" i="13"/>
  <c r="BL39" i="13"/>
  <c r="BL40" i="13"/>
  <c r="BL41" i="13"/>
  <c r="BL42" i="13"/>
  <c r="BL43" i="13"/>
  <c r="BL26" i="12"/>
  <c r="BL27" i="12"/>
  <c r="BL28" i="12"/>
  <c r="BL29" i="12"/>
  <c r="BL30" i="12"/>
  <c r="BL31" i="12"/>
  <c r="BL32" i="12"/>
  <c r="BL33" i="12"/>
  <c r="BL34" i="12"/>
  <c r="BL35" i="12"/>
  <c r="BL36" i="12"/>
  <c r="BL37" i="12"/>
  <c r="BL38" i="12"/>
  <c r="BL39" i="12"/>
  <c r="BL40" i="12"/>
  <c r="BL41" i="12"/>
  <c r="BL42" i="12"/>
  <c r="BL43" i="12"/>
  <c r="BL64" i="12"/>
  <c r="BL6" i="12"/>
  <c r="BK64" i="12" l="1"/>
  <c r="BK26" i="12"/>
  <c r="BK27" i="12"/>
  <c r="BK28" i="12"/>
  <c r="BK29" i="12"/>
  <c r="BK30" i="12"/>
  <c r="BK31" i="12"/>
  <c r="BK32" i="12"/>
  <c r="BK33" i="12"/>
  <c r="BK34" i="12"/>
  <c r="BK35" i="12"/>
  <c r="BK36" i="12"/>
  <c r="BK37" i="12"/>
  <c r="BK38" i="12"/>
  <c r="BK39" i="12"/>
  <c r="BK40" i="12"/>
  <c r="BK41" i="12"/>
  <c r="BK42" i="12"/>
  <c r="BK43" i="12"/>
  <c r="BK6" i="12"/>
  <c r="B51" i="8" l="1"/>
  <c r="C51" i="8"/>
  <c r="D51" i="8"/>
  <c r="E51" i="8"/>
  <c r="F51" i="8"/>
  <c r="G51" i="8"/>
  <c r="H51" i="8"/>
  <c r="I51" i="8"/>
  <c r="J51" i="8"/>
  <c r="K51" i="8"/>
  <c r="L51" i="8"/>
  <c r="M51" i="8"/>
  <c r="N51" i="8"/>
  <c r="O51" i="8"/>
  <c r="P51" i="8"/>
  <c r="Q51" i="8"/>
  <c r="R51" i="8"/>
  <c r="S51" i="8"/>
  <c r="BK26" i="13"/>
  <c r="BK27" i="13"/>
  <c r="BK28" i="13"/>
  <c r="BK29" i="13"/>
  <c r="BK30" i="13"/>
  <c r="BK31" i="13"/>
  <c r="BK32" i="13"/>
  <c r="BK33" i="13"/>
  <c r="BK34" i="13"/>
  <c r="BK35" i="13"/>
  <c r="BK36" i="13"/>
  <c r="BK37" i="13"/>
  <c r="BK38" i="13"/>
  <c r="BK39" i="13"/>
  <c r="BK40" i="13"/>
  <c r="BK41" i="13"/>
  <c r="BK42" i="13"/>
  <c r="BK43" i="13"/>
  <c r="BK6" i="13"/>
  <c r="B50" i="9" l="1"/>
  <c r="C50" i="9"/>
  <c r="D50" i="9"/>
  <c r="E50" i="9"/>
  <c r="F50" i="9"/>
  <c r="G50" i="9"/>
  <c r="H50" i="9"/>
  <c r="I50" i="9"/>
  <c r="J50" i="9"/>
  <c r="K50" i="9"/>
  <c r="L50" i="9"/>
  <c r="M50" i="9"/>
  <c r="N50" i="9"/>
  <c r="O50" i="9"/>
  <c r="P50" i="9"/>
  <c r="Q50" i="9"/>
  <c r="R50" i="9"/>
  <c r="S50" i="9"/>
  <c r="B50" i="8" l="1"/>
  <c r="C50" i="8"/>
  <c r="D50" i="8"/>
  <c r="E50" i="8"/>
  <c r="F50" i="8"/>
  <c r="G50" i="8"/>
  <c r="H50" i="8"/>
  <c r="I50" i="8"/>
  <c r="J50" i="8"/>
  <c r="K50" i="8"/>
  <c r="L50" i="8"/>
  <c r="M50" i="8"/>
  <c r="N50" i="8"/>
  <c r="O50" i="8"/>
  <c r="P50" i="8"/>
  <c r="Q50" i="8"/>
  <c r="R50" i="8"/>
  <c r="S50" i="8"/>
  <c r="BJ26" i="13" l="1"/>
  <c r="BJ27" i="13"/>
  <c r="BJ28" i="13"/>
  <c r="BJ29" i="13"/>
  <c r="BJ30" i="13"/>
  <c r="BJ31" i="13"/>
  <c r="BJ32" i="13"/>
  <c r="BJ33" i="13"/>
  <c r="BJ34" i="13"/>
  <c r="BJ35" i="13"/>
  <c r="BJ36" i="13"/>
  <c r="BJ37" i="13"/>
  <c r="BJ38" i="13"/>
  <c r="BJ39" i="13"/>
  <c r="BJ40" i="13"/>
  <c r="BJ41" i="13"/>
  <c r="BJ42" i="13"/>
  <c r="BJ43" i="13"/>
  <c r="BJ26" i="12" l="1"/>
  <c r="BJ43" i="12"/>
  <c r="BJ42" i="12"/>
  <c r="BJ41" i="12"/>
  <c r="BJ40" i="12"/>
  <c r="BJ39" i="12"/>
  <c r="BJ38" i="12"/>
  <c r="BJ37" i="12"/>
  <c r="BJ36" i="12"/>
  <c r="BJ35" i="12"/>
  <c r="BJ34" i="12"/>
  <c r="BJ33" i="12"/>
  <c r="BJ32" i="12"/>
  <c r="BJ31" i="12"/>
  <c r="BJ30" i="12"/>
  <c r="BJ29" i="12"/>
  <c r="BJ28" i="12"/>
  <c r="BJ27" i="12"/>
  <c r="BJ64" i="12"/>
  <c r="BJ6" i="12" l="1"/>
  <c r="BJ6" i="13"/>
  <c r="B49" i="9" l="1"/>
  <c r="C49" i="9"/>
  <c r="D49" i="9"/>
  <c r="E49" i="9"/>
  <c r="F49" i="9"/>
  <c r="G49" i="9"/>
  <c r="H49" i="9"/>
  <c r="I49" i="9"/>
  <c r="J49" i="9"/>
  <c r="K49" i="9"/>
  <c r="L49" i="9"/>
  <c r="M49" i="9"/>
  <c r="N49" i="9"/>
  <c r="O49" i="9"/>
  <c r="P49" i="9"/>
  <c r="Q49" i="9"/>
  <c r="R49" i="9"/>
  <c r="S49" i="9"/>
  <c r="B49" i="8" l="1"/>
  <c r="C49" i="8"/>
  <c r="D49" i="8"/>
  <c r="E49" i="8"/>
  <c r="F49" i="8"/>
  <c r="G49" i="8"/>
  <c r="H49" i="8"/>
  <c r="I49" i="8"/>
  <c r="J49" i="8"/>
  <c r="K49" i="8"/>
  <c r="L49" i="8"/>
  <c r="M49" i="8"/>
  <c r="N49" i="8"/>
  <c r="O49" i="8"/>
  <c r="P49" i="8"/>
  <c r="Q49" i="8"/>
  <c r="R49" i="8"/>
  <c r="S49" i="8"/>
  <c r="BI26" i="13"/>
  <c r="BI27" i="13"/>
  <c r="BI28" i="13"/>
  <c r="BI29" i="13"/>
  <c r="BI30" i="13"/>
  <c r="BI31" i="13"/>
  <c r="BI32" i="13"/>
  <c r="BI33" i="13"/>
  <c r="BI34" i="13"/>
  <c r="BI35" i="13"/>
  <c r="BI36" i="13"/>
  <c r="BI37" i="13"/>
  <c r="BI38" i="13"/>
  <c r="BI39" i="13"/>
  <c r="BI40" i="13"/>
  <c r="BI41" i="13"/>
  <c r="BI42" i="13"/>
  <c r="BI43" i="13"/>
  <c r="B48" i="9" l="1"/>
  <c r="C48" i="9"/>
  <c r="D48" i="9"/>
  <c r="E48" i="9"/>
  <c r="F48" i="9"/>
  <c r="G48" i="9"/>
  <c r="H48" i="9"/>
  <c r="I48" i="9"/>
  <c r="J48" i="9"/>
  <c r="K48" i="9"/>
  <c r="L48" i="9"/>
  <c r="M48" i="9"/>
  <c r="N48" i="9"/>
  <c r="O48" i="9"/>
  <c r="P48" i="9"/>
  <c r="Q48" i="9"/>
  <c r="R48" i="9"/>
  <c r="S48" i="9"/>
  <c r="B48" i="8" l="1"/>
  <c r="C48" i="8"/>
  <c r="D48" i="8"/>
  <c r="E48" i="8"/>
  <c r="F48" i="8"/>
  <c r="G48" i="8"/>
  <c r="H48" i="8"/>
  <c r="I48" i="8"/>
  <c r="J48" i="8"/>
  <c r="K48" i="8"/>
  <c r="L48" i="8"/>
  <c r="M48" i="8"/>
  <c r="N48" i="8"/>
  <c r="O48" i="8"/>
  <c r="P48" i="8"/>
  <c r="Q48" i="8"/>
  <c r="R48" i="8"/>
  <c r="S48" i="8"/>
  <c r="BH26" i="13"/>
  <c r="BH27" i="13"/>
  <c r="BH28" i="13"/>
  <c r="BH29" i="13"/>
  <c r="BH30" i="13"/>
  <c r="BH31" i="13"/>
  <c r="BH32" i="13"/>
  <c r="BH33" i="13"/>
  <c r="BH34" i="13"/>
  <c r="BH35" i="13"/>
  <c r="BH36" i="13"/>
  <c r="BH37" i="13"/>
  <c r="BH38" i="13"/>
  <c r="BH39" i="13"/>
  <c r="BH40" i="13"/>
  <c r="BH41" i="13"/>
  <c r="BH42" i="13"/>
  <c r="BH43" i="13"/>
  <c r="B47" i="9" l="1"/>
  <c r="C47" i="9"/>
  <c r="D47" i="9"/>
  <c r="E47" i="9"/>
  <c r="F47" i="9"/>
  <c r="G47" i="9"/>
  <c r="H47" i="9"/>
  <c r="I47" i="9"/>
  <c r="J47" i="9"/>
  <c r="K47" i="9"/>
  <c r="L47" i="9"/>
  <c r="M47" i="9"/>
  <c r="N47" i="9"/>
  <c r="O47" i="9"/>
  <c r="P47" i="9"/>
  <c r="Q47" i="9"/>
  <c r="R47" i="9"/>
  <c r="S47" i="9"/>
  <c r="B47" i="8" l="1"/>
  <c r="C47" i="8"/>
  <c r="D47" i="8"/>
  <c r="E47" i="8"/>
  <c r="F47" i="8"/>
  <c r="G47" i="8"/>
  <c r="H47" i="8"/>
  <c r="I47" i="8"/>
  <c r="J47" i="8"/>
  <c r="K47" i="8"/>
  <c r="L47" i="8"/>
  <c r="M47" i="8"/>
  <c r="N47" i="8"/>
  <c r="O47" i="8"/>
  <c r="P47" i="8"/>
  <c r="Q47" i="8"/>
  <c r="R47" i="8"/>
  <c r="S47" i="8"/>
  <c r="BG26" i="13"/>
  <c r="BG27" i="13"/>
  <c r="BG28" i="13"/>
  <c r="BG29" i="13"/>
  <c r="BG30" i="13"/>
  <c r="BG31" i="13"/>
  <c r="BG32" i="13"/>
  <c r="BG33" i="13"/>
  <c r="BG34" i="13"/>
  <c r="BG35" i="13"/>
  <c r="BG36" i="13"/>
  <c r="BG37" i="13"/>
  <c r="BG38" i="13"/>
  <c r="BG39" i="13"/>
  <c r="BG40" i="13"/>
  <c r="BG41" i="13"/>
  <c r="BG42" i="13"/>
  <c r="BG43" i="13"/>
  <c r="B46" i="9" l="1"/>
  <c r="C46" i="9"/>
  <c r="D46" i="9"/>
  <c r="E46" i="9"/>
  <c r="F46" i="9"/>
  <c r="G46" i="9"/>
  <c r="H46" i="9"/>
  <c r="I46" i="9"/>
  <c r="J46" i="9"/>
  <c r="K46" i="9"/>
  <c r="L46" i="9"/>
  <c r="M46" i="9"/>
  <c r="N46" i="9"/>
  <c r="O46" i="9"/>
  <c r="P46" i="9"/>
  <c r="Q46" i="9"/>
  <c r="R46" i="9"/>
  <c r="S46" i="9"/>
  <c r="B46" i="8"/>
  <c r="C46" i="8"/>
  <c r="D46" i="8"/>
  <c r="E46" i="8"/>
  <c r="F46" i="8"/>
  <c r="G46" i="8"/>
  <c r="H46" i="8"/>
  <c r="I46" i="8"/>
  <c r="J46" i="8"/>
  <c r="K46" i="8"/>
  <c r="L46" i="8"/>
  <c r="M46" i="8"/>
  <c r="N46" i="8"/>
  <c r="O46" i="8"/>
  <c r="P46" i="8"/>
  <c r="Q46" i="8"/>
  <c r="R46" i="8"/>
  <c r="S46" i="8"/>
  <c r="BF26" i="13"/>
  <c r="BF27" i="13"/>
  <c r="BF28" i="13"/>
  <c r="BF29" i="13"/>
  <c r="BF30" i="13"/>
  <c r="BF31" i="13"/>
  <c r="BF32" i="13"/>
  <c r="BF33" i="13"/>
  <c r="BF34" i="13"/>
  <c r="BF35" i="13"/>
  <c r="BF36" i="13"/>
  <c r="BF37" i="13"/>
  <c r="BF38" i="13"/>
  <c r="BF39" i="13"/>
  <c r="BF40" i="13"/>
  <c r="BF41" i="13"/>
  <c r="BF42" i="13"/>
  <c r="BF43" i="13"/>
  <c r="S45" i="9"/>
  <c r="R45" i="9"/>
  <c r="Q45" i="9"/>
  <c r="P45" i="9"/>
  <c r="O45" i="9"/>
  <c r="N45" i="9"/>
  <c r="M45" i="9"/>
  <c r="L45" i="9"/>
  <c r="K45" i="9"/>
  <c r="J45" i="9"/>
  <c r="I45" i="9"/>
  <c r="H45" i="9"/>
  <c r="G45" i="9"/>
  <c r="F45" i="9"/>
  <c r="E45" i="9"/>
  <c r="D45" i="9"/>
  <c r="C45" i="9"/>
  <c r="B45" i="9"/>
  <c r="B45" i="8" l="1"/>
  <c r="C45" i="8"/>
  <c r="D45" i="8"/>
  <c r="E45" i="8"/>
  <c r="F45" i="8"/>
  <c r="G45" i="8"/>
  <c r="H45" i="8"/>
  <c r="I45" i="8"/>
  <c r="J45" i="8"/>
  <c r="K45" i="8"/>
  <c r="L45" i="8"/>
  <c r="M45" i="8"/>
  <c r="N45" i="8"/>
  <c r="O45" i="8"/>
  <c r="P45" i="8"/>
  <c r="Q45" i="8"/>
  <c r="R45" i="8"/>
  <c r="S45" i="8"/>
  <c r="BE26" i="13"/>
  <c r="BE27" i="13"/>
  <c r="BE28" i="13"/>
  <c r="BE29" i="13"/>
  <c r="BE30" i="13"/>
  <c r="BE31" i="13"/>
  <c r="BE32" i="13"/>
  <c r="BE33" i="13"/>
  <c r="BE34" i="13"/>
  <c r="BE35" i="13"/>
  <c r="BE36" i="13"/>
  <c r="BE37" i="13"/>
  <c r="BE38" i="13"/>
  <c r="BE39" i="13"/>
  <c r="BE40" i="13"/>
  <c r="BE41" i="13"/>
  <c r="BE42" i="13"/>
  <c r="BE43" i="13"/>
  <c r="B44" i="9" l="1"/>
  <c r="C44" i="9"/>
  <c r="D44" i="9"/>
  <c r="E44" i="9"/>
  <c r="F44" i="9"/>
  <c r="G44" i="9"/>
  <c r="H44" i="9"/>
  <c r="I44" i="9"/>
  <c r="J44" i="9"/>
  <c r="K44" i="9"/>
  <c r="L44" i="9"/>
  <c r="M44" i="9"/>
  <c r="N44" i="9"/>
  <c r="O44" i="9"/>
  <c r="P44" i="9"/>
  <c r="Q44" i="9"/>
  <c r="R44" i="9"/>
  <c r="S44" i="9"/>
  <c r="B44" i="8"/>
  <c r="C44" i="8"/>
  <c r="D44" i="8"/>
  <c r="E44" i="8"/>
  <c r="F44" i="8"/>
  <c r="G44" i="8"/>
  <c r="H44" i="8"/>
  <c r="I44" i="8"/>
  <c r="J44" i="8"/>
  <c r="K44" i="8"/>
  <c r="L44" i="8"/>
  <c r="M44" i="8"/>
  <c r="N44" i="8"/>
  <c r="O44" i="8"/>
  <c r="P44" i="8"/>
  <c r="Q44" i="8"/>
  <c r="R44" i="8"/>
  <c r="S44" i="8"/>
  <c r="BD64" i="12" l="1"/>
  <c r="BD43" i="12"/>
  <c r="BD42" i="12"/>
  <c r="BD41" i="12"/>
  <c r="BD40" i="12"/>
  <c r="BD39" i="12"/>
  <c r="BD38" i="12"/>
  <c r="BD37" i="12"/>
  <c r="BD36" i="12"/>
  <c r="BD35" i="12"/>
  <c r="BD34" i="12"/>
  <c r="BD33" i="12"/>
  <c r="BD32" i="12"/>
  <c r="BD31" i="12"/>
  <c r="BD30" i="12"/>
  <c r="BD29" i="12"/>
  <c r="BD28" i="12"/>
  <c r="BD27" i="12"/>
  <c r="BD26" i="12"/>
  <c r="BD6" i="12"/>
  <c r="BD43" i="13"/>
  <c r="BD42" i="13"/>
  <c r="BD41" i="13"/>
  <c r="BD40" i="13"/>
  <c r="BD39" i="13"/>
  <c r="BD38" i="13"/>
  <c r="BD37" i="13"/>
  <c r="BD36" i="13"/>
  <c r="BD35" i="13"/>
  <c r="BD34" i="13"/>
  <c r="BD33" i="13"/>
  <c r="BD32" i="13"/>
  <c r="BD31" i="13"/>
  <c r="BD30" i="13"/>
  <c r="BD29" i="13"/>
  <c r="BD28" i="13"/>
  <c r="BD27" i="13"/>
  <c r="BD26" i="13"/>
  <c r="BD6" i="13"/>
  <c r="D176" i="13" l="1"/>
  <c r="D175" i="13"/>
  <c r="D174" i="13"/>
  <c r="D173" i="13"/>
  <c r="D172" i="13"/>
  <c r="D171" i="13"/>
  <c r="D170" i="13"/>
  <c r="D169" i="13"/>
  <c r="D168" i="13"/>
  <c r="D167" i="13"/>
  <c r="D166" i="13"/>
  <c r="D165" i="13"/>
  <c r="D164" i="13"/>
  <c r="D163" i="13"/>
  <c r="D162" i="13"/>
  <c r="D161" i="13"/>
  <c r="D160" i="13"/>
  <c r="D159" i="13"/>
  <c r="D62" i="13"/>
  <c r="D61" i="13"/>
  <c r="D60" i="13"/>
  <c r="D59" i="13"/>
  <c r="D58" i="13"/>
  <c r="D57" i="13"/>
  <c r="D56" i="13"/>
  <c r="D55" i="13"/>
  <c r="D54" i="13"/>
  <c r="D53" i="13"/>
  <c r="D52" i="13"/>
  <c r="D51" i="13"/>
  <c r="D50" i="13"/>
  <c r="D49" i="13"/>
  <c r="D48" i="13"/>
  <c r="D47" i="13"/>
  <c r="D46" i="13"/>
  <c r="D45" i="13"/>
  <c r="P44" i="13"/>
  <c r="O44" i="13"/>
  <c r="N44" i="13"/>
  <c r="M44" i="13"/>
  <c r="L44" i="13"/>
  <c r="K44" i="13"/>
  <c r="J44" i="13"/>
  <c r="I44" i="13"/>
  <c r="H44" i="13"/>
  <c r="BC43" i="13"/>
  <c r="BB43" i="13"/>
  <c r="BA43" i="13"/>
  <c r="AZ43" i="13"/>
  <c r="AY43" i="13"/>
  <c r="AX43" i="13"/>
  <c r="AW43" i="13"/>
  <c r="AV43" i="13"/>
  <c r="AU43" i="13"/>
  <c r="AT43" i="13"/>
  <c r="AS43" i="13"/>
  <c r="AR43" i="13"/>
  <c r="AQ43" i="13"/>
  <c r="AP43" i="13"/>
  <c r="AO43" i="13"/>
  <c r="AN43" i="13"/>
  <c r="AM43" i="13"/>
  <c r="AL43" i="13"/>
  <c r="AK43" i="13"/>
  <c r="AJ43" i="13"/>
  <c r="AI43" i="13"/>
  <c r="AH43" i="13"/>
  <c r="AG43" i="13"/>
  <c r="AF43" i="13"/>
  <c r="AE43" i="13"/>
  <c r="AD43" i="13"/>
  <c r="AC43" i="13"/>
  <c r="AB43" i="13"/>
  <c r="AA43" i="13"/>
  <c r="Z43" i="13"/>
  <c r="Y43" i="13"/>
  <c r="X43" i="13"/>
  <c r="W43" i="13"/>
  <c r="V43" i="13"/>
  <c r="U43" i="13"/>
  <c r="T43" i="13"/>
  <c r="S43" i="13"/>
  <c r="R43" i="13"/>
  <c r="Q43" i="13"/>
  <c r="P43" i="13"/>
  <c r="O43" i="13"/>
  <c r="N43" i="13"/>
  <c r="M43" i="13"/>
  <c r="L43" i="13"/>
  <c r="K43" i="13"/>
  <c r="BC42" i="13"/>
  <c r="BB42" i="13"/>
  <c r="BA42" i="13"/>
  <c r="AZ42" i="13"/>
  <c r="AY42" i="13"/>
  <c r="AX42" i="13"/>
  <c r="AW42" i="13"/>
  <c r="AV42" i="13"/>
  <c r="AU42" i="13"/>
  <c r="AT42" i="13"/>
  <c r="AS42" i="13"/>
  <c r="AR42" i="13"/>
  <c r="AQ42" i="13"/>
  <c r="AP42" i="13"/>
  <c r="AO42" i="13"/>
  <c r="AN42" i="13"/>
  <c r="AM42" i="13"/>
  <c r="AL42" i="13"/>
  <c r="AK42" i="13"/>
  <c r="AJ42" i="13"/>
  <c r="AI42" i="13"/>
  <c r="AH42" i="13"/>
  <c r="AG42" i="13"/>
  <c r="AF42" i="13"/>
  <c r="AE42" i="13"/>
  <c r="AD42" i="13"/>
  <c r="AC42" i="13"/>
  <c r="AB42" i="13"/>
  <c r="AA42" i="13"/>
  <c r="Z42" i="13"/>
  <c r="Y42" i="13"/>
  <c r="X42" i="13"/>
  <c r="W42" i="13"/>
  <c r="V42" i="13"/>
  <c r="U42" i="13"/>
  <c r="T42" i="13"/>
  <c r="S42" i="13"/>
  <c r="R42" i="13"/>
  <c r="Q42" i="13"/>
  <c r="P42" i="13"/>
  <c r="O42" i="13"/>
  <c r="N42" i="13"/>
  <c r="M42" i="13"/>
  <c r="L42" i="13"/>
  <c r="K42" i="13"/>
  <c r="BC41" i="13"/>
  <c r="BB41" i="13"/>
  <c r="BA41" i="13"/>
  <c r="AZ41" i="13"/>
  <c r="AY41" i="13"/>
  <c r="AX41" i="13"/>
  <c r="AW41" i="13"/>
  <c r="AV41" i="13"/>
  <c r="AU41" i="13"/>
  <c r="AT41" i="13"/>
  <c r="AS41" i="13"/>
  <c r="AR41" i="13"/>
  <c r="AQ41" i="13"/>
  <c r="AP41" i="13"/>
  <c r="AO41" i="13"/>
  <c r="AN41" i="13"/>
  <c r="AM41" i="13"/>
  <c r="AL41" i="13"/>
  <c r="AK41" i="13"/>
  <c r="AJ41" i="13"/>
  <c r="AI41" i="13"/>
  <c r="AH41" i="13"/>
  <c r="AG41" i="13"/>
  <c r="AF41" i="13"/>
  <c r="AE41" i="13"/>
  <c r="AD41" i="13"/>
  <c r="AC41" i="13"/>
  <c r="AB41" i="13"/>
  <c r="AA41" i="13"/>
  <c r="Z41" i="13"/>
  <c r="Y41" i="13"/>
  <c r="X41" i="13"/>
  <c r="W41" i="13"/>
  <c r="V41" i="13"/>
  <c r="U41" i="13"/>
  <c r="T41" i="13"/>
  <c r="S41" i="13"/>
  <c r="R41" i="13"/>
  <c r="Q41" i="13"/>
  <c r="P41" i="13"/>
  <c r="O41" i="13"/>
  <c r="N41" i="13"/>
  <c r="M41" i="13"/>
  <c r="L41" i="13"/>
  <c r="K41" i="13"/>
  <c r="BC40" i="13"/>
  <c r="BB40" i="13"/>
  <c r="BA40" i="13"/>
  <c r="AZ40" i="13"/>
  <c r="AY40" i="13"/>
  <c r="AX40" i="13"/>
  <c r="AW40" i="13"/>
  <c r="AV40" i="13"/>
  <c r="AU40" i="13"/>
  <c r="AT40" i="13"/>
  <c r="AS40" i="13"/>
  <c r="AR40" i="13"/>
  <c r="AQ40" i="13"/>
  <c r="AP40" i="13"/>
  <c r="AO40" i="13"/>
  <c r="AN40" i="13"/>
  <c r="AM40" i="13"/>
  <c r="AL40" i="13"/>
  <c r="AK40" i="13"/>
  <c r="AJ40" i="13"/>
  <c r="AI40" i="13"/>
  <c r="AH40" i="13"/>
  <c r="AG40" i="13"/>
  <c r="AF40" i="13"/>
  <c r="AE40" i="13"/>
  <c r="AD40" i="13"/>
  <c r="AC40" i="13"/>
  <c r="AB40" i="13"/>
  <c r="AA40" i="13"/>
  <c r="Z40" i="13"/>
  <c r="Y40" i="13"/>
  <c r="X40" i="13"/>
  <c r="W40" i="13"/>
  <c r="V40" i="13"/>
  <c r="U40" i="13"/>
  <c r="T40" i="13"/>
  <c r="S40" i="13"/>
  <c r="R40" i="13"/>
  <c r="Q40" i="13"/>
  <c r="P40" i="13"/>
  <c r="O40" i="13"/>
  <c r="N40" i="13"/>
  <c r="M40" i="13"/>
  <c r="L40" i="13"/>
  <c r="K40" i="13"/>
  <c r="BC39" i="13"/>
  <c r="BB39"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BC38" i="13"/>
  <c r="BB38" i="13"/>
  <c r="BA38" i="13"/>
  <c r="AZ38" i="13"/>
  <c r="AY38" i="13"/>
  <c r="AX38" i="13"/>
  <c r="AW38" i="13"/>
  <c r="AV38" i="13"/>
  <c r="AU38" i="13"/>
  <c r="AT38" i="13"/>
  <c r="AS38" i="13"/>
  <c r="AR38" i="13"/>
  <c r="AQ38" i="13"/>
  <c r="AP38" i="13"/>
  <c r="AO38" i="13"/>
  <c r="AN38" i="13"/>
  <c r="AM38" i="13"/>
  <c r="AL38" i="13"/>
  <c r="AK38" i="13"/>
  <c r="AJ38" i="13"/>
  <c r="AI38" i="13"/>
  <c r="AH38" i="13"/>
  <c r="AG38" i="13"/>
  <c r="AF38" i="13"/>
  <c r="AE38" i="13"/>
  <c r="AD38" i="13"/>
  <c r="AC38" i="13"/>
  <c r="AB38" i="13"/>
  <c r="AA38" i="13"/>
  <c r="Z38" i="13"/>
  <c r="Y38" i="13"/>
  <c r="X38" i="13"/>
  <c r="W38" i="13"/>
  <c r="V38" i="13"/>
  <c r="U38" i="13"/>
  <c r="T38" i="13"/>
  <c r="S38" i="13"/>
  <c r="R38" i="13"/>
  <c r="Q38" i="13"/>
  <c r="P38" i="13"/>
  <c r="O38" i="13"/>
  <c r="N38" i="13"/>
  <c r="M38" i="13"/>
  <c r="L38" i="13"/>
  <c r="K38" i="13"/>
  <c r="BC37" i="13"/>
  <c r="BB37" i="13"/>
  <c r="BA37" i="13"/>
  <c r="AZ37" i="13"/>
  <c r="AY37" i="13"/>
  <c r="AX37" i="13"/>
  <c r="AW37" i="13"/>
  <c r="AV37" i="13"/>
  <c r="AU37" i="13"/>
  <c r="AT37" i="13"/>
  <c r="AS37" i="13"/>
  <c r="AR37" i="13"/>
  <c r="AQ37" i="13"/>
  <c r="AP37" i="13"/>
  <c r="AO37" i="13"/>
  <c r="AN37" i="13"/>
  <c r="AM37" i="13"/>
  <c r="AL37" i="13"/>
  <c r="AK37" i="13"/>
  <c r="AJ37" i="13"/>
  <c r="AI37" i="13"/>
  <c r="AH37" i="13"/>
  <c r="AG37" i="13"/>
  <c r="AF37" i="13"/>
  <c r="AE37" i="13"/>
  <c r="AD37" i="13"/>
  <c r="AC37" i="13"/>
  <c r="AB37" i="13"/>
  <c r="AA37" i="13"/>
  <c r="Z37" i="13"/>
  <c r="Y37" i="13"/>
  <c r="X37" i="13"/>
  <c r="W37" i="13"/>
  <c r="V37" i="13"/>
  <c r="U37" i="13"/>
  <c r="T37" i="13"/>
  <c r="S37" i="13"/>
  <c r="R37" i="13"/>
  <c r="Q37" i="13"/>
  <c r="P37" i="13"/>
  <c r="O37" i="13"/>
  <c r="N37" i="13"/>
  <c r="M37" i="13"/>
  <c r="L37" i="13"/>
  <c r="K37" i="13"/>
  <c r="BC36" i="13"/>
  <c r="BB36" i="13"/>
  <c r="BA36" i="13"/>
  <c r="AZ36" i="13"/>
  <c r="AY36" i="13"/>
  <c r="AX36" i="13"/>
  <c r="AW36" i="13"/>
  <c r="AV36" i="13"/>
  <c r="AU36" i="13"/>
  <c r="AT36" i="13"/>
  <c r="AS36" i="13"/>
  <c r="AR36" i="13"/>
  <c r="AQ36" i="13"/>
  <c r="AP36" i="13"/>
  <c r="AO36" i="13"/>
  <c r="AN36" i="13"/>
  <c r="AM36" i="13"/>
  <c r="AL36" i="13"/>
  <c r="AK36" i="13"/>
  <c r="AJ36" i="13"/>
  <c r="AI36" i="13"/>
  <c r="AH36" i="13"/>
  <c r="AG36" i="13"/>
  <c r="AF36" i="13"/>
  <c r="AE36" i="13"/>
  <c r="AD36" i="13"/>
  <c r="AC36" i="13"/>
  <c r="AB36" i="13"/>
  <c r="AA36" i="13"/>
  <c r="Z36" i="13"/>
  <c r="Y36" i="13"/>
  <c r="X36" i="13"/>
  <c r="W36" i="13"/>
  <c r="V36" i="13"/>
  <c r="U36" i="13"/>
  <c r="T36" i="13"/>
  <c r="S36" i="13"/>
  <c r="R36" i="13"/>
  <c r="Q36" i="13"/>
  <c r="P36" i="13"/>
  <c r="O36" i="13"/>
  <c r="N36" i="13"/>
  <c r="M36" i="13"/>
  <c r="L36" i="13"/>
  <c r="K36" i="13"/>
  <c r="BC35" i="13"/>
  <c r="BB35" i="13"/>
  <c r="BA35" i="13"/>
  <c r="AZ35" i="13"/>
  <c r="AY35" i="13"/>
  <c r="AX35" i="13"/>
  <c r="AW35" i="13"/>
  <c r="AV35" i="13"/>
  <c r="AU35" i="13"/>
  <c r="AT35" i="13"/>
  <c r="AS35" i="13"/>
  <c r="AR35" i="13"/>
  <c r="AQ35" i="13"/>
  <c r="AP35" i="13"/>
  <c r="AO35" i="13"/>
  <c r="AN35" i="13"/>
  <c r="AM35" i="13"/>
  <c r="AL35" i="13"/>
  <c r="AK35" i="13"/>
  <c r="AJ35" i="13"/>
  <c r="AI35" i="13"/>
  <c r="AH35" i="13"/>
  <c r="AG35" i="13"/>
  <c r="AF35" i="13"/>
  <c r="AE35" i="13"/>
  <c r="AD35" i="13"/>
  <c r="AC35" i="13"/>
  <c r="AB35" i="13"/>
  <c r="AA35" i="13"/>
  <c r="Z35" i="13"/>
  <c r="Y35" i="13"/>
  <c r="X35" i="13"/>
  <c r="W35" i="13"/>
  <c r="V35" i="13"/>
  <c r="U35" i="13"/>
  <c r="T35" i="13"/>
  <c r="S35" i="13"/>
  <c r="R35" i="13"/>
  <c r="Q35" i="13"/>
  <c r="P35" i="13"/>
  <c r="O35" i="13"/>
  <c r="N35" i="13"/>
  <c r="M35" i="13"/>
  <c r="L35" i="13"/>
  <c r="K35" i="13"/>
  <c r="BC34" i="13"/>
  <c r="BB34" i="13"/>
  <c r="BA34" i="13"/>
  <c r="AZ34" i="13"/>
  <c r="AY34" i="13"/>
  <c r="AX34" i="13"/>
  <c r="AW34" i="13"/>
  <c r="AV34" i="13"/>
  <c r="AU34" i="13"/>
  <c r="AT34" i="13"/>
  <c r="AS34" i="13"/>
  <c r="AR34" i="13"/>
  <c r="AQ34" i="13"/>
  <c r="AP34" i="13"/>
  <c r="AO34" i="13"/>
  <c r="AN34" i="13"/>
  <c r="AM34" i="13"/>
  <c r="AL34" i="13"/>
  <c r="AK34" i="13"/>
  <c r="AJ34" i="13"/>
  <c r="AI34" i="13"/>
  <c r="AH34" i="13"/>
  <c r="AG34" i="13"/>
  <c r="AF34" i="13"/>
  <c r="AE34" i="13"/>
  <c r="AD34" i="13"/>
  <c r="AC34" i="13"/>
  <c r="AB34" i="13"/>
  <c r="AA34" i="13"/>
  <c r="Z34" i="13"/>
  <c r="Y34" i="13"/>
  <c r="X34" i="13"/>
  <c r="W34" i="13"/>
  <c r="V34" i="13"/>
  <c r="U34" i="13"/>
  <c r="T34" i="13"/>
  <c r="S34" i="13"/>
  <c r="R34" i="13"/>
  <c r="Q34" i="13"/>
  <c r="P34" i="13"/>
  <c r="O34" i="13"/>
  <c r="N34" i="13"/>
  <c r="M34" i="13"/>
  <c r="L34" i="13"/>
  <c r="K34" i="13"/>
  <c r="BC33" i="13"/>
  <c r="BB33" i="13"/>
  <c r="BA33" i="13"/>
  <c r="AZ33" i="13"/>
  <c r="AY33" i="13"/>
  <c r="AX33" i="13"/>
  <c r="AW33" i="13"/>
  <c r="AV33" i="13"/>
  <c r="AU33" i="13"/>
  <c r="AT33" i="13"/>
  <c r="AS33" i="13"/>
  <c r="AR33" i="13"/>
  <c r="AQ33" i="13"/>
  <c r="AP33" i="13"/>
  <c r="AO33" i="13"/>
  <c r="AN33" i="13"/>
  <c r="AM33" i="13"/>
  <c r="AL33" i="13"/>
  <c r="AK33" i="13"/>
  <c r="AJ33" i="13"/>
  <c r="AI33" i="13"/>
  <c r="AH33" i="13"/>
  <c r="AG33" i="13"/>
  <c r="AF33" i="13"/>
  <c r="AE33" i="13"/>
  <c r="AD33" i="13"/>
  <c r="AC33" i="13"/>
  <c r="AB33" i="13"/>
  <c r="AA33" i="13"/>
  <c r="Z33" i="13"/>
  <c r="Y33" i="13"/>
  <c r="X33" i="13"/>
  <c r="W33" i="13"/>
  <c r="V33" i="13"/>
  <c r="U33" i="13"/>
  <c r="T33" i="13"/>
  <c r="S33" i="13"/>
  <c r="R33" i="13"/>
  <c r="Q33" i="13"/>
  <c r="P33" i="13"/>
  <c r="O33" i="13"/>
  <c r="N33" i="13"/>
  <c r="M33" i="13"/>
  <c r="L33" i="13"/>
  <c r="K33" i="13"/>
  <c r="BC32" i="13"/>
  <c r="BB32" i="13"/>
  <c r="BA32" i="13"/>
  <c r="AZ32" i="13"/>
  <c r="AY32" i="13"/>
  <c r="AX32" i="13"/>
  <c r="AW32" i="13"/>
  <c r="AV32" i="13"/>
  <c r="AU32" i="13"/>
  <c r="AT32" i="13"/>
  <c r="AS32" i="13"/>
  <c r="AR32" i="13"/>
  <c r="AQ32" i="13"/>
  <c r="AP32" i="13"/>
  <c r="AO32" i="13"/>
  <c r="AN32" i="13"/>
  <c r="AM32" i="13"/>
  <c r="AL32" i="13"/>
  <c r="AK32" i="13"/>
  <c r="AJ32" i="13"/>
  <c r="AI32" i="13"/>
  <c r="AH32" i="13"/>
  <c r="AG32" i="13"/>
  <c r="AF32" i="13"/>
  <c r="AE32" i="13"/>
  <c r="AD32" i="13"/>
  <c r="AC32" i="13"/>
  <c r="AB32" i="13"/>
  <c r="AA32" i="13"/>
  <c r="Z32" i="13"/>
  <c r="Y32" i="13"/>
  <c r="X32" i="13"/>
  <c r="W32" i="13"/>
  <c r="V32" i="13"/>
  <c r="U32" i="13"/>
  <c r="T32" i="13"/>
  <c r="S32" i="13"/>
  <c r="R32" i="13"/>
  <c r="Q32" i="13"/>
  <c r="P32" i="13"/>
  <c r="O32" i="13"/>
  <c r="N32" i="13"/>
  <c r="M32" i="13"/>
  <c r="L32" i="13"/>
  <c r="K32" i="13"/>
  <c r="BC31" i="13"/>
  <c r="BB31" i="13"/>
  <c r="BA31" i="13"/>
  <c r="AZ31" i="13"/>
  <c r="AY31" i="13"/>
  <c r="AX31" i="13"/>
  <c r="AW31" i="13"/>
  <c r="AV31" i="13"/>
  <c r="AU31" i="13"/>
  <c r="AT31" i="13"/>
  <c r="AS31" i="13"/>
  <c r="AR31" i="13"/>
  <c r="AQ31" i="13"/>
  <c r="AP31" i="13"/>
  <c r="AO31" i="13"/>
  <c r="AN31" i="13"/>
  <c r="AM31" i="13"/>
  <c r="AL31" i="13"/>
  <c r="AK31" i="13"/>
  <c r="AJ31" i="13"/>
  <c r="AI31" i="13"/>
  <c r="AH31" i="13"/>
  <c r="AG31" i="13"/>
  <c r="AF31" i="13"/>
  <c r="AE31" i="13"/>
  <c r="AD31" i="13"/>
  <c r="AC31" i="13"/>
  <c r="AB31" i="13"/>
  <c r="AA31" i="13"/>
  <c r="Z31" i="13"/>
  <c r="Y31" i="13"/>
  <c r="X31" i="13"/>
  <c r="W31" i="13"/>
  <c r="V31" i="13"/>
  <c r="U31" i="13"/>
  <c r="T31" i="13"/>
  <c r="S31" i="13"/>
  <c r="R31" i="13"/>
  <c r="Q31" i="13"/>
  <c r="P31" i="13"/>
  <c r="O31" i="13"/>
  <c r="N31" i="13"/>
  <c r="M31" i="13"/>
  <c r="L31" i="13"/>
  <c r="K31" i="13"/>
  <c r="BC30" i="13"/>
  <c r="BB30" i="13"/>
  <c r="BA30" i="13"/>
  <c r="AZ30" i="13"/>
  <c r="AY30" i="13"/>
  <c r="AX30" i="13"/>
  <c r="AW30" i="13"/>
  <c r="AV30" i="13"/>
  <c r="AU30" i="13"/>
  <c r="AT30" i="13"/>
  <c r="AS30" i="13"/>
  <c r="AR30" i="13"/>
  <c r="AQ30" i="13"/>
  <c r="AP30" i="13"/>
  <c r="AO30" i="13"/>
  <c r="AN30" i="13"/>
  <c r="AM30" i="13"/>
  <c r="AL30" i="13"/>
  <c r="AK30" i="13"/>
  <c r="AJ30" i="13"/>
  <c r="AI30" i="13"/>
  <c r="AH30" i="13"/>
  <c r="AG30" i="13"/>
  <c r="AF30" i="13"/>
  <c r="AE30" i="13"/>
  <c r="AD30" i="13"/>
  <c r="AC30" i="13"/>
  <c r="AB30" i="13"/>
  <c r="AA30" i="13"/>
  <c r="Z30" i="13"/>
  <c r="Y30" i="13"/>
  <c r="X30" i="13"/>
  <c r="W30" i="13"/>
  <c r="V30" i="13"/>
  <c r="U30" i="13"/>
  <c r="T30" i="13"/>
  <c r="S30" i="13"/>
  <c r="R30" i="13"/>
  <c r="Q30" i="13"/>
  <c r="P30" i="13"/>
  <c r="O30" i="13"/>
  <c r="N30" i="13"/>
  <c r="M30" i="13"/>
  <c r="L30" i="13"/>
  <c r="K30" i="13"/>
  <c r="BC29" i="13"/>
  <c r="BB29" i="13"/>
  <c r="BA29" i="13"/>
  <c r="AZ29" i="13"/>
  <c r="AY29" i="13"/>
  <c r="AX29" i="13"/>
  <c r="AW29" i="13"/>
  <c r="AV29" i="13"/>
  <c r="AU29" i="13"/>
  <c r="AT29" i="13"/>
  <c r="AS29" i="13"/>
  <c r="AR29" i="13"/>
  <c r="AQ29" i="13"/>
  <c r="AP29" i="13"/>
  <c r="AO29" i="13"/>
  <c r="AN29" i="13"/>
  <c r="AM29" i="13"/>
  <c r="AL29" i="13"/>
  <c r="AK29" i="13"/>
  <c r="AJ29" i="13"/>
  <c r="AI29" i="13"/>
  <c r="AH29" i="13"/>
  <c r="AG29" i="13"/>
  <c r="AF29" i="13"/>
  <c r="AE29" i="13"/>
  <c r="AD29" i="13"/>
  <c r="AC29" i="13"/>
  <c r="AB29" i="13"/>
  <c r="AA29" i="13"/>
  <c r="Z29" i="13"/>
  <c r="Y29" i="13"/>
  <c r="X29" i="13"/>
  <c r="W29" i="13"/>
  <c r="V29" i="13"/>
  <c r="U29" i="13"/>
  <c r="T29" i="13"/>
  <c r="S29" i="13"/>
  <c r="R29" i="13"/>
  <c r="Q29" i="13"/>
  <c r="P29" i="13"/>
  <c r="O29" i="13"/>
  <c r="N29" i="13"/>
  <c r="M29" i="13"/>
  <c r="L29" i="13"/>
  <c r="K29" i="13"/>
  <c r="BC28" i="13"/>
  <c r="BB28" i="13"/>
  <c r="BA28" i="13"/>
  <c r="AZ28" i="13"/>
  <c r="AY28" i="13"/>
  <c r="AX28" i="13"/>
  <c r="AW28" i="13"/>
  <c r="AV28" i="13"/>
  <c r="AU28" i="13"/>
  <c r="AT28" i="13"/>
  <c r="AS28" i="13"/>
  <c r="AR28" i="13"/>
  <c r="AQ28" i="13"/>
  <c r="AP28" i="13"/>
  <c r="AO28" i="13"/>
  <c r="AN28" i="13"/>
  <c r="AM28" i="13"/>
  <c r="AL28" i="13"/>
  <c r="AK28" i="13"/>
  <c r="AJ28" i="13"/>
  <c r="AI28" i="13"/>
  <c r="AH28" i="13"/>
  <c r="AG28" i="13"/>
  <c r="AF28" i="13"/>
  <c r="AE28" i="13"/>
  <c r="AD28" i="13"/>
  <c r="AC28" i="13"/>
  <c r="AB28" i="13"/>
  <c r="AA28" i="13"/>
  <c r="Z28" i="13"/>
  <c r="Y28" i="13"/>
  <c r="X28" i="13"/>
  <c r="W28" i="13"/>
  <c r="V28" i="13"/>
  <c r="U28" i="13"/>
  <c r="T28" i="13"/>
  <c r="S28" i="13"/>
  <c r="R28" i="13"/>
  <c r="Q28" i="13"/>
  <c r="P28" i="13"/>
  <c r="O28" i="13"/>
  <c r="N28" i="13"/>
  <c r="M28" i="13"/>
  <c r="L28" i="13"/>
  <c r="K28"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M27" i="13"/>
  <c r="L27" i="13"/>
  <c r="K27" i="13"/>
  <c r="BC26" i="13"/>
  <c r="BB26" i="13"/>
  <c r="BA26" i="13"/>
  <c r="AZ26" i="13"/>
  <c r="AY26" i="13"/>
  <c r="AX26" i="13"/>
  <c r="AW26" i="13"/>
  <c r="AV26" i="13"/>
  <c r="AU26" i="13"/>
  <c r="AT26" i="13"/>
  <c r="AS26" i="13"/>
  <c r="AR26" i="13"/>
  <c r="AQ26" i="13"/>
  <c r="AP26" i="13"/>
  <c r="AO26" i="13"/>
  <c r="AN26" i="13"/>
  <c r="AM26" i="13"/>
  <c r="AL26" i="13"/>
  <c r="AK26" i="13"/>
  <c r="AJ26" i="13"/>
  <c r="AI26" i="13"/>
  <c r="AH26" i="13"/>
  <c r="AG26" i="13"/>
  <c r="AF26" i="13"/>
  <c r="AE26" i="13"/>
  <c r="AD26" i="13"/>
  <c r="AC26" i="13"/>
  <c r="AB26" i="13"/>
  <c r="AA26" i="13"/>
  <c r="Z26" i="13"/>
  <c r="Y26" i="13"/>
  <c r="X26" i="13"/>
  <c r="W26" i="13"/>
  <c r="V26" i="13"/>
  <c r="U26" i="13"/>
  <c r="T26" i="13"/>
  <c r="S26" i="13"/>
  <c r="R26" i="13"/>
  <c r="Q26" i="13"/>
  <c r="P26" i="13"/>
  <c r="O26" i="13"/>
  <c r="N26" i="13"/>
  <c r="M26" i="13"/>
  <c r="L26" i="13"/>
  <c r="K26" i="13"/>
  <c r="J25" i="13"/>
  <c r="I25" i="13"/>
  <c r="H25" i="13"/>
  <c r="D24" i="13"/>
  <c r="D23" i="13"/>
  <c r="D22" i="13"/>
  <c r="D21" i="13"/>
  <c r="D20" i="13"/>
  <c r="J19" i="13"/>
  <c r="J6" i="13" s="1"/>
  <c r="D19" i="13"/>
  <c r="D18" i="13"/>
  <c r="D17" i="13"/>
  <c r="D16" i="13"/>
  <c r="D15" i="13"/>
  <c r="D14" i="13"/>
  <c r="D13" i="13"/>
  <c r="D12" i="13"/>
  <c r="D11" i="13"/>
  <c r="D10" i="13"/>
  <c r="D9" i="13"/>
  <c r="D8" i="13"/>
  <c r="D7" i="13"/>
  <c r="BI6" i="13"/>
  <c r="BH6" i="13"/>
  <c r="BG6" i="13"/>
  <c r="BF6" i="13"/>
  <c r="BE6" i="13"/>
  <c r="BC6" i="13"/>
  <c r="BB6" i="13"/>
  <c r="BA6" i="13"/>
  <c r="AZ6" i="13"/>
  <c r="AY6" i="13"/>
  <c r="AX6" i="13"/>
  <c r="AW6" i="13"/>
  <c r="AV6" i="13"/>
  <c r="AU6" i="13"/>
  <c r="AT6" i="13"/>
  <c r="AS6" i="13"/>
  <c r="AR6" i="13"/>
  <c r="AQ6" i="13"/>
  <c r="AP6" i="13"/>
  <c r="AO6" i="13"/>
  <c r="AN6" i="13"/>
  <c r="AM6" i="13"/>
  <c r="AL6" i="13"/>
  <c r="AK6" i="13"/>
  <c r="AJ6" i="13"/>
  <c r="AI6" i="13"/>
  <c r="AH6" i="13"/>
  <c r="AG6" i="13"/>
  <c r="AF6" i="13"/>
  <c r="AE6" i="13"/>
  <c r="AD6" i="13"/>
  <c r="AC6" i="13"/>
  <c r="AB6" i="13"/>
  <c r="AA6" i="13"/>
  <c r="Z6" i="13"/>
  <c r="Y6" i="13"/>
  <c r="X6" i="13"/>
  <c r="W6" i="13"/>
  <c r="V6" i="13"/>
  <c r="U6" i="13"/>
  <c r="T6" i="13"/>
  <c r="S6" i="13"/>
  <c r="R6" i="13"/>
  <c r="Q6" i="13"/>
  <c r="P6" i="13"/>
  <c r="O6" i="13"/>
  <c r="N6" i="13"/>
  <c r="M6" i="13"/>
  <c r="L6" i="13"/>
  <c r="K6" i="13"/>
  <c r="I6" i="13"/>
  <c r="H6" i="13"/>
  <c r="G6" i="13"/>
  <c r="F6" i="13"/>
  <c r="E6" i="13"/>
  <c r="P25" i="13" l="1"/>
  <c r="M25" i="13"/>
  <c r="D29" i="13"/>
  <c r="D37" i="13"/>
  <c r="D31" i="13"/>
  <c r="D39" i="13"/>
  <c r="K25" i="13"/>
  <c r="D26" i="13"/>
  <c r="L25" i="13"/>
  <c r="D34" i="13"/>
  <c r="D42" i="13"/>
  <c r="D32" i="13"/>
  <c r="D40" i="13"/>
  <c r="D33" i="13"/>
  <c r="D41" i="13"/>
  <c r="O25" i="13"/>
  <c r="N25" i="13"/>
  <c r="D30" i="13"/>
  <c r="D38" i="13"/>
  <c r="D27" i="13"/>
  <c r="D35" i="13"/>
  <c r="D43" i="13"/>
  <c r="D28" i="13"/>
  <c r="D36" i="13"/>
  <c r="D82" i="12"/>
  <c r="D81" i="12"/>
  <c r="D80" i="12"/>
  <c r="D79" i="12"/>
  <c r="D78" i="12"/>
  <c r="D77" i="12"/>
  <c r="D76" i="12"/>
  <c r="D75" i="12"/>
  <c r="D74" i="12"/>
  <c r="D73" i="12"/>
  <c r="D72" i="12"/>
  <c r="D71" i="12"/>
  <c r="D70" i="12"/>
  <c r="D69" i="12"/>
  <c r="D68" i="12"/>
  <c r="D67" i="12"/>
  <c r="D66" i="12"/>
  <c r="D65" i="12"/>
  <c r="BI64" i="12"/>
  <c r="BH64" i="12"/>
  <c r="BG64" i="12"/>
  <c r="BF64" i="12"/>
  <c r="BE64" i="12"/>
  <c r="BC64" i="12"/>
  <c r="BB64" i="12"/>
  <c r="BA64" i="12"/>
  <c r="AZ64" i="12"/>
  <c r="AY64" i="12"/>
  <c r="AX64" i="12"/>
  <c r="AW64" i="12"/>
  <c r="AV64" i="12"/>
  <c r="AU64" i="12"/>
  <c r="AT64" i="12"/>
  <c r="AS64" i="12"/>
  <c r="AR64" i="12"/>
  <c r="AQ64" i="12"/>
  <c r="AP64" i="12"/>
  <c r="AO64" i="12"/>
  <c r="AN64" i="12"/>
  <c r="AM64" i="12"/>
  <c r="AL64" i="12"/>
  <c r="AK64" i="12"/>
  <c r="AJ64" i="12"/>
  <c r="AI64" i="12"/>
  <c r="AH64" i="12"/>
  <c r="AG64" i="12"/>
  <c r="AF64" i="12"/>
  <c r="AE64" i="12"/>
  <c r="AD64" i="12"/>
  <c r="AC64" i="12"/>
  <c r="AB64" i="12"/>
  <c r="AA64" i="12"/>
  <c r="Z64" i="12"/>
  <c r="Y64" i="12"/>
  <c r="X64" i="12"/>
  <c r="W64" i="12"/>
  <c r="V64" i="12"/>
  <c r="U64" i="12"/>
  <c r="T64" i="12"/>
  <c r="S64" i="12"/>
  <c r="R64" i="12"/>
  <c r="Q64" i="12"/>
  <c r="P64" i="12"/>
  <c r="O64" i="12"/>
  <c r="N64" i="12"/>
  <c r="M64" i="12"/>
  <c r="L64" i="12"/>
  <c r="K64" i="12"/>
  <c r="J64" i="12"/>
  <c r="D62" i="12"/>
  <c r="D61" i="12"/>
  <c r="D60" i="12"/>
  <c r="D59" i="12"/>
  <c r="D58" i="12"/>
  <c r="D57" i="12"/>
  <c r="D56" i="12"/>
  <c r="D55" i="12"/>
  <c r="D54" i="12"/>
  <c r="D53" i="12"/>
  <c r="D52" i="12"/>
  <c r="D51" i="12"/>
  <c r="D50" i="12"/>
  <c r="D49" i="12"/>
  <c r="D48" i="12"/>
  <c r="D47" i="12"/>
  <c r="D46" i="12"/>
  <c r="D45" i="12"/>
  <c r="BI43" i="12"/>
  <c r="BH43" i="12"/>
  <c r="BG43" i="12"/>
  <c r="BF43" i="12"/>
  <c r="BE43" i="12"/>
  <c r="BC43" i="12"/>
  <c r="BB43" i="12"/>
  <c r="BA43" i="12"/>
  <c r="AZ43" i="12"/>
  <c r="AY43" i="12"/>
  <c r="AX43" i="12"/>
  <c r="AW43" i="12"/>
  <c r="AV43" i="12"/>
  <c r="AU43" i="12"/>
  <c r="AT43" i="12"/>
  <c r="AS43" i="12"/>
  <c r="AR43" i="12"/>
  <c r="AQ43" i="12"/>
  <c r="AP43" i="12"/>
  <c r="AO43" i="12"/>
  <c r="AN43" i="12"/>
  <c r="AM43" i="12"/>
  <c r="AL43" i="12"/>
  <c r="AK43" i="12"/>
  <c r="AJ43" i="12"/>
  <c r="AI43" i="12"/>
  <c r="AH43" i="12"/>
  <c r="AG43" i="12"/>
  <c r="AF43" i="12"/>
  <c r="AE43" i="12"/>
  <c r="AD43" i="12"/>
  <c r="AC43" i="12"/>
  <c r="AB43" i="12"/>
  <c r="AA43" i="12"/>
  <c r="Z43" i="12"/>
  <c r="Y43" i="12"/>
  <c r="X43" i="12"/>
  <c r="W43" i="12"/>
  <c r="V43" i="12"/>
  <c r="U43" i="12"/>
  <c r="T43" i="12"/>
  <c r="S43" i="12"/>
  <c r="R43" i="12"/>
  <c r="Q43" i="12"/>
  <c r="P43" i="12"/>
  <c r="BI42" i="12"/>
  <c r="BH42" i="12"/>
  <c r="BG42" i="12"/>
  <c r="BF42" i="12"/>
  <c r="BE42" i="12"/>
  <c r="BC42" i="12"/>
  <c r="BB42" i="12"/>
  <c r="BA42" i="12"/>
  <c r="AZ42" i="12"/>
  <c r="AY42" i="12"/>
  <c r="AX42" i="12"/>
  <c r="AW42" i="12"/>
  <c r="AV42" i="12"/>
  <c r="AU42" i="12"/>
  <c r="AT42" i="12"/>
  <c r="AS42" i="12"/>
  <c r="AR42" i="12"/>
  <c r="AQ42" i="12"/>
  <c r="AP42" i="12"/>
  <c r="AO42" i="12"/>
  <c r="AN42" i="12"/>
  <c r="AM42" i="12"/>
  <c r="AL42" i="12"/>
  <c r="AK42" i="12"/>
  <c r="AJ42" i="12"/>
  <c r="AI42" i="12"/>
  <c r="AH42" i="12"/>
  <c r="AG42" i="12"/>
  <c r="AF42" i="12"/>
  <c r="AE42" i="12"/>
  <c r="AD42" i="12"/>
  <c r="AC42" i="12"/>
  <c r="AB42" i="12"/>
  <c r="AA42" i="12"/>
  <c r="Z42" i="12"/>
  <c r="Y42" i="12"/>
  <c r="X42" i="12"/>
  <c r="W42" i="12"/>
  <c r="V42" i="12"/>
  <c r="U42" i="12"/>
  <c r="T42" i="12"/>
  <c r="S42" i="12"/>
  <c r="R42" i="12"/>
  <c r="Q42" i="12"/>
  <c r="P42" i="12"/>
  <c r="BI41" i="12"/>
  <c r="BH41" i="12"/>
  <c r="BG41" i="12"/>
  <c r="BF41" i="12"/>
  <c r="BE41" i="12"/>
  <c r="BC41" i="12"/>
  <c r="BB41" i="12"/>
  <c r="BA41" i="12"/>
  <c r="AZ41" i="12"/>
  <c r="AY41" i="12"/>
  <c r="AX41" i="12"/>
  <c r="AW41" i="12"/>
  <c r="AV41" i="12"/>
  <c r="AU41" i="12"/>
  <c r="AT41" i="12"/>
  <c r="AS41" i="12"/>
  <c r="AR41" i="12"/>
  <c r="AQ41" i="12"/>
  <c r="AP41" i="12"/>
  <c r="AO41" i="12"/>
  <c r="AN41" i="12"/>
  <c r="AM41" i="12"/>
  <c r="AL41" i="12"/>
  <c r="AK41" i="12"/>
  <c r="AJ41" i="12"/>
  <c r="AI41" i="12"/>
  <c r="AH41" i="12"/>
  <c r="AG41" i="12"/>
  <c r="AF41" i="12"/>
  <c r="AE41" i="12"/>
  <c r="AD41" i="12"/>
  <c r="AC41" i="12"/>
  <c r="AB41" i="12"/>
  <c r="AA41" i="12"/>
  <c r="Z41" i="12"/>
  <c r="Y41" i="12"/>
  <c r="X41" i="12"/>
  <c r="W41" i="12"/>
  <c r="V41" i="12"/>
  <c r="U41" i="12"/>
  <c r="T41" i="12"/>
  <c r="S41" i="12"/>
  <c r="R41" i="12"/>
  <c r="Q41" i="12"/>
  <c r="P41" i="12"/>
  <c r="BI40" i="12"/>
  <c r="BH40" i="12"/>
  <c r="BG40" i="12"/>
  <c r="BF40" i="12"/>
  <c r="BE40" i="12"/>
  <c r="BC40" i="12"/>
  <c r="BB40" i="12"/>
  <c r="BA40" i="12"/>
  <c r="AZ40" i="12"/>
  <c r="AY40" i="12"/>
  <c r="AX40" i="12"/>
  <c r="AW40" i="12"/>
  <c r="AV40" i="12"/>
  <c r="AU40" i="12"/>
  <c r="AT40" i="12"/>
  <c r="AS40" i="12"/>
  <c r="AR40" i="12"/>
  <c r="AQ40" i="12"/>
  <c r="AP40" i="12"/>
  <c r="AO40" i="12"/>
  <c r="AN40" i="12"/>
  <c r="AM40" i="12"/>
  <c r="AL40" i="12"/>
  <c r="AK40" i="12"/>
  <c r="AJ40" i="12"/>
  <c r="AI40" i="12"/>
  <c r="AH40" i="12"/>
  <c r="AG40" i="12"/>
  <c r="AF40" i="12"/>
  <c r="AE40" i="12"/>
  <c r="AD40" i="12"/>
  <c r="AC40" i="12"/>
  <c r="AB40" i="12"/>
  <c r="AA40" i="12"/>
  <c r="Z40" i="12"/>
  <c r="Y40" i="12"/>
  <c r="X40" i="12"/>
  <c r="W40" i="12"/>
  <c r="V40" i="12"/>
  <c r="U40" i="12"/>
  <c r="T40" i="12"/>
  <c r="S40" i="12"/>
  <c r="R40" i="12"/>
  <c r="Q40" i="12"/>
  <c r="P40" i="12"/>
  <c r="BI39" i="12"/>
  <c r="BH39" i="12"/>
  <c r="BG39" i="12"/>
  <c r="BF39" i="12"/>
  <c r="BE39" i="12"/>
  <c r="BC39" i="12"/>
  <c r="BB39" i="12"/>
  <c r="BA39" i="12"/>
  <c r="AZ39" i="12"/>
  <c r="AY39" i="12"/>
  <c r="AX39" i="12"/>
  <c r="AW39" i="12"/>
  <c r="AV39" i="12"/>
  <c r="AU39" i="12"/>
  <c r="AT39" i="12"/>
  <c r="AS39" i="12"/>
  <c r="AR39" i="12"/>
  <c r="AQ39" i="12"/>
  <c r="AP39" i="12"/>
  <c r="AO39" i="12"/>
  <c r="AN39" i="12"/>
  <c r="AM39" i="12"/>
  <c r="AL39" i="12"/>
  <c r="AK39" i="12"/>
  <c r="AJ39" i="12"/>
  <c r="AI39" i="12"/>
  <c r="AH39" i="12"/>
  <c r="AG39" i="12"/>
  <c r="AF39" i="12"/>
  <c r="AE39" i="12"/>
  <c r="AD39" i="12"/>
  <c r="AC39" i="12"/>
  <c r="AB39" i="12"/>
  <c r="AA39" i="12"/>
  <c r="Z39" i="12"/>
  <c r="Y39" i="12"/>
  <c r="X39" i="12"/>
  <c r="W39" i="12"/>
  <c r="V39" i="12"/>
  <c r="U39" i="12"/>
  <c r="T39" i="12"/>
  <c r="S39" i="12"/>
  <c r="R39" i="12"/>
  <c r="Q39" i="12"/>
  <c r="P39" i="12"/>
  <c r="BI38" i="12"/>
  <c r="BH38" i="12"/>
  <c r="BG38" i="12"/>
  <c r="BF38" i="12"/>
  <c r="BE38" i="12"/>
  <c r="BC38" i="12"/>
  <c r="BB38" i="12"/>
  <c r="BA38" i="12"/>
  <c r="AZ38" i="12"/>
  <c r="AY38" i="12"/>
  <c r="AX38" i="12"/>
  <c r="AW38" i="12"/>
  <c r="AV38" i="12"/>
  <c r="AU38" i="12"/>
  <c r="AT38" i="12"/>
  <c r="AS38" i="12"/>
  <c r="AR38" i="12"/>
  <c r="AQ38" i="12"/>
  <c r="AP38" i="12"/>
  <c r="AO38" i="12"/>
  <c r="AN38" i="12"/>
  <c r="AM38" i="12"/>
  <c r="AL38" i="12"/>
  <c r="AK38" i="12"/>
  <c r="AJ38" i="12"/>
  <c r="AI38" i="12"/>
  <c r="AH38" i="12"/>
  <c r="AG38" i="12"/>
  <c r="AF38" i="12"/>
  <c r="AE38" i="12"/>
  <c r="AD38" i="12"/>
  <c r="AC38" i="12"/>
  <c r="AB38" i="12"/>
  <c r="AA38" i="12"/>
  <c r="Z38" i="12"/>
  <c r="Y38" i="12"/>
  <c r="X38" i="12"/>
  <c r="W38" i="12"/>
  <c r="V38" i="12"/>
  <c r="U38" i="12"/>
  <c r="T38" i="12"/>
  <c r="S38" i="12"/>
  <c r="R38" i="12"/>
  <c r="Q38" i="12"/>
  <c r="P38" i="12"/>
  <c r="BI37" i="12"/>
  <c r="BH37" i="12"/>
  <c r="BG37" i="12"/>
  <c r="BF37" i="12"/>
  <c r="BE37" i="12"/>
  <c r="BC37" i="12"/>
  <c r="BB37" i="12"/>
  <c r="BA37" i="12"/>
  <c r="AZ37" i="12"/>
  <c r="AY37" i="12"/>
  <c r="AX37" i="12"/>
  <c r="AW37" i="12"/>
  <c r="AV37" i="12"/>
  <c r="AU37" i="12"/>
  <c r="AT37" i="12"/>
  <c r="AS37" i="12"/>
  <c r="AR37" i="12"/>
  <c r="AQ37" i="12"/>
  <c r="AP37" i="12"/>
  <c r="AO37" i="12"/>
  <c r="AN37" i="12"/>
  <c r="AM37" i="12"/>
  <c r="AL37" i="12"/>
  <c r="AK37" i="12"/>
  <c r="AJ37" i="12"/>
  <c r="AI37" i="12"/>
  <c r="AH37" i="12"/>
  <c r="AG37" i="12"/>
  <c r="AF37" i="12"/>
  <c r="AE37" i="12"/>
  <c r="AD37" i="12"/>
  <c r="AC37" i="12"/>
  <c r="AB37" i="12"/>
  <c r="AA37" i="12"/>
  <c r="Z37" i="12"/>
  <c r="Y37" i="12"/>
  <c r="X37" i="12"/>
  <c r="W37" i="12"/>
  <c r="V37" i="12"/>
  <c r="U37" i="12"/>
  <c r="T37" i="12"/>
  <c r="S37" i="12"/>
  <c r="R37" i="12"/>
  <c r="Q37" i="12"/>
  <c r="P37" i="12"/>
  <c r="BI36" i="12"/>
  <c r="BH36" i="12"/>
  <c r="BG36" i="12"/>
  <c r="BF36" i="12"/>
  <c r="BE36" i="12"/>
  <c r="BC36" i="12"/>
  <c r="BB36" i="12"/>
  <c r="BA36" i="12"/>
  <c r="AZ36" i="12"/>
  <c r="AY36" i="12"/>
  <c r="AX36" i="12"/>
  <c r="AW36" i="12"/>
  <c r="AV36" i="12"/>
  <c r="AU36" i="12"/>
  <c r="AT36" i="12"/>
  <c r="AS36" i="12"/>
  <c r="AR36" i="12"/>
  <c r="AQ36" i="12"/>
  <c r="AP36" i="12"/>
  <c r="AO36" i="12"/>
  <c r="AN36" i="12"/>
  <c r="AM36" i="12"/>
  <c r="AL36" i="12"/>
  <c r="AK36" i="12"/>
  <c r="AJ36" i="12"/>
  <c r="AI36" i="12"/>
  <c r="AH36" i="12"/>
  <c r="AG36" i="12"/>
  <c r="AF36" i="12"/>
  <c r="AE36" i="12"/>
  <c r="AD36" i="12"/>
  <c r="AC36" i="12"/>
  <c r="AB36" i="12"/>
  <c r="AA36" i="12"/>
  <c r="Z36" i="12"/>
  <c r="Y36" i="12"/>
  <c r="X36" i="12"/>
  <c r="W36" i="12"/>
  <c r="V36" i="12"/>
  <c r="U36" i="12"/>
  <c r="T36" i="12"/>
  <c r="S36" i="12"/>
  <c r="R36" i="12"/>
  <c r="Q36" i="12"/>
  <c r="P36" i="12"/>
  <c r="BI35" i="12"/>
  <c r="BH35" i="12"/>
  <c r="BG35" i="12"/>
  <c r="BF35" i="12"/>
  <c r="BE35" i="12"/>
  <c r="BC35" i="12"/>
  <c r="BB35" i="12"/>
  <c r="BA35" i="12"/>
  <c r="AZ35" i="12"/>
  <c r="AY35" i="12"/>
  <c r="AX35" i="12"/>
  <c r="AW35" i="12"/>
  <c r="AV35" i="12"/>
  <c r="AU35" i="12"/>
  <c r="AT35" i="12"/>
  <c r="AS35" i="12"/>
  <c r="AR35" i="12"/>
  <c r="AQ35" i="12"/>
  <c r="AP35" i="12"/>
  <c r="AO35" i="12"/>
  <c r="AN35" i="12"/>
  <c r="AM35" i="12"/>
  <c r="AL35" i="12"/>
  <c r="AK35" i="12"/>
  <c r="AJ35" i="12"/>
  <c r="AI35" i="12"/>
  <c r="AH35" i="12"/>
  <c r="AG35" i="12"/>
  <c r="AF35" i="12"/>
  <c r="AE35" i="12"/>
  <c r="AD35" i="12"/>
  <c r="AC35" i="12"/>
  <c r="AB35" i="12"/>
  <c r="AA35" i="12"/>
  <c r="Z35" i="12"/>
  <c r="Y35" i="12"/>
  <c r="X35" i="12"/>
  <c r="W35" i="12"/>
  <c r="V35" i="12"/>
  <c r="U35" i="12"/>
  <c r="T35" i="12"/>
  <c r="S35" i="12"/>
  <c r="R35" i="12"/>
  <c r="Q35" i="12"/>
  <c r="P35" i="12"/>
  <c r="BI34" i="12"/>
  <c r="BH34" i="12"/>
  <c r="BG34" i="12"/>
  <c r="BF34" i="12"/>
  <c r="BE34" i="12"/>
  <c r="BC34" i="12"/>
  <c r="BB34" i="12"/>
  <c r="BA34" i="12"/>
  <c r="AZ34" i="12"/>
  <c r="AY34" i="12"/>
  <c r="AX34" i="12"/>
  <c r="AW34" i="12"/>
  <c r="AV34" i="12"/>
  <c r="AU34" i="12"/>
  <c r="AT34" i="12"/>
  <c r="AS34" i="12"/>
  <c r="AR34" i="12"/>
  <c r="AQ34" i="12"/>
  <c r="AP34" i="12"/>
  <c r="AO34" i="12"/>
  <c r="AN34" i="12"/>
  <c r="AM34" i="12"/>
  <c r="AL34" i="12"/>
  <c r="AK34" i="12"/>
  <c r="AJ34" i="12"/>
  <c r="AI34" i="12"/>
  <c r="AH34" i="12"/>
  <c r="AG34" i="12"/>
  <c r="AF34" i="12"/>
  <c r="AE34" i="12"/>
  <c r="AD34" i="12"/>
  <c r="AC34" i="12"/>
  <c r="AB34" i="12"/>
  <c r="AA34" i="12"/>
  <c r="Z34" i="12"/>
  <c r="Y34" i="12"/>
  <c r="X34" i="12"/>
  <c r="W34" i="12"/>
  <c r="V34" i="12"/>
  <c r="U34" i="12"/>
  <c r="T34" i="12"/>
  <c r="S34" i="12"/>
  <c r="R34" i="12"/>
  <c r="Q34" i="12"/>
  <c r="P34" i="12"/>
  <c r="BI33" i="12"/>
  <c r="BH33" i="12"/>
  <c r="BG33" i="12"/>
  <c r="BF33" i="12"/>
  <c r="BE33" i="12"/>
  <c r="BC33" i="12"/>
  <c r="BB33" i="12"/>
  <c r="BA33" i="12"/>
  <c r="AZ33" i="12"/>
  <c r="AY33" i="12"/>
  <c r="AX33" i="12"/>
  <c r="AW33" i="12"/>
  <c r="AV33" i="12"/>
  <c r="AU33" i="12"/>
  <c r="AT33" i="12"/>
  <c r="AS33" i="12"/>
  <c r="AR33" i="12"/>
  <c r="AQ33" i="12"/>
  <c r="AP33" i="12"/>
  <c r="AO33" i="12"/>
  <c r="AN33" i="12"/>
  <c r="AM33" i="12"/>
  <c r="AL33" i="12"/>
  <c r="AK33" i="12"/>
  <c r="AJ33" i="12"/>
  <c r="AI33" i="12"/>
  <c r="AH33" i="12"/>
  <c r="AG33" i="12"/>
  <c r="AF33" i="12"/>
  <c r="AE33" i="12"/>
  <c r="AD33" i="12"/>
  <c r="AC33" i="12"/>
  <c r="AB33" i="12"/>
  <c r="AA33" i="12"/>
  <c r="Z33" i="12"/>
  <c r="Y33" i="12"/>
  <c r="X33" i="12"/>
  <c r="W33" i="12"/>
  <c r="V33" i="12"/>
  <c r="U33" i="12"/>
  <c r="T33" i="12"/>
  <c r="S33" i="12"/>
  <c r="R33" i="12"/>
  <c r="Q33" i="12"/>
  <c r="P33" i="12"/>
  <c r="BI32" i="12"/>
  <c r="BH32" i="12"/>
  <c r="BG32" i="12"/>
  <c r="BF32" i="12"/>
  <c r="BE32" i="12"/>
  <c r="BC32" i="12"/>
  <c r="BB32" i="12"/>
  <c r="BA32" i="12"/>
  <c r="AZ32" i="12"/>
  <c r="AY32" i="12"/>
  <c r="AX32" i="12"/>
  <c r="AW32" i="12"/>
  <c r="AV32" i="12"/>
  <c r="AU32" i="12"/>
  <c r="AT32" i="12"/>
  <c r="AS32" i="12"/>
  <c r="AR32" i="12"/>
  <c r="AQ32" i="12"/>
  <c r="AP32" i="12"/>
  <c r="AO32" i="12"/>
  <c r="AN32" i="12"/>
  <c r="AM32" i="12"/>
  <c r="AL32" i="12"/>
  <c r="AK32" i="12"/>
  <c r="AJ32" i="12"/>
  <c r="AI32" i="12"/>
  <c r="AH32" i="12"/>
  <c r="AG32" i="12"/>
  <c r="AF32" i="12"/>
  <c r="AE32" i="12"/>
  <c r="AD32" i="12"/>
  <c r="AC32" i="12"/>
  <c r="AB32" i="12"/>
  <c r="AA32" i="12"/>
  <c r="Z32" i="12"/>
  <c r="Y32" i="12"/>
  <c r="X32" i="12"/>
  <c r="W32" i="12"/>
  <c r="V32" i="12"/>
  <c r="U32" i="12"/>
  <c r="T32" i="12"/>
  <c r="S32" i="12"/>
  <c r="R32" i="12"/>
  <c r="Q32" i="12"/>
  <c r="P32" i="12"/>
  <c r="BI31" i="12"/>
  <c r="BH31" i="12"/>
  <c r="BG31" i="12"/>
  <c r="BF31" i="12"/>
  <c r="BE31" i="12"/>
  <c r="BC31" i="12"/>
  <c r="BB31" i="12"/>
  <c r="BA31" i="12"/>
  <c r="AZ31" i="12"/>
  <c r="AY31" i="12"/>
  <c r="AX31" i="12"/>
  <c r="AW31" i="12"/>
  <c r="AV31" i="12"/>
  <c r="AU31" i="12"/>
  <c r="AT31" i="12"/>
  <c r="AS31" i="12"/>
  <c r="AR31" i="12"/>
  <c r="AQ31" i="12"/>
  <c r="AP31" i="12"/>
  <c r="AO31" i="12"/>
  <c r="AN31" i="12"/>
  <c r="AM31" i="12"/>
  <c r="AL31" i="12"/>
  <c r="AK31" i="12"/>
  <c r="AJ31" i="12"/>
  <c r="AI31" i="12"/>
  <c r="AH31" i="12"/>
  <c r="AG31" i="12"/>
  <c r="AF31" i="12"/>
  <c r="AE31" i="12"/>
  <c r="AD31" i="12"/>
  <c r="AC31" i="12"/>
  <c r="AB31" i="12"/>
  <c r="AA31" i="12"/>
  <c r="Z31" i="12"/>
  <c r="Y31" i="12"/>
  <c r="X31" i="12"/>
  <c r="W31" i="12"/>
  <c r="V31" i="12"/>
  <c r="U31" i="12"/>
  <c r="T31" i="12"/>
  <c r="S31" i="12"/>
  <c r="R31" i="12"/>
  <c r="Q31" i="12"/>
  <c r="P31" i="12"/>
  <c r="BI30" i="12"/>
  <c r="BH30" i="12"/>
  <c r="BG30" i="12"/>
  <c r="BF30" i="12"/>
  <c r="BE30" i="12"/>
  <c r="BC30" i="12"/>
  <c r="BB30" i="12"/>
  <c r="BA30" i="12"/>
  <c r="AZ30" i="12"/>
  <c r="AY30" i="12"/>
  <c r="AX30" i="12"/>
  <c r="AW30" i="12"/>
  <c r="AV30" i="12"/>
  <c r="AU30" i="12"/>
  <c r="AT30" i="12"/>
  <c r="AS30" i="12"/>
  <c r="AR30" i="12"/>
  <c r="AQ30" i="12"/>
  <c r="AP30" i="12"/>
  <c r="AO30" i="12"/>
  <c r="AN30" i="12"/>
  <c r="AM30" i="12"/>
  <c r="AL30" i="12"/>
  <c r="AK30" i="12"/>
  <c r="AJ30" i="12"/>
  <c r="AI30" i="12"/>
  <c r="AH30" i="12"/>
  <c r="AG30" i="12"/>
  <c r="AF30" i="12"/>
  <c r="AE30" i="12"/>
  <c r="AD30" i="12"/>
  <c r="AC30" i="12"/>
  <c r="AB30" i="12"/>
  <c r="AA30" i="12"/>
  <c r="Z30" i="12"/>
  <c r="Y30" i="12"/>
  <c r="X30" i="12"/>
  <c r="W30" i="12"/>
  <c r="V30" i="12"/>
  <c r="U30" i="12"/>
  <c r="T30" i="12"/>
  <c r="S30" i="12"/>
  <c r="R30" i="12"/>
  <c r="Q30" i="12"/>
  <c r="P30" i="12"/>
  <c r="BI29" i="12"/>
  <c r="BH29" i="12"/>
  <c r="BG29" i="12"/>
  <c r="BF29" i="12"/>
  <c r="BE29" i="12"/>
  <c r="BC29" i="12"/>
  <c r="BB29" i="12"/>
  <c r="BA29" i="12"/>
  <c r="AZ29" i="12"/>
  <c r="AY29" i="12"/>
  <c r="AX29" i="12"/>
  <c r="AW29" i="12"/>
  <c r="AV29" i="12"/>
  <c r="AU29" i="12"/>
  <c r="AT29" i="12"/>
  <c r="AS29" i="12"/>
  <c r="AR29" i="12"/>
  <c r="AQ29" i="12"/>
  <c r="AP29" i="12"/>
  <c r="AO29" i="12"/>
  <c r="AN29" i="12"/>
  <c r="AM29" i="12"/>
  <c r="AL29" i="12"/>
  <c r="AK29" i="12"/>
  <c r="AJ29" i="12"/>
  <c r="AI29" i="12"/>
  <c r="AH29" i="12"/>
  <c r="AG29" i="12"/>
  <c r="AF29" i="12"/>
  <c r="AE29" i="12"/>
  <c r="AD29" i="12"/>
  <c r="AC29" i="12"/>
  <c r="AB29" i="12"/>
  <c r="AA29" i="12"/>
  <c r="Z29" i="12"/>
  <c r="Y29" i="12"/>
  <c r="X29" i="12"/>
  <c r="W29" i="12"/>
  <c r="V29" i="12"/>
  <c r="U29" i="12"/>
  <c r="T29" i="12"/>
  <c r="S29" i="12"/>
  <c r="R29" i="12"/>
  <c r="Q29" i="12"/>
  <c r="P29" i="12"/>
  <c r="BI28" i="12"/>
  <c r="BH28" i="12"/>
  <c r="BG28" i="12"/>
  <c r="BF28" i="12"/>
  <c r="BE28" i="12"/>
  <c r="BC28" i="12"/>
  <c r="BB28" i="12"/>
  <c r="BA28" i="12"/>
  <c r="AZ28" i="12"/>
  <c r="AY28" i="12"/>
  <c r="AX28" i="12"/>
  <c r="AW28" i="12"/>
  <c r="AV28" i="12"/>
  <c r="AU28" i="12"/>
  <c r="AT28" i="12"/>
  <c r="AS28" i="12"/>
  <c r="AR28" i="12"/>
  <c r="AQ28" i="12"/>
  <c r="AP28" i="12"/>
  <c r="AO28" i="12"/>
  <c r="AN28" i="12"/>
  <c r="AM28" i="12"/>
  <c r="AL28" i="12"/>
  <c r="AK28" i="12"/>
  <c r="AJ28" i="12"/>
  <c r="AI28" i="12"/>
  <c r="AH28" i="12"/>
  <c r="AG28" i="12"/>
  <c r="AF28" i="12"/>
  <c r="AE28" i="12"/>
  <c r="AD28" i="12"/>
  <c r="AC28" i="12"/>
  <c r="AB28" i="12"/>
  <c r="AA28" i="12"/>
  <c r="Z28" i="12"/>
  <c r="Y28" i="12"/>
  <c r="X28" i="12"/>
  <c r="W28" i="12"/>
  <c r="V28" i="12"/>
  <c r="U28" i="12"/>
  <c r="T28" i="12"/>
  <c r="S28" i="12"/>
  <c r="R28" i="12"/>
  <c r="Q28" i="12"/>
  <c r="P28" i="12"/>
  <c r="BI27" i="12"/>
  <c r="BH27" i="12"/>
  <c r="BG27" i="12"/>
  <c r="BF27" i="12"/>
  <c r="BE27" i="12"/>
  <c r="BC27" i="12"/>
  <c r="BB27" i="12"/>
  <c r="BA27" i="12"/>
  <c r="AZ27" i="12"/>
  <c r="AY27" i="12"/>
  <c r="AX27" i="12"/>
  <c r="AW27" i="12"/>
  <c r="AV27" i="12"/>
  <c r="AU27" i="12"/>
  <c r="AT27" i="12"/>
  <c r="AS27" i="12"/>
  <c r="AR27" i="12"/>
  <c r="AQ27" i="12"/>
  <c r="AP27" i="12"/>
  <c r="AO27" i="12"/>
  <c r="AN27" i="12"/>
  <c r="AM27" i="12"/>
  <c r="AL27" i="12"/>
  <c r="AK27" i="12"/>
  <c r="AJ27" i="12"/>
  <c r="AI27" i="12"/>
  <c r="AH27" i="12"/>
  <c r="AG27" i="12"/>
  <c r="AF27" i="12"/>
  <c r="AE27" i="12"/>
  <c r="AD27" i="12"/>
  <c r="AC27" i="12"/>
  <c r="AB27" i="12"/>
  <c r="AA27" i="12"/>
  <c r="Z27" i="12"/>
  <c r="Y27" i="12"/>
  <c r="X27" i="12"/>
  <c r="W27" i="12"/>
  <c r="V27" i="12"/>
  <c r="U27" i="12"/>
  <c r="T27" i="12"/>
  <c r="S27" i="12"/>
  <c r="R27" i="12"/>
  <c r="Q27" i="12"/>
  <c r="P27" i="12"/>
  <c r="BI26" i="12"/>
  <c r="BH26" i="12"/>
  <c r="BG26" i="12"/>
  <c r="BF26" i="12"/>
  <c r="BE26" i="12"/>
  <c r="BC26" i="12"/>
  <c r="BB26" i="12"/>
  <c r="BA26" i="12"/>
  <c r="AZ26" i="12"/>
  <c r="AY26" i="12"/>
  <c r="AX26" i="12"/>
  <c r="AW26" i="12"/>
  <c r="AV26" i="12"/>
  <c r="AU26" i="12"/>
  <c r="AT26" i="12"/>
  <c r="AS26" i="12"/>
  <c r="AR26" i="12"/>
  <c r="AQ26" i="12"/>
  <c r="AP26" i="12"/>
  <c r="AO26" i="12"/>
  <c r="AN26" i="12"/>
  <c r="AM26" i="12"/>
  <c r="AL26" i="12"/>
  <c r="AK26" i="12"/>
  <c r="AJ26" i="12"/>
  <c r="AI26" i="12"/>
  <c r="AH26" i="12"/>
  <c r="AG26" i="12"/>
  <c r="AF26" i="12"/>
  <c r="AE26" i="12"/>
  <c r="AD26" i="12"/>
  <c r="AC26" i="12"/>
  <c r="AB26" i="12"/>
  <c r="AA26" i="12"/>
  <c r="Z26" i="12"/>
  <c r="Y26" i="12"/>
  <c r="X26" i="12"/>
  <c r="W26" i="12"/>
  <c r="V26" i="12"/>
  <c r="U26" i="12"/>
  <c r="T26" i="12"/>
  <c r="S26" i="12"/>
  <c r="R26" i="12"/>
  <c r="Q26" i="12"/>
  <c r="P26" i="12"/>
  <c r="D24" i="12"/>
  <c r="D23" i="12"/>
  <c r="D22" i="12"/>
  <c r="D21" i="12"/>
  <c r="D20" i="12"/>
  <c r="D19" i="12"/>
  <c r="D18" i="12"/>
  <c r="D17" i="12"/>
  <c r="D16" i="12"/>
  <c r="D15" i="12"/>
  <c r="D14" i="12"/>
  <c r="D13" i="12"/>
  <c r="D12" i="12"/>
  <c r="D11" i="12"/>
  <c r="D10" i="12"/>
  <c r="D9" i="12"/>
  <c r="D8" i="12"/>
  <c r="D7" i="12"/>
  <c r="BI6" i="12"/>
  <c r="BH6" i="12"/>
  <c r="BG6" i="12"/>
  <c r="BF6" i="12"/>
  <c r="BE6" i="12"/>
  <c r="BC6" i="12"/>
  <c r="BB6" i="12"/>
  <c r="BA6" i="12"/>
  <c r="AZ6" i="12"/>
  <c r="AY6" i="12"/>
  <c r="AX6" i="12"/>
  <c r="AW6" i="12"/>
  <c r="AV6" i="12"/>
  <c r="AU6" i="12"/>
  <c r="AT6" i="12"/>
  <c r="AS6" i="12"/>
  <c r="AR6" i="12"/>
  <c r="AQ6" i="12"/>
  <c r="AP6" i="12"/>
  <c r="AO6" i="12"/>
  <c r="AN6" i="12"/>
  <c r="AM6" i="12"/>
  <c r="AL6" i="12"/>
  <c r="AK6" i="12"/>
  <c r="AJ6" i="12"/>
  <c r="AI6" i="12"/>
  <c r="AH6" i="12"/>
  <c r="AG6" i="12"/>
  <c r="AF6" i="12"/>
  <c r="AE6" i="12"/>
  <c r="AD6" i="12"/>
  <c r="AC6" i="12"/>
  <c r="AB6" i="12"/>
  <c r="AA6" i="12"/>
  <c r="Z6" i="12"/>
  <c r="Y6" i="12"/>
  <c r="X6" i="12"/>
  <c r="W6" i="12"/>
  <c r="V6" i="12"/>
  <c r="U6" i="12"/>
  <c r="T6" i="12"/>
  <c r="S6" i="12"/>
  <c r="R6" i="12"/>
  <c r="Q6" i="12"/>
  <c r="P6" i="12"/>
  <c r="O6" i="12"/>
  <c r="N6" i="12"/>
  <c r="M6" i="12"/>
  <c r="L6" i="12"/>
  <c r="K6" i="12"/>
  <c r="J6" i="12"/>
  <c r="I6" i="12"/>
  <c r="H6" i="12"/>
  <c r="G6" i="12"/>
  <c r="F6" i="12"/>
  <c r="E6" i="12"/>
  <c r="B43" i="9"/>
  <c r="C43" i="9"/>
  <c r="D43" i="9"/>
  <c r="E43" i="9"/>
  <c r="F43" i="9"/>
  <c r="G43" i="9"/>
  <c r="H43" i="9"/>
  <c r="I43" i="9"/>
  <c r="J43" i="9"/>
  <c r="K43" i="9"/>
  <c r="L43" i="9"/>
  <c r="M43" i="9"/>
  <c r="N43" i="9"/>
  <c r="O43" i="9"/>
  <c r="P43" i="9"/>
  <c r="Q43" i="9"/>
  <c r="R43" i="9"/>
  <c r="S43" i="9"/>
  <c r="B43" i="8"/>
  <c r="C43" i="8"/>
  <c r="D43" i="8"/>
  <c r="E43" i="8"/>
  <c r="F43" i="8"/>
  <c r="G43" i="8"/>
  <c r="H43" i="8"/>
  <c r="I43" i="8"/>
  <c r="J43" i="8"/>
  <c r="K43" i="8"/>
  <c r="L43" i="8"/>
  <c r="M43" i="8"/>
  <c r="N43" i="8"/>
  <c r="O43" i="8"/>
  <c r="P43" i="8"/>
  <c r="Q43" i="8"/>
  <c r="R43" i="8"/>
  <c r="S43" i="8"/>
  <c r="B42" i="9"/>
  <c r="C42" i="9"/>
  <c r="D42" i="9"/>
  <c r="E42" i="9"/>
  <c r="F42" i="9"/>
  <c r="G42" i="9"/>
  <c r="H42" i="9"/>
  <c r="I42" i="9"/>
  <c r="J42" i="9"/>
  <c r="K42" i="9"/>
  <c r="L42" i="9"/>
  <c r="M42" i="9"/>
  <c r="N42" i="9"/>
  <c r="O42" i="9"/>
  <c r="P42" i="9"/>
  <c r="Q42" i="9"/>
  <c r="R42" i="9"/>
  <c r="S42" i="9"/>
  <c r="B42" i="8"/>
  <c r="C42" i="8"/>
  <c r="D42" i="8"/>
  <c r="E42" i="8"/>
  <c r="F42" i="8"/>
  <c r="G42" i="8"/>
  <c r="H42" i="8"/>
  <c r="I42" i="8"/>
  <c r="J42" i="8"/>
  <c r="K42" i="8"/>
  <c r="L42" i="8"/>
  <c r="M42" i="8"/>
  <c r="N42" i="8"/>
  <c r="O42" i="8"/>
  <c r="P42" i="8"/>
  <c r="Q42" i="8"/>
  <c r="R42" i="8"/>
  <c r="S42" i="8"/>
  <c r="B41" i="9"/>
  <c r="C41" i="9"/>
  <c r="D41" i="9"/>
  <c r="E41" i="9"/>
  <c r="F41" i="9"/>
  <c r="G41" i="9"/>
  <c r="H41" i="9"/>
  <c r="I41" i="9"/>
  <c r="J41" i="9"/>
  <c r="K41" i="9"/>
  <c r="L41" i="9"/>
  <c r="M41" i="9"/>
  <c r="N41" i="9"/>
  <c r="O41" i="9"/>
  <c r="P41" i="9"/>
  <c r="Q41" i="9"/>
  <c r="R41" i="9"/>
  <c r="S41" i="9"/>
  <c r="B41" i="8"/>
  <c r="C41" i="8"/>
  <c r="D41" i="8"/>
  <c r="E41" i="8"/>
  <c r="F41" i="8"/>
  <c r="G41" i="8"/>
  <c r="H41" i="8"/>
  <c r="I41" i="8"/>
  <c r="J41" i="8"/>
  <c r="K41" i="8"/>
  <c r="L41" i="8"/>
  <c r="M41" i="8"/>
  <c r="N41" i="8"/>
  <c r="O41" i="8"/>
  <c r="P41" i="8"/>
  <c r="Q41" i="8"/>
  <c r="R41" i="8"/>
  <c r="S41" i="8"/>
  <c r="B40" i="9"/>
  <c r="C40" i="9"/>
  <c r="D40" i="9"/>
  <c r="E40" i="9"/>
  <c r="F40" i="9"/>
  <c r="G40" i="9"/>
  <c r="H40" i="9"/>
  <c r="I40" i="9"/>
  <c r="J40" i="9"/>
  <c r="K40" i="9"/>
  <c r="L40" i="9"/>
  <c r="M40" i="9"/>
  <c r="N40" i="9"/>
  <c r="O40" i="9"/>
  <c r="P40" i="9"/>
  <c r="Q40" i="9"/>
  <c r="R40" i="9"/>
  <c r="S40" i="9"/>
  <c r="B40" i="8"/>
  <c r="C40" i="8"/>
  <c r="D40" i="8"/>
  <c r="E40" i="8"/>
  <c r="F40" i="8"/>
  <c r="G40" i="8"/>
  <c r="H40" i="8"/>
  <c r="I40" i="8"/>
  <c r="J40" i="8"/>
  <c r="K40" i="8"/>
  <c r="L40" i="8"/>
  <c r="M40" i="8"/>
  <c r="N40" i="8"/>
  <c r="O40" i="8"/>
  <c r="P40" i="8"/>
  <c r="Q40" i="8"/>
  <c r="R40" i="8"/>
  <c r="S40" i="8"/>
  <c r="B39" i="9"/>
  <c r="C39" i="9"/>
  <c r="D39" i="9"/>
  <c r="E39" i="9"/>
  <c r="F39" i="9"/>
  <c r="G39" i="9"/>
  <c r="H39" i="9"/>
  <c r="I39" i="9"/>
  <c r="J39" i="9"/>
  <c r="K39" i="9"/>
  <c r="L39" i="9"/>
  <c r="M39" i="9"/>
  <c r="N39" i="9"/>
  <c r="O39" i="9"/>
  <c r="P39" i="9"/>
  <c r="Q39" i="9"/>
  <c r="R39" i="9"/>
  <c r="S39" i="9"/>
  <c r="D27" i="12" l="1"/>
  <c r="D38" i="12"/>
  <c r="D31" i="12"/>
  <c r="D36" i="12"/>
  <c r="D33" i="12"/>
  <c r="D41" i="12"/>
  <c r="D28" i="12"/>
  <c r="D32" i="12"/>
  <c r="D40" i="12"/>
  <c r="D35" i="12"/>
  <c r="D39" i="12"/>
  <c r="D26" i="12"/>
  <c r="D43" i="12"/>
  <c r="D34" i="12"/>
  <c r="D42" i="12"/>
  <c r="D29" i="12"/>
  <c r="D30" i="12"/>
  <c r="D37" i="12"/>
  <c r="B39" i="8"/>
  <c r="C39" i="8"/>
  <c r="D39" i="8"/>
  <c r="E39" i="8"/>
  <c r="F39" i="8"/>
  <c r="G39" i="8"/>
  <c r="H39" i="8"/>
  <c r="I39" i="8"/>
  <c r="J39" i="8"/>
  <c r="K39" i="8"/>
  <c r="L39" i="8"/>
  <c r="M39" i="8"/>
  <c r="N39" i="8"/>
  <c r="O39" i="8"/>
  <c r="P39" i="8"/>
  <c r="Q39" i="8"/>
  <c r="R39" i="8"/>
  <c r="S39" i="8"/>
  <c r="B38" i="9"/>
  <c r="C38" i="9"/>
  <c r="D38" i="9"/>
  <c r="E38" i="9"/>
  <c r="F38" i="9"/>
  <c r="G38" i="9"/>
  <c r="H38" i="9"/>
  <c r="I38" i="9"/>
  <c r="J38" i="9"/>
  <c r="K38" i="9"/>
  <c r="L38" i="9"/>
  <c r="M38" i="9"/>
  <c r="N38" i="9"/>
  <c r="O38" i="9"/>
  <c r="P38" i="9"/>
  <c r="Q38" i="9"/>
  <c r="R38" i="9"/>
  <c r="S38" i="9"/>
  <c r="B38" i="8"/>
  <c r="C38" i="8"/>
  <c r="D38" i="8"/>
  <c r="E38" i="8"/>
  <c r="F38" i="8"/>
  <c r="G38" i="8"/>
  <c r="H38" i="8"/>
  <c r="I38" i="8"/>
  <c r="J38" i="8"/>
  <c r="K38" i="8"/>
  <c r="L38" i="8"/>
  <c r="M38" i="8"/>
  <c r="N38" i="8"/>
  <c r="O38" i="8"/>
  <c r="P38" i="8"/>
  <c r="Q38" i="8"/>
  <c r="R38" i="8"/>
  <c r="S38" i="8"/>
  <c r="B37" i="9"/>
  <c r="C37" i="9"/>
  <c r="D37" i="9"/>
  <c r="E37" i="9"/>
  <c r="F37" i="9"/>
  <c r="G37" i="9"/>
  <c r="H37" i="9"/>
  <c r="I37" i="9"/>
  <c r="J37" i="9"/>
  <c r="K37" i="9"/>
  <c r="L37" i="9"/>
  <c r="M37" i="9"/>
  <c r="N37" i="9"/>
  <c r="O37" i="9"/>
  <c r="P37" i="9"/>
  <c r="Q37" i="9"/>
  <c r="R37" i="9"/>
  <c r="S37" i="9"/>
  <c r="B37" i="8" l="1"/>
  <c r="C37" i="8"/>
  <c r="D37" i="8"/>
  <c r="E37" i="8"/>
  <c r="F37" i="8"/>
  <c r="G37" i="8"/>
  <c r="H37" i="8"/>
  <c r="I37" i="8"/>
  <c r="J37" i="8"/>
  <c r="K37" i="8"/>
  <c r="L37" i="8"/>
  <c r="M37" i="8"/>
  <c r="N37" i="8"/>
  <c r="O37" i="8"/>
  <c r="P37" i="8"/>
  <c r="Q37" i="8"/>
  <c r="R37" i="8"/>
  <c r="S37" i="8"/>
  <c r="B3" i="2" l="1"/>
  <c r="B3" i="8" s="1"/>
  <c r="C3" i="2"/>
  <c r="C3" i="8" s="1"/>
  <c r="D3" i="2"/>
  <c r="D3" i="8" s="1"/>
  <c r="E3" i="2"/>
  <c r="E3" i="8" s="1"/>
  <c r="F3" i="2"/>
  <c r="F3" i="8" s="1"/>
  <c r="G3" i="2"/>
  <c r="G3" i="8" s="1"/>
  <c r="H3" i="2"/>
  <c r="H3" i="8" s="1"/>
  <c r="I3" i="2"/>
  <c r="I3" i="8" s="1"/>
  <c r="J3" i="2"/>
  <c r="J3" i="8" s="1"/>
  <c r="K3" i="2"/>
  <c r="K3" i="8" s="1"/>
  <c r="L3" i="2"/>
  <c r="L3" i="8" s="1"/>
  <c r="M3" i="2"/>
  <c r="M3" i="8" s="1"/>
  <c r="N3" i="2"/>
  <c r="N3" i="8" s="1"/>
  <c r="O3" i="2"/>
  <c r="O3" i="8" s="1"/>
  <c r="P3" i="2"/>
  <c r="P3" i="8" s="1"/>
  <c r="Q3" i="2"/>
  <c r="Q3" i="8" s="1"/>
  <c r="R3" i="2"/>
  <c r="R3" i="8" s="1"/>
  <c r="S3" i="2"/>
  <c r="S3" i="8" s="1"/>
  <c r="B4" i="2"/>
  <c r="B4" i="8" s="1"/>
  <c r="C4" i="2"/>
  <c r="C4" i="8" s="1"/>
  <c r="D4" i="2"/>
  <c r="D4" i="8" s="1"/>
  <c r="E4" i="2"/>
  <c r="E4" i="8" s="1"/>
  <c r="F4" i="2"/>
  <c r="F4" i="8" s="1"/>
  <c r="G4" i="2"/>
  <c r="G4" i="8" s="1"/>
  <c r="H4" i="2"/>
  <c r="H4" i="8" s="1"/>
  <c r="I4" i="2"/>
  <c r="I4" i="8" s="1"/>
  <c r="J4" i="2"/>
  <c r="J4" i="8" s="1"/>
  <c r="K4" i="2"/>
  <c r="K4" i="8" s="1"/>
  <c r="L4" i="2"/>
  <c r="L4" i="8" s="1"/>
  <c r="M4" i="2"/>
  <c r="M4" i="8" s="1"/>
  <c r="N4" i="2"/>
  <c r="N4" i="8" s="1"/>
  <c r="O4" i="2"/>
  <c r="O4" i="8" s="1"/>
  <c r="P4" i="2"/>
  <c r="P4" i="8" s="1"/>
  <c r="Q4" i="2"/>
  <c r="Q4" i="8" s="1"/>
  <c r="R4" i="2"/>
  <c r="R4" i="8" s="1"/>
  <c r="S4" i="2"/>
  <c r="S4" i="8" s="1"/>
  <c r="B5" i="2"/>
  <c r="B5" i="8" s="1"/>
  <c r="C5" i="2"/>
  <c r="C5" i="8" s="1"/>
  <c r="D5" i="2"/>
  <c r="D5" i="8" s="1"/>
  <c r="E5" i="2"/>
  <c r="E5" i="8" s="1"/>
  <c r="F5" i="2"/>
  <c r="F5" i="8" s="1"/>
  <c r="G5" i="2"/>
  <c r="G5" i="8" s="1"/>
  <c r="H5" i="2"/>
  <c r="H5" i="8" s="1"/>
  <c r="I5" i="2"/>
  <c r="I5" i="8" s="1"/>
  <c r="J5" i="2"/>
  <c r="J5" i="8" s="1"/>
  <c r="K5" i="2"/>
  <c r="K5" i="8" s="1"/>
  <c r="L5" i="2"/>
  <c r="L5" i="8" s="1"/>
  <c r="M5" i="2"/>
  <c r="M5" i="8" s="1"/>
  <c r="N5" i="2"/>
  <c r="N5" i="8" s="1"/>
  <c r="O5" i="2"/>
  <c r="O5" i="8" s="1"/>
  <c r="P5" i="2"/>
  <c r="P5" i="8" s="1"/>
  <c r="Q5" i="2"/>
  <c r="Q5" i="8" s="1"/>
  <c r="R5" i="2"/>
  <c r="R5" i="8" s="1"/>
  <c r="S5" i="2"/>
  <c r="S5" i="8" s="1"/>
  <c r="B6" i="2"/>
  <c r="B6" i="8" s="1"/>
  <c r="C6" i="2"/>
  <c r="C6" i="8" s="1"/>
  <c r="D6" i="2"/>
  <c r="D6" i="8" s="1"/>
  <c r="E6" i="2"/>
  <c r="E6" i="8" s="1"/>
  <c r="F6" i="2"/>
  <c r="F6" i="8" s="1"/>
  <c r="G6" i="2"/>
  <c r="G6" i="8" s="1"/>
  <c r="H6" i="2"/>
  <c r="H6" i="8" s="1"/>
  <c r="I6" i="2"/>
  <c r="I6" i="8" s="1"/>
  <c r="J6" i="2"/>
  <c r="J6" i="8" s="1"/>
  <c r="K6" i="2"/>
  <c r="K6" i="8" s="1"/>
  <c r="L6" i="2"/>
  <c r="L6" i="8" s="1"/>
  <c r="M6" i="2"/>
  <c r="M6" i="8" s="1"/>
  <c r="N6" i="2"/>
  <c r="N6" i="8" s="1"/>
  <c r="O6" i="2"/>
  <c r="O6" i="8" s="1"/>
  <c r="P6" i="2"/>
  <c r="P6" i="8" s="1"/>
  <c r="Q6" i="2"/>
  <c r="Q6" i="8" s="1"/>
  <c r="R6" i="2"/>
  <c r="R6" i="8" s="1"/>
  <c r="S6" i="2"/>
  <c r="S6" i="8" s="1"/>
  <c r="B7" i="2"/>
  <c r="B7" i="8" s="1"/>
  <c r="C7" i="2"/>
  <c r="C7" i="8" s="1"/>
  <c r="D7" i="2"/>
  <c r="D7" i="8" s="1"/>
  <c r="E7" i="2"/>
  <c r="E7" i="8" s="1"/>
  <c r="F7" i="2"/>
  <c r="F7" i="8" s="1"/>
  <c r="G7" i="2"/>
  <c r="G7" i="8" s="1"/>
  <c r="H7" i="2"/>
  <c r="H7" i="8" s="1"/>
  <c r="I7" i="2"/>
  <c r="I7" i="8" s="1"/>
  <c r="J7" i="2"/>
  <c r="J7" i="8" s="1"/>
  <c r="K7" i="2"/>
  <c r="K7" i="8" s="1"/>
  <c r="L7" i="2"/>
  <c r="L7" i="8" s="1"/>
  <c r="M7" i="2"/>
  <c r="M7" i="8" s="1"/>
  <c r="N7" i="2"/>
  <c r="N7" i="8" s="1"/>
  <c r="O7" i="2"/>
  <c r="O7" i="8" s="1"/>
  <c r="P7" i="2"/>
  <c r="P7" i="8" s="1"/>
  <c r="Q7" i="2"/>
  <c r="Q7" i="8" s="1"/>
  <c r="R7" i="2"/>
  <c r="R7" i="8" s="1"/>
  <c r="S7" i="2"/>
  <c r="S7" i="8" s="1"/>
  <c r="B8" i="2"/>
  <c r="B8" i="8" s="1"/>
  <c r="C8" i="2"/>
  <c r="C8" i="8" s="1"/>
  <c r="D8" i="2"/>
  <c r="D8" i="8" s="1"/>
  <c r="E8" i="2"/>
  <c r="E8" i="8" s="1"/>
  <c r="F8" i="2"/>
  <c r="F8" i="8" s="1"/>
  <c r="G8" i="2"/>
  <c r="G8" i="8" s="1"/>
  <c r="H8" i="2"/>
  <c r="H8" i="8" s="1"/>
  <c r="I8" i="2"/>
  <c r="I8" i="8" s="1"/>
  <c r="J8" i="2"/>
  <c r="J8" i="8" s="1"/>
  <c r="K8" i="2"/>
  <c r="K8" i="8" s="1"/>
  <c r="L8" i="2"/>
  <c r="L8" i="8" s="1"/>
  <c r="M8" i="2"/>
  <c r="M8" i="8" s="1"/>
  <c r="N8" i="2"/>
  <c r="N8" i="8" s="1"/>
  <c r="O8" i="2"/>
  <c r="O8" i="8" s="1"/>
  <c r="P8" i="2"/>
  <c r="P8" i="8" s="1"/>
  <c r="Q8" i="2"/>
  <c r="Q8" i="8" s="1"/>
  <c r="R8" i="2"/>
  <c r="R8" i="8" s="1"/>
  <c r="S8" i="2"/>
  <c r="S8" i="8" s="1"/>
  <c r="B9" i="2"/>
  <c r="B9" i="8" s="1"/>
  <c r="C9" i="2"/>
  <c r="C9" i="8" s="1"/>
  <c r="D9" i="2"/>
  <c r="D9" i="8" s="1"/>
  <c r="E9" i="2"/>
  <c r="E9" i="8" s="1"/>
  <c r="F9" i="2"/>
  <c r="F9" i="8" s="1"/>
  <c r="G9" i="2"/>
  <c r="G9" i="8" s="1"/>
  <c r="H9" i="2"/>
  <c r="H9" i="8" s="1"/>
  <c r="I9" i="2"/>
  <c r="I9" i="8" s="1"/>
  <c r="J9" i="2"/>
  <c r="J9" i="8" s="1"/>
  <c r="K9" i="2"/>
  <c r="K9" i="8" s="1"/>
  <c r="L9" i="2"/>
  <c r="L9" i="8" s="1"/>
  <c r="M9" i="2"/>
  <c r="M9" i="8" s="1"/>
  <c r="N9" i="2"/>
  <c r="N9" i="8" s="1"/>
  <c r="O9" i="2"/>
  <c r="O9" i="8" s="1"/>
  <c r="P9" i="2"/>
  <c r="P9" i="8" s="1"/>
  <c r="Q9" i="2"/>
  <c r="Q9" i="8" s="1"/>
  <c r="R9" i="2"/>
  <c r="R9" i="8" s="1"/>
  <c r="S9" i="2"/>
  <c r="S9" i="8" s="1"/>
  <c r="B10" i="2"/>
  <c r="B10" i="8" s="1"/>
  <c r="C10" i="2"/>
  <c r="C10" i="8" s="1"/>
  <c r="D10" i="2"/>
  <c r="D10" i="8" s="1"/>
  <c r="E10" i="2"/>
  <c r="E10" i="8" s="1"/>
  <c r="F10" i="2"/>
  <c r="F10" i="8" s="1"/>
  <c r="G10" i="2"/>
  <c r="G10" i="8" s="1"/>
  <c r="H10" i="2"/>
  <c r="H10" i="8" s="1"/>
  <c r="I10" i="2"/>
  <c r="I10" i="8" s="1"/>
  <c r="J10" i="2"/>
  <c r="J10" i="8" s="1"/>
  <c r="K10" i="2"/>
  <c r="K10" i="8" s="1"/>
  <c r="L10" i="2"/>
  <c r="L10" i="8" s="1"/>
  <c r="M10" i="2"/>
  <c r="M10" i="8" s="1"/>
  <c r="N10" i="2"/>
  <c r="N10" i="8" s="1"/>
  <c r="O10" i="2"/>
  <c r="O10" i="8" s="1"/>
  <c r="P10" i="2"/>
  <c r="P10" i="8" s="1"/>
  <c r="Q10" i="2"/>
  <c r="Q10" i="8" s="1"/>
  <c r="R10" i="2"/>
  <c r="R10" i="8" s="1"/>
  <c r="S10" i="2"/>
  <c r="S10" i="8" s="1"/>
  <c r="B11" i="2"/>
  <c r="B11" i="8" s="1"/>
  <c r="C11" i="2"/>
  <c r="C11" i="8" s="1"/>
  <c r="D11" i="2"/>
  <c r="D11" i="8" s="1"/>
  <c r="E11" i="2"/>
  <c r="E11" i="8" s="1"/>
  <c r="F11" i="2"/>
  <c r="F11" i="8" s="1"/>
  <c r="G11" i="2"/>
  <c r="G11" i="8" s="1"/>
  <c r="H11" i="2"/>
  <c r="H11" i="8" s="1"/>
  <c r="I11" i="2"/>
  <c r="I11" i="8" s="1"/>
  <c r="J11" i="2"/>
  <c r="J11" i="8" s="1"/>
  <c r="K11" i="2"/>
  <c r="K11" i="8" s="1"/>
  <c r="L11" i="2"/>
  <c r="L11" i="8" s="1"/>
  <c r="M11" i="2"/>
  <c r="M11" i="8" s="1"/>
  <c r="N11" i="2"/>
  <c r="N11" i="8" s="1"/>
  <c r="O11" i="2"/>
  <c r="O11" i="8" s="1"/>
  <c r="P11" i="2"/>
  <c r="P11" i="8" s="1"/>
  <c r="Q11" i="2"/>
  <c r="Q11" i="8" s="1"/>
  <c r="R11" i="2"/>
  <c r="R11" i="8" s="1"/>
  <c r="S11" i="2"/>
  <c r="S11" i="8" s="1"/>
  <c r="B12" i="2"/>
  <c r="B12" i="8" s="1"/>
  <c r="C12" i="2"/>
  <c r="C12" i="8" s="1"/>
  <c r="D12" i="2"/>
  <c r="D12" i="8" s="1"/>
  <c r="E12" i="2"/>
  <c r="E12" i="8" s="1"/>
  <c r="F12" i="2"/>
  <c r="F12" i="8" s="1"/>
  <c r="G12" i="2"/>
  <c r="G12" i="8" s="1"/>
  <c r="H12" i="2"/>
  <c r="H12" i="8" s="1"/>
  <c r="I12" i="2"/>
  <c r="I12" i="8" s="1"/>
  <c r="J12" i="2"/>
  <c r="J12" i="8" s="1"/>
  <c r="K12" i="2"/>
  <c r="K12" i="8" s="1"/>
  <c r="L12" i="2"/>
  <c r="L12" i="8" s="1"/>
  <c r="M12" i="2"/>
  <c r="M12" i="8" s="1"/>
  <c r="N12" i="2"/>
  <c r="N12" i="8" s="1"/>
  <c r="O12" i="2"/>
  <c r="O12" i="8" s="1"/>
  <c r="P12" i="2"/>
  <c r="P12" i="8" s="1"/>
  <c r="Q12" i="2"/>
  <c r="Q12" i="8" s="1"/>
  <c r="R12" i="2"/>
  <c r="R12" i="8" s="1"/>
  <c r="S12" i="2"/>
  <c r="S12" i="8" s="1"/>
  <c r="B13" i="2"/>
  <c r="B13" i="8" s="1"/>
  <c r="C13" i="2"/>
  <c r="C13" i="8" s="1"/>
  <c r="D13" i="2"/>
  <c r="D13" i="8" s="1"/>
  <c r="E13" i="2"/>
  <c r="E13" i="8" s="1"/>
  <c r="F13" i="2"/>
  <c r="F13" i="8" s="1"/>
  <c r="G13" i="2"/>
  <c r="G13" i="8" s="1"/>
  <c r="H13" i="2"/>
  <c r="H13" i="8" s="1"/>
  <c r="I13" i="2"/>
  <c r="I13" i="8" s="1"/>
  <c r="J13" i="2"/>
  <c r="J13" i="8" s="1"/>
  <c r="K13" i="2"/>
  <c r="K13" i="8" s="1"/>
  <c r="L13" i="2"/>
  <c r="L13" i="8" s="1"/>
  <c r="M13" i="2"/>
  <c r="M13" i="8" s="1"/>
  <c r="N13" i="2"/>
  <c r="N13" i="8" s="1"/>
  <c r="O13" i="2"/>
  <c r="O13" i="8" s="1"/>
  <c r="P13" i="2"/>
  <c r="P13" i="8" s="1"/>
  <c r="Q13" i="2"/>
  <c r="Q13" i="8" s="1"/>
  <c r="R13" i="2"/>
  <c r="R13" i="8" s="1"/>
  <c r="S13" i="2"/>
  <c r="S13" i="8" s="1"/>
  <c r="B14" i="2"/>
  <c r="B14" i="8" s="1"/>
  <c r="C14" i="2"/>
  <c r="C14" i="8" s="1"/>
  <c r="D14" i="2"/>
  <c r="D14" i="8" s="1"/>
  <c r="E14" i="2"/>
  <c r="E14" i="8" s="1"/>
  <c r="F14" i="2"/>
  <c r="F14" i="8" s="1"/>
  <c r="G14" i="2"/>
  <c r="G14" i="8" s="1"/>
  <c r="H14" i="2"/>
  <c r="H14" i="8" s="1"/>
  <c r="I14" i="2"/>
  <c r="I14" i="8" s="1"/>
  <c r="J14" i="2"/>
  <c r="J14" i="8" s="1"/>
  <c r="K14" i="2"/>
  <c r="K14" i="8" s="1"/>
  <c r="L14" i="2"/>
  <c r="L14" i="8" s="1"/>
  <c r="M14" i="2"/>
  <c r="M14" i="8" s="1"/>
  <c r="N14" i="2"/>
  <c r="N14" i="8" s="1"/>
  <c r="O14" i="2"/>
  <c r="O14" i="8" s="1"/>
  <c r="P14" i="2"/>
  <c r="P14" i="8" s="1"/>
  <c r="Q14" i="2"/>
  <c r="Q14" i="8" s="1"/>
  <c r="R14" i="2"/>
  <c r="R14" i="8" s="1"/>
  <c r="S14" i="2"/>
  <c r="S14" i="8" s="1"/>
  <c r="B15" i="2"/>
  <c r="B15" i="8" s="1"/>
  <c r="C15" i="2"/>
  <c r="C15" i="8" s="1"/>
  <c r="D15" i="2"/>
  <c r="D15" i="8" s="1"/>
  <c r="E15" i="2"/>
  <c r="E15" i="8" s="1"/>
  <c r="F15" i="2"/>
  <c r="F15" i="8" s="1"/>
  <c r="G15" i="2"/>
  <c r="G15" i="8" s="1"/>
  <c r="H15" i="2"/>
  <c r="H15" i="8" s="1"/>
  <c r="I15" i="2"/>
  <c r="I15" i="8" s="1"/>
  <c r="J15" i="2"/>
  <c r="J15" i="8" s="1"/>
  <c r="K15" i="2"/>
  <c r="K15" i="8" s="1"/>
  <c r="L15" i="2"/>
  <c r="L15" i="8" s="1"/>
  <c r="M15" i="2"/>
  <c r="M15" i="8" s="1"/>
  <c r="N15" i="2"/>
  <c r="N15" i="8" s="1"/>
  <c r="O15" i="2"/>
  <c r="O15" i="8" s="1"/>
  <c r="P15" i="2"/>
  <c r="P15" i="8" s="1"/>
  <c r="Q15" i="2"/>
  <c r="Q15" i="8" s="1"/>
  <c r="R15" i="2"/>
  <c r="R15" i="8" s="1"/>
  <c r="S15" i="2"/>
  <c r="S15" i="8" s="1"/>
  <c r="B16" i="2"/>
  <c r="B16" i="8" s="1"/>
  <c r="C16" i="2"/>
  <c r="C16" i="8" s="1"/>
  <c r="D16" i="2"/>
  <c r="D16" i="8" s="1"/>
  <c r="E16" i="2"/>
  <c r="E16" i="8" s="1"/>
  <c r="F16" i="2"/>
  <c r="F16" i="8" s="1"/>
  <c r="G16" i="2"/>
  <c r="G16" i="8" s="1"/>
  <c r="H16" i="2"/>
  <c r="H16" i="8" s="1"/>
  <c r="I16" i="2"/>
  <c r="I16" i="8" s="1"/>
  <c r="J16" i="2"/>
  <c r="J16" i="8" s="1"/>
  <c r="K16" i="2"/>
  <c r="K16" i="8" s="1"/>
  <c r="L16" i="2"/>
  <c r="L16" i="8" s="1"/>
  <c r="M16" i="2"/>
  <c r="M16" i="8" s="1"/>
  <c r="N16" i="2"/>
  <c r="N16" i="8" s="1"/>
  <c r="O16" i="2"/>
  <c r="O16" i="8" s="1"/>
  <c r="P16" i="2"/>
  <c r="P16" i="8" s="1"/>
  <c r="Q16" i="2"/>
  <c r="Q16" i="8" s="1"/>
  <c r="R16" i="2"/>
  <c r="R16" i="8" s="1"/>
  <c r="S16" i="2"/>
  <c r="S16" i="8" s="1"/>
  <c r="B17" i="2"/>
  <c r="B17" i="8" s="1"/>
  <c r="C17" i="2"/>
  <c r="C17" i="8" s="1"/>
  <c r="D17" i="2"/>
  <c r="D17" i="8" s="1"/>
  <c r="E17" i="2"/>
  <c r="E17" i="8" s="1"/>
  <c r="F17" i="2"/>
  <c r="F17" i="8" s="1"/>
  <c r="G17" i="2"/>
  <c r="G17" i="8" s="1"/>
  <c r="H17" i="2"/>
  <c r="H17" i="8" s="1"/>
  <c r="I17" i="2"/>
  <c r="I17" i="8" s="1"/>
  <c r="J17" i="2"/>
  <c r="J17" i="8" s="1"/>
  <c r="K17" i="2"/>
  <c r="K17" i="8" s="1"/>
  <c r="L17" i="2"/>
  <c r="L17" i="8" s="1"/>
  <c r="M17" i="2"/>
  <c r="M17" i="8" s="1"/>
  <c r="N17" i="2"/>
  <c r="N17" i="8" s="1"/>
  <c r="O17" i="2"/>
  <c r="O17" i="8" s="1"/>
  <c r="P17" i="2"/>
  <c r="P17" i="8" s="1"/>
  <c r="Q17" i="2"/>
  <c r="Q17" i="8" s="1"/>
  <c r="R17" i="2"/>
  <c r="R17" i="8" s="1"/>
  <c r="S17" i="2"/>
  <c r="S17" i="8" s="1"/>
  <c r="B18" i="2"/>
  <c r="B18" i="8" s="1"/>
  <c r="C18" i="2"/>
  <c r="C18" i="8" s="1"/>
  <c r="D18" i="2"/>
  <c r="D18" i="8" s="1"/>
  <c r="E18" i="2"/>
  <c r="E18" i="8" s="1"/>
  <c r="F18" i="2"/>
  <c r="F18" i="8" s="1"/>
  <c r="G18" i="2"/>
  <c r="G18" i="8" s="1"/>
  <c r="H18" i="2"/>
  <c r="H18" i="8" s="1"/>
  <c r="I18" i="2"/>
  <c r="I18" i="8" s="1"/>
  <c r="J18" i="2"/>
  <c r="J18" i="8" s="1"/>
  <c r="K18" i="2"/>
  <c r="K18" i="8" s="1"/>
  <c r="L18" i="2"/>
  <c r="L18" i="8" s="1"/>
  <c r="M18" i="2"/>
  <c r="M18" i="8" s="1"/>
  <c r="N18" i="2"/>
  <c r="N18" i="8" s="1"/>
  <c r="O18" i="2"/>
  <c r="O18" i="8" s="1"/>
  <c r="P18" i="2"/>
  <c r="P18" i="8" s="1"/>
  <c r="Q18" i="2"/>
  <c r="Q18" i="8" s="1"/>
  <c r="R18" i="2"/>
  <c r="R18" i="8" s="1"/>
  <c r="S18" i="2"/>
  <c r="S18" i="8" s="1"/>
  <c r="B19" i="2"/>
  <c r="B19" i="8" s="1"/>
  <c r="C19" i="2"/>
  <c r="C19" i="8" s="1"/>
  <c r="D19" i="2"/>
  <c r="D19" i="8" s="1"/>
  <c r="E19" i="2"/>
  <c r="E19" i="8" s="1"/>
  <c r="F19" i="2"/>
  <c r="F19" i="8" s="1"/>
  <c r="G19" i="2"/>
  <c r="G19" i="8" s="1"/>
  <c r="H19" i="2"/>
  <c r="H19" i="8" s="1"/>
  <c r="I19" i="2"/>
  <c r="I19" i="8" s="1"/>
  <c r="J19" i="2"/>
  <c r="J19" i="8" s="1"/>
  <c r="K19" i="2"/>
  <c r="K19" i="8" s="1"/>
  <c r="L19" i="2"/>
  <c r="L19" i="8" s="1"/>
  <c r="M19" i="2"/>
  <c r="M19" i="8" s="1"/>
  <c r="N19" i="2"/>
  <c r="N19" i="8" s="1"/>
  <c r="O19" i="2"/>
  <c r="O19" i="8" s="1"/>
  <c r="P19" i="2"/>
  <c r="P19" i="8" s="1"/>
  <c r="Q19" i="2"/>
  <c r="Q19" i="8" s="1"/>
  <c r="R19" i="2"/>
  <c r="R19" i="8" s="1"/>
  <c r="S19" i="2"/>
  <c r="S19" i="8" s="1"/>
  <c r="B20" i="2"/>
  <c r="B20" i="8" s="1"/>
  <c r="C20" i="2"/>
  <c r="C20" i="8" s="1"/>
  <c r="D20" i="2"/>
  <c r="D20" i="8" s="1"/>
  <c r="E20" i="2"/>
  <c r="E20" i="8" s="1"/>
  <c r="F20" i="2"/>
  <c r="F20" i="8" s="1"/>
  <c r="G20" i="2"/>
  <c r="G20" i="8" s="1"/>
  <c r="H20" i="2"/>
  <c r="H20" i="8" s="1"/>
  <c r="I20" i="2"/>
  <c r="I20" i="8" s="1"/>
  <c r="J20" i="2"/>
  <c r="J20" i="8" s="1"/>
  <c r="K20" i="2"/>
  <c r="K20" i="8" s="1"/>
  <c r="L20" i="2"/>
  <c r="L20" i="8" s="1"/>
  <c r="M20" i="2"/>
  <c r="M20" i="8" s="1"/>
  <c r="N20" i="2"/>
  <c r="N20" i="8" s="1"/>
  <c r="O20" i="2"/>
  <c r="O20" i="8" s="1"/>
  <c r="P20" i="2"/>
  <c r="P20" i="8" s="1"/>
  <c r="Q20" i="2"/>
  <c r="Q20" i="8" s="1"/>
  <c r="R20" i="2"/>
  <c r="R20" i="8" s="1"/>
  <c r="S20" i="2"/>
  <c r="S20" i="8" s="1"/>
  <c r="B21" i="2"/>
  <c r="B21" i="8" s="1"/>
  <c r="C21" i="2"/>
  <c r="C21" i="8" s="1"/>
  <c r="D21" i="2"/>
  <c r="D21" i="8" s="1"/>
  <c r="E21" i="2"/>
  <c r="E21" i="8" s="1"/>
  <c r="F21" i="2"/>
  <c r="F21" i="8" s="1"/>
  <c r="G21" i="2"/>
  <c r="G21" i="8" s="1"/>
  <c r="H21" i="2"/>
  <c r="H21" i="8" s="1"/>
  <c r="I21" i="2"/>
  <c r="I21" i="8" s="1"/>
  <c r="J21" i="2"/>
  <c r="J21" i="8" s="1"/>
  <c r="K21" i="2"/>
  <c r="K21" i="8" s="1"/>
  <c r="L21" i="2"/>
  <c r="L21" i="8" s="1"/>
  <c r="M21" i="2"/>
  <c r="M21" i="8" s="1"/>
  <c r="N21" i="2"/>
  <c r="N21" i="8" s="1"/>
  <c r="O21" i="2"/>
  <c r="O21" i="8" s="1"/>
  <c r="P21" i="2"/>
  <c r="P21" i="8" s="1"/>
  <c r="Q21" i="2"/>
  <c r="Q21" i="8" s="1"/>
  <c r="R21" i="2"/>
  <c r="R21" i="8" s="1"/>
  <c r="S21" i="2"/>
  <c r="S21" i="8" s="1"/>
  <c r="B22" i="2"/>
  <c r="B22" i="8" s="1"/>
  <c r="C22" i="2"/>
  <c r="C22" i="8" s="1"/>
  <c r="D22" i="2"/>
  <c r="D22" i="8" s="1"/>
  <c r="E22" i="2"/>
  <c r="E22" i="8" s="1"/>
  <c r="F22" i="2"/>
  <c r="F22" i="8" s="1"/>
  <c r="G22" i="2"/>
  <c r="G22" i="8" s="1"/>
  <c r="H22" i="2"/>
  <c r="H22" i="8" s="1"/>
  <c r="I22" i="2"/>
  <c r="I22" i="8" s="1"/>
  <c r="J22" i="2"/>
  <c r="J22" i="8" s="1"/>
  <c r="K22" i="2"/>
  <c r="K22" i="8" s="1"/>
  <c r="L22" i="2"/>
  <c r="L22" i="8" s="1"/>
  <c r="M22" i="2"/>
  <c r="M22" i="8" s="1"/>
  <c r="N22" i="2"/>
  <c r="N22" i="8" s="1"/>
  <c r="O22" i="2"/>
  <c r="O22" i="8" s="1"/>
  <c r="P22" i="2"/>
  <c r="P22" i="8" s="1"/>
  <c r="Q22" i="2"/>
  <c r="Q22" i="8" s="1"/>
  <c r="R22" i="2"/>
  <c r="R22" i="8" s="1"/>
  <c r="S22" i="2"/>
  <c r="S22" i="8" s="1"/>
  <c r="B23" i="2"/>
  <c r="B23" i="8" s="1"/>
  <c r="C23" i="2"/>
  <c r="C23" i="8" s="1"/>
  <c r="D23" i="2"/>
  <c r="D23" i="8" s="1"/>
  <c r="E23" i="2"/>
  <c r="E23" i="8" s="1"/>
  <c r="F23" i="2"/>
  <c r="F23" i="8" s="1"/>
  <c r="G23" i="2"/>
  <c r="G23" i="8" s="1"/>
  <c r="H23" i="2"/>
  <c r="H23" i="8" s="1"/>
  <c r="I23" i="2"/>
  <c r="I23" i="8" s="1"/>
  <c r="J23" i="2"/>
  <c r="J23" i="8" s="1"/>
  <c r="K23" i="2"/>
  <c r="K23" i="8" s="1"/>
  <c r="L23" i="2"/>
  <c r="L23" i="8" s="1"/>
  <c r="M23" i="2"/>
  <c r="M23" i="8" s="1"/>
  <c r="N23" i="2"/>
  <c r="N23" i="8" s="1"/>
  <c r="O23" i="2"/>
  <c r="O23" i="8" s="1"/>
  <c r="P23" i="2"/>
  <c r="P23" i="8" s="1"/>
  <c r="Q23" i="2"/>
  <c r="Q23" i="8" s="1"/>
  <c r="R23" i="2"/>
  <c r="R23" i="8" s="1"/>
  <c r="S23" i="2"/>
  <c r="S23" i="8" s="1"/>
  <c r="B24" i="2"/>
  <c r="B24" i="8" s="1"/>
  <c r="C24" i="2"/>
  <c r="C24" i="8" s="1"/>
  <c r="D24" i="2"/>
  <c r="D24" i="8" s="1"/>
  <c r="E24" i="2"/>
  <c r="E24" i="8" s="1"/>
  <c r="F24" i="2"/>
  <c r="F24" i="8" s="1"/>
  <c r="G24" i="2"/>
  <c r="G24" i="8" s="1"/>
  <c r="H24" i="2"/>
  <c r="H24" i="8" s="1"/>
  <c r="I24" i="2"/>
  <c r="I24" i="8" s="1"/>
  <c r="J24" i="2"/>
  <c r="J24" i="8" s="1"/>
  <c r="K24" i="2"/>
  <c r="K24" i="8" s="1"/>
  <c r="L24" i="2"/>
  <c r="L24" i="8" s="1"/>
  <c r="M24" i="2"/>
  <c r="M24" i="8" s="1"/>
  <c r="N24" i="2"/>
  <c r="N24" i="8" s="1"/>
  <c r="O24" i="2"/>
  <c r="O24" i="8" s="1"/>
  <c r="P24" i="2"/>
  <c r="P24" i="8" s="1"/>
  <c r="Q24" i="2"/>
  <c r="Q24" i="8" s="1"/>
  <c r="R24" i="2"/>
  <c r="R24" i="8" s="1"/>
  <c r="S24" i="2"/>
  <c r="S24" i="8" s="1"/>
  <c r="B25" i="2"/>
  <c r="B25" i="8" s="1"/>
  <c r="C25" i="2"/>
  <c r="C25" i="8" s="1"/>
  <c r="D25" i="2"/>
  <c r="D25" i="8" s="1"/>
  <c r="E25" i="2"/>
  <c r="E25" i="8" s="1"/>
  <c r="F25" i="2"/>
  <c r="F25" i="8" s="1"/>
  <c r="G25" i="2"/>
  <c r="G25" i="8" s="1"/>
  <c r="H25" i="2"/>
  <c r="H25" i="8" s="1"/>
  <c r="I25" i="2"/>
  <c r="I25" i="8" s="1"/>
  <c r="J25" i="2"/>
  <c r="J25" i="8" s="1"/>
  <c r="K25" i="2"/>
  <c r="K25" i="8" s="1"/>
  <c r="L25" i="2"/>
  <c r="L25" i="8" s="1"/>
  <c r="M25" i="2"/>
  <c r="M25" i="8" s="1"/>
  <c r="N25" i="2"/>
  <c r="N25" i="8" s="1"/>
  <c r="O25" i="2"/>
  <c r="O25" i="8" s="1"/>
  <c r="P25" i="2"/>
  <c r="P25" i="8" s="1"/>
  <c r="Q25" i="2"/>
  <c r="Q25" i="8" s="1"/>
  <c r="R25" i="2"/>
  <c r="R25" i="8" s="1"/>
  <c r="S25" i="2"/>
  <c r="S25" i="8" s="1"/>
  <c r="B26" i="2"/>
  <c r="B26" i="8" s="1"/>
  <c r="C26" i="2"/>
  <c r="C26" i="8" s="1"/>
  <c r="D26" i="2"/>
  <c r="D26" i="8" s="1"/>
  <c r="E26" i="2"/>
  <c r="E26" i="8" s="1"/>
  <c r="F26" i="2"/>
  <c r="F26" i="8" s="1"/>
  <c r="G26" i="2"/>
  <c r="G26" i="8" s="1"/>
  <c r="H26" i="2"/>
  <c r="H26" i="8" s="1"/>
  <c r="I26" i="2"/>
  <c r="I26" i="8" s="1"/>
  <c r="J26" i="2"/>
  <c r="J26" i="8" s="1"/>
  <c r="K26" i="2"/>
  <c r="K26" i="8" s="1"/>
  <c r="L26" i="2"/>
  <c r="L26" i="8" s="1"/>
  <c r="M26" i="2"/>
  <c r="M26" i="8" s="1"/>
  <c r="N26" i="2"/>
  <c r="N26" i="8" s="1"/>
  <c r="O26" i="2"/>
  <c r="O26" i="8" s="1"/>
  <c r="P26" i="2"/>
  <c r="P26" i="8" s="1"/>
  <c r="Q26" i="2"/>
  <c r="Q26" i="8" s="1"/>
  <c r="R26" i="2"/>
  <c r="R26" i="8" s="1"/>
  <c r="S26" i="2"/>
  <c r="S26" i="8" s="1"/>
  <c r="B27" i="2"/>
  <c r="B27" i="8" s="1"/>
  <c r="C27" i="2"/>
  <c r="C27" i="8" s="1"/>
  <c r="D27" i="2"/>
  <c r="D27" i="8" s="1"/>
  <c r="E27" i="2"/>
  <c r="E27" i="8" s="1"/>
  <c r="F27" i="2"/>
  <c r="F27" i="8" s="1"/>
  <c r="G27" i="2"/>
  <c r="G27" i="8" s="1"/>
  <c r="H27" i="2"/>
  <c r="H27" i="8" s="1"/>
  <c r="I27" i="2"/>
  <c r="I27" i="8" s="1"/>
  <c r="J27" i="2"/>
  <c r="J27" i="8" s="1"/>
  <c r="K27" i="2"/>
  <c r="K27" i="8" s="1"/>
  <c r="L27" i="2"/>
  <c r="L27" i="8" s="1"/>
  <c r="M27" i="2"/>
  <c r="M27" i="8" s="1"/>
  <c r="N27" i="2"/>
  <c r="N27" i="8" s="1"/>
  <c r="O27" i="2"/>
  <c r="O27" i="8" s="1"/>
  <c r="P27" i="2"/>
  <c r="P27" i="8" s="1"/>
  <c r="Q27" i="2"/>
  <c r="Q27" i="8" s="1"/>
  <c r="R27" i="2"/>
  <c r="R27" i="8" s="1"/>
  <c r="S27" i="2"/>
  <c r="S27" i="8" s="1"/>
  <c r="B28" i="2"/>
  <c r="B28" i="8" s="1"/>
  <c r="C28" i="2"/>
  <c r="C28" i="8" s="1"/>
  <c r="D28" i="2"/>
  <c r="D28" i="8" s="1"/>
  <c r="E28" i="2"/>
  <c r="E28" i="8" s="1"/>
  <c r="F28" i="2"/>
  <c r="F28" i="8" s="1"/>
  <c r="G28" i="2"/>
  <c r="G28" i="8" s="1"/>
  <c r="H28" i="2"/>
  <c r="H28" i="8" s="1"/>
  <c r="I28" i="2"/>
  <c r="I28" i="8" s="1"/>
  <c r="J28" i="2"/>
  <c r="J28" i="8" s="1"/>
  <c r="K28" i="2"/>
  <c r="K28" i="8" s="1"/>
  <c r="L28" i="2"/>
  <c r="L28" i="8" s="1"/>
  <c r="M28" i="2"/>
  <c r="M28" i="8" s="1"/>
  <c r="N28" i="2"/>
  <c r="N28" i="8" s="1"/>
  <c r="O28" i="2"/>
  <c r="O28" i="8" s="1"/>
  <c r="P28" i="2"/>
  <c r="P28" i="8" s="1"/>
  <c r="Q28" i="2"/>
  <c r="Q28" i="8" s="1"/>
  <c r="R28" i="2"/>
  <c r="R28" i="8" s="1"/>
  <c r="S28" i="2"/>
  <c r="S28" i="8" s="1"/>
  <c r="B29" i="2"/>
  <c r="B29" i="8" s="1"/>
  <c r="C29" i="2"/>
  <c r="C29" i="8" s="1"/>
  <c r="D29" i="2"/>
  <c r="D29" i="8" s="1"/>
  <c r="E29" i="2"/>
  <c r="E29" i="8" s="1"/>
  <c r="F29" i="2"/>
  <c r="F29" i="8" s="1"/>
  <c r="G29" i="2"/>
  <c r="G29" i="8" s="1"/>
  <c r="H29" i="2"/>
  <c r="H29" i="8" s="1"/>
  <c r="I29" i="2"/>
  <c r="I29" i="8" s="1"/>
  <c r="J29" i="2"/>
  <c r="J29" i="8" s="1"/>
  <c r="K29" i="2"/>
  <c r="K29" i="8" s="1"/>
  <c r="L29" i="2"/>
  <c r="L29" i="8" s="1"/>
  <c r="M29" i="2"/>
  <c r="M29" i="8" s="1"/>
  <c r="N29" i="2"/>
  <c r="N29" i="8" s="1"/>
  <c r="O29" i="2"/>
  <c r="O29" i="8" s="1"/>
  <c r="P29" i="2"/>
  <c r="P29" i="8" s="1"/>
  <c r="Q29" i="2"/>
  <c r="Q29" i="8" s="1"/>
  <c r="R29" i="2"/>
  <c r="R29" i="8" s="1"/>
  <c r="S29" i="2"/>
  <c r="S29" i="8" s="1"/>
  <c r="B30" i="2"/>
  <c r="B30" i="8" s="1"/>
  <c r="C30" i="2"/>
  <c r="C30" i="8" s="1"/>
  <c r="D30" i="2"/>
  <c r="D30" i="8" s="1"/>
  <c r="E30" i="2"/>
  <c r="E30" i="8" s="1"/>
  <c r="F30" i="2"/>
  <c r="F30" i="8" s="1"/>
  <c r="G30" i="2"/>
  <c r="G30" i="8" s="1"/>
  <c r="H30" i="2"/>
  <c r="H30" i="8" s="1"/>
  <c r="I30" i="2"/>
  <c r="I30" i="8" s="1"/>
  <c r="J30" i="2"/>
  <c r="J30" i="8" s="1"/>
  <c r="K30" i="2"/>
  <c r="K30" i="8" s="1"/>
  <c r="L30" i="2"/>
  <c r="L30" i="8" s="1"/>
  <c r="M30" i="2"/>
  <c r="M30" i="8" s="1"/>
  <c r="N30" i="2"/>
  <c r="N30" i="8" s="1"/>
  <c r="O30" i="2"/>
  <c r="O30" i="8" s="1"/>
  <c r="P30" i="2"/>
  <c r="P30" i="8" s="1"/>
  <c r="Q30" i="2"/>
  <c r="Q30" i="8" s="1"/>
  <c r="R30" i="2"/>
  <c r="R30" i="8" s="1"/>
  <c r="S30" i="2"/>
  <c r="S30" i="8" s="1"/>
  <c r="B31" i="2"/>
  <c r="B31" i="8" s="1"/>
  <c r="C31" i="2"/>
  <c r="C31" i="8" s="1"/>
  <c r="D31" i="2"/>
  <c r="D31" i="8" s="1"/>
  <c r="E31" i="2"/>
  <c r="E31" i="8" s="1"/>
  <c r="F31" i="2"/>
  <c r="F31" i="8" s="1"/>
  <c r="G31" i="2"/>
  <c r="G31" i="8" s="1"/>
  <c r="H31" i="2"/>
  <c r="H31" i="8" s="1"/>
  <c r="I31" i="2"/>
  <c r="I31" i="8" s="1"/>
  <c r="J31" i="2"/>
  <c r="J31" i="8" s="1"/>
  <c r="K31" i="2"/>
  <c r="K31" i="8" s="1"/>
  <c r="L31" i="2"/>
  <c r="L31" i="8" s="1"/>
  <c r="M31" i="2"/>
  <c r="M31" i="8" s="1"/>
  <c r="N31" i="2"/>
  <c r="N31" i="8" s="1"/>
  <c r="O31" i="2"/>
  <c r="O31" i="8" s="1"/>
  <c r="P31" i="2"/>
  <c r="P31" i="8" s="1"/>
  <c r="Q31" i="2"/>
  <c r="Q31" i="8" s="1"/>
  <c r="R31" i="2"/>
  <c r="R31" i="8" s="1"/>
  <c r="S31" i="2"/>
  <c r="S31" i="8" s="1"/>
  <c r="B32" i="2"/>
  <c r="B32" i="8" s="1"/>
  <c r="C32" i="2"/>
  <c r="C32" i="8" s="1"/>
  <c r="D32" i="2"/>
  <c r="D32" i="8" s="1"/>
  <c r="E32" i="2"/>
  <c r="E32" i="8" s="1"/>
  <c r="F32" i="2"/>
  <c r="F32" i="8" s="1"/>
  <c r="G32" i="2"/>
  <c r="G32" i="8" s="1"/>
  <c r="H32" i="2"/>
  <c r="H32" i="8" s="1"/>
  <c r="I32" i="2"/>
  <c r="I32" i="8" s="1"/>
  <c r="J32" i="2"/>
  <c r="J32" i="8" s="1"/>
  <c r="K32" i="2"/>
  <c r="K32" i="8" s="1"/>
  <c r="L32" i="2"/>
  <c r="L32" i="8" s="1"/>
  <c r="M32" i="2"/>
  <c r="M32" i="8" s="1"/>
  <c r="N32" i="2"/>
  <c r="N32" i="8" s="1"/>
  <c r="O32" i="2"/>
  <c r="O32" i="8" s="1"/>
  <c r="P32" i="2"/>
  <c r="P32" i="8" s="1"/>
  <c r="Q32" i="2"/>
  <c r="Q32" i="8" s="1"/>
  <c r="R32" i="2"/>
  <c r="R32" i="8" s="1"/>
  <c r="S32" i="2"/>
  <c r="S32" i="8" s="1"/>
  <c r="B33" i="2"/>
  <c r="B33" i="8" s="1"/>
  <c r="C33" i="2"/>
  <c r="C33" i="8" s="1"/>
  <c r="D33" i="2"/>
  <c r="D33" i="8" s="1"/>
  <c r="E33" i="2"/>
  <c r="E33" i="8" s="1"/>
  <c r="F33" i="2"/>
  <c r="F33" i="8" s="1"/>
  <c r="G33" i="2"/>
  <c r="G33" i="8" s="1"/>
  <c r="H33" i="2"/>
  <c r="H33" i="8" s="1"/>
  <c r="I33" i="2"/>
  <c r="I33" i="8" s="1"/>
  <c r="J33" i="2"/>
  <c r="J33" i="8" s="1"/>
  <c r="K33" i="2"/>
  <c r="K33" i="8" s="1"/>
  <c r="L33" i="2"/>
  <c r="L33" i="8" s="1"/>
  <c r="M33" i="2"/>
  <c r="M33" i="8" s="1"/>
  <c r="N33" i="2"/>
  <c r="N33" i="8" s="1"/>
  <c r="O33" i="2"/>
  <c r="O33" i="8" s="1"/>
  <c r="P33" i="2"/>
  <c r="P33" i="8" s="1"/>
  <c r="Q33" i="2"/>
  <c r="Q33" i="8" s="1"/>
  <c r="R33" i="2"/>
  <c r="R33" i="8" s="1"/>
  <c r="S33" i="2"/>
  <c r="S33" i="8" s="1"/>
  <c r="B34" i="2"/>
  <c r="B34" i="8" s="1"/>
  <c r="C34" i="2"/>
  <c r="C34" i="8" s="1"/>
  <c r="D34" i="2"/>
  <c r="D34" i="8" s="1"/>
  <c r="E34" i="2"/>
  <c r="E34" i="8" s="1"/>
  <c r="F34" i="2"/>
  <c r="F34" i="8" s="1"/>
  <c r="G34" i="2"/>
  <c r="G34" i="8" s="1"/>
  <c r="H34" i="2"/>
  <c r="H34" i="8" s="1"/>
  <c r="I34" i="2"/>
  <c r="I34" i="8" s="1"/>
  <c r="J34" i="2"/>
  <c r="J34" i="8" s="1"/>
  <c r="K34" i="2"/>
  <c r="K34" i="8" s="1"/>
  <c r="L34" i="2"/>
  <c r="L34" i="8" s="1"/>
  <c r="M34" i="2"/>
  <c r="M34" i="8" s="1"/>
  <c r="N34" i="2"/>
  <c r="N34" i="8" s="1"/>
  <c r="O34" i="2"/>
  <c r="O34" i="8" s="1"/>
  <c r="P34" i="2"/>
  <c r="P34" i="8" s="1"/>
  <c r="Q34" i="2"/>
  <c r="Q34" i="8" s="1"/>
  <c r="R34" i="2"/>
  <c r="R34" i="8" s="1"/>
  <c r="S34" i="2"/>
  <c r="S34" i="8" s="1"/>
  <c r="B35" i="2"/>
  <c r="B35" i="8" s="1"/>
  <c r="C35" i="2"/>
  <c r="C35" i="8" s="1"/>
  <c r="D35" i="2"/>
  <c r="D35" i="8" s="1"/>
  <c r="E35" i="2"/>
  <c r="E35" i="8" s="1"/>
  <c r="F35" i="2"/>
  <c r="F35" i="8" s="1"/>
  <c r="G35" i="2"/>
  <c r="G35" i="8" s="1"/>
  <c r="H35" i="2"/>
  <c r="H35" i="8" s="1"/>
  <c r="I35" i="2"/>
  <c r="I35" i="8" s="1"/>
  <c r="J35" i="2"/>
  <c r="J35" i="8" s="1"/>
  <c r="K35" i="2"/>
  <c r="K35" i="8" s="1"/>
  <c r="L35" i="2"/>
  <c r="L35" i="8" s="1"/>
  <c r="M35" i="2"/>
  <c r="M35" i="8" s="1"/>
  <c r="N35" i="2"/>
  <c r="N35" i="8" s="1"/>
  <c r="O35" i="2"/>
  <c r="O35" i="8" s="1"/>
  <c r="P35" i="2"/>
  <c r="P35" i="8" s="1"/>
  <c r="Q35" i="2"/>
  <c r="Q35" i="8" s="1"/>
  <c r="R35" i="2"/>
  <c r="R35" i="8" s="1"/>
  <c r="S35" i="2"/>
  <c r="S35" i="8" s="1"/>
  <c r="B36" i="2"/>
  <c r="B36" i="8" s="1"/>
  <c r="C36" i="2"/>
  <c r="C36" i="8" s="1"/>
  <c r="D36" i="2"/>
  <c r="D36" i="8" s="1"/>
  <c r="E36" i="2"/>
  <c r="E36" i="8" s="1"/>
  <c r="F36" i="2"/>
  <c r="F36" i="8" s="1"/>
  <c r="G36" i="2"/>
  <c r="G36" i="8" s="1"/>
  <c r="H36" i="2"/>
  <c r="H36" i="8" s="1"/>
  <c r="I36" i="2"/>
  <c r="I36" i="8" s="1"/>
  <c r="J36" i="2"/>
  <c r="J36" i="8" s="1"/>
  <c r="K36" i="2"/>
  <c r="K36" i="8" s="1"/>
  <c r="L36" i="2"/>
  <c r="L36" i="8" s="1"/>
  <c r="M36" i="2"/>
  <c r="M36" i="8" s="1"/>
  <c r="N36" i="2"/>
  <c r="N36" i="8" s="1"/>
  <c r="O36" i="2"/>
  <c r="O36" i="8" s="1"/>
  <c r="P36" i="2"/>
  <c r="P36" i="8" s="1"/>
  <c r="Q36" i="2"/>
  <c r="Q36" i="8" s="1"/>
  <c r="R36" i="2"/>
  <c r="R36" i="8" s="1"/>
  <c r="S36" i="2"/>
  <c r="S36" i="8" s="1"/>
  <c r="C2" i="2"/>
  <c r="C2" i="8" s="1"/>
  <c r="D2" i="2"/>
  <c r="D2" i="8" s="1"/>
  <c r="E2" i="2"/>
  <c r="E2" i="8" s="1"/>
  <c r="F2" i="2"/>
  <c r="F2" i="8" s="1"/>
  <c r="G2" i="2"/>
  <c r="G2" i="8" s="1"/>
  <c r="H2" i="2"/>
  <c r="H2" i="8" s="1"/>
  <c r="I2" i="2"/>
  <c r="I2" i="8" s="1"/>
  <c r="J2" i="2"/>
  <c r="J2" i="8" s="1"/>
  <c r="K2" i="2"/>
  <c r="K2" i="8" s="1"/>
  <c r="L2" i="2"/>
  <c r="L2" i="8" s="1"/>
  <c r="M2" i="2"/>
  <c r="M2" i="8" s="1"/>
  <c r="N2" i="2"/>
  <c r="N2" i="8" s="1"/>
  <c r="O2" i="2"/>
  <c r="O2" i="8" s="1"/>
  <c r="P2" i="2"/>
  <c r="P2" i="8" s="1"/>
  <c r="Q2" i="2"/>
  <c r="Q2" i="8" s="1"/>
  <c r="R2" i="2"/>
  <c r="R2" i="8" s="1"/>
  <c r="S2" i="2"/>
  <c r="S2" i="8" s="1"/>
  <c r="B2" i="2"/>
  <c r="B2" i="8" s="1"/>
  <c r="B3" i="5"/>
  <c r="B3" i="9" s="1"/>
  <c r="C3" i="5"/>
  <c r="C3" i="9" s="1"/>
  <c r="D3" i="5"/>
  <c r="D3" i="9" s="1"/>
  <c r="E3" i="5"/>
  <c r="E3" i="9" s="1"/>
  <c r="F3" i="5"/>
  <c r="F3" i="9" s="1"/>
  <c r="G3" i="5"/>
  <c r="G3" i="9" s="1"/>
  <c r="H3" i="5"/>
  <c r="H3" i="9" s="1"/>
  <c r="I3" i="5"/>
  <c r="I3" i="9" s="1"/>
  <c r="J3" i="5"/>
  <c r="J3" i="9" s="1"/>
  <c r="K3" i="5"/>
  <c r="K3" i="9" s="1"/>
  <c r="L3" i="5"/>
  <c r="L3" i="9" s="1"/>
  <c r="M3" i="5"/>
  <c r="M3" i="9" s="1"/>
  <c r="N3" i="5"/>
  <c r="N3" i="9" s="1"/>
  <c r="O3" i="5"/>
  <c r="O3" i="9" s="1"/>
  <c r="P3" i="5"/>
  <c r="P3" i="9" s="1"/>
  <c r="Q3" i="5"/>
  <c r="Q3" i="9" s="1"/>
  <c r="R3" i="5"/>
  <c r="R3" i="9" s="1"/>
  <c r="S3" i="5"/>
  <c r="S3" i="9" s="1"/>
  <c r="B4" i="5"/>
  <c r="B4" i="9" s="1"/>
  <c r="C4" i="5"/>
  <c r="C4" i="9" s="1"/>
  <c r="D4" i="5"/>
  <c r="D4" i="9" s="1"/>
  <c r="E4" i="5"/>
  <c r="E4" i="9" s="1"/>
  <c r="F4" i="5"/>
  <c r="F4" i="9" s="1"/>
  <c r="G4" i="5"/>
  <c r="G4" i="9" s="1"/>
  <c r="H4" i="5"/>
  <c r="H4" i="9" s="1"/>
  <c r="I4" i="5"/>
  <c r="I4" i="9" s="1"/>
  <c r="J4" i="5"/>
  <c r="J4" i="9" s="1"/>
  <c r="K4" i="5"/>
  <c r="K4" i="9" s="1"/>
  <c r="L4" i="5"/>
  <c r="L4" i="9" s="1"/>
  <c r="M4" i="5"/>
  <c r="M4" i="9" s="1"/>
  <c r="N4" i="5"/>
  <c r="N4" i="9" s="1"/>
  <c r="O4" i="5"/>
  <c r="O4" i="9" s="1"/>
  <c r="P4" i="5"/>
  <c r="P4" i="9" s="1"/>
  <c r="Q4" i="5"/>
  <c r="Q4" i="9" s="1"/>
  <c r="R4" i="5"/>
  <c r="R4" i="9" s="1"/>
  <c r="S4" i="5"/>
  <c r="S4" i="9" s="1"/>
  <c r="B5" i="5"/>
  <c r="B5" i="9" s="1"/>
  <c r="C5" i="5"/>
  <c r="C5" i="9" s="1"/>
  <c r="D5" i="5"/>
  <c r="D5" i="9" s="1"/>
  <c r="E5" i="5"/>
  <c r="E5" i="9" s="1"/>
  <c r="F5" i="5"/>
  <c r="F5" i="9" s="1"/>
  <c r="G5" i="5"/>
  <c r="G5" i="9" s="1"/>
  <c r="H5" i="5"/>
  <c r="H5" i="9" s="1"/>
  <c r="I5" i="5"/>
  <c r="I5" i="9" s="1"/>
  <c r="J5" i="5"/>
  <c r="J5" i="9" s="1"/>
  <c r="K5" i="5"/>
  <c r="K5" i="9" s="1"/>
  <c r="L5" i="5"/>
  <c r="L5" i="9" s="1"/>
  <c r="M5" i="5"/>
  <c r="M5" i="9" s="1"/>
  <c r="N5" i="5"/>
  <c r="N5" i="9" s="1"/>
  <c r="O5" i="5"/>
  <c r="O5" i="9" s="1"/>
  <c r="P5" i="5"/>
  <c r="P5" i="9" s="1"/>
  <c r="Q5" i="5"/>
  <c r="Q5" i="9" s="1"/>
  <c r="R5" i="5"/>
  <c r="R5" i="9" s="1"/>
  <c r="S5" i="5"/>
  <c r="S5" i="9" s="1"/>
  <c r="B6" i="5"/>
  <c r="B6" i="9" s="1"/>
  <c r="C6" i="5"/>
  <c r="C6" i="9" s="1"/>
  <c r="D6" i="5"/>
  <c r="D6" i="9" s="1"/>
  <c r="E6" i="5"/>
  <c r="E6" i="9" s="1"/>
  <c r="F6" i="5"/>
  <c r="F6" i="9" s="1"/>
  <c r="G6" i="5"/>
  <c r="G6" i="9" s="1"/>
  <c r="H6" i="5"/>
  <c r="H6" i="9" s="1"/>
  <c r="I6" i="5"/>
  <c r="I6" i="9" s="1"/>
  <c r="J6" i="5"/>
  <c r="J6" i="9" s="1"/>
  <c r="K6" i="5"/>
  <c r="K6" i="9" s="1"/>
  <c r="L6" i="5"/>
  <c r="L6" i="9" s="1"/>
  <c r="M6" i="5"/>
  <c r="M6" i="9" s="1"/>
  <c r="N6" i="5"/>
  <c r="N6" i="9" s="1"/>
  <c r="O6" i="5"/>
  <c r="O6" i="9" s="1"/>
  <c r="P6" i="5"/>
  <c r="P6" i="9" s="1"/>
  <c r="Q6" i="5"/>
  <c r="Q6" i="9" s="1"/>
  <c r="R6" i="5"/>
  <c r="R6" i="9" s="1"/>
  <c r="S6" i="5"/>
  <c r="S6" i="9" s="1"/>
  <c r="B7" i="5"/>
  <c r="B7" i="9" s="1"/>
  <c r="C7" i="5"/>
  <c r="C7" i="9" s="1"/>
  <c r="D7" i="5"/>
  <c r="D7" i="9" s="1"/>
  <c r="E7" i="5"/>
  <c r="E7" i="9" s="1"/>
  <c r="F7" i="5"/>
  <c r="F7" i="9" s="1"/>
  <c r="G7" i="5"/>
  <c r="G7" i="9" s="1"/>
  <c r="H7" i="5"/>
  <c r="H7" i="9" s="1"/>
  <c r="I7" i="5"/>
  <c r="I7" i="9" s="1"/>
  <c r="J7" i="5"/>
  <c r="J7" i="9" s="1"/>
  <c r="K7" i="5"/>
  <c r="K7" i="9" s="1"/>
  <c r="L7" i="5"/>
  <c r="L7" i="9" s="1"/>
  <c r="M7" i="5"/>
  <c r="M7" i="9" s="1"/>
  <c r="N7" i="5"/>
  <c r="N7" i="9" s="1"/>
  <c r="O7" i="5"/>
  <c r="O7" i="9" s="1"/>
  <c r="P7" i="5"/>
  <c r="P7" i="9" s="1"/>
  <c r="Q7" i="5"/>
  <c r="Q7" i="9" s="1"/>
  <c r="R7" i="5"/>
  <c r="R7" i="9" s="1"/>
  <c r="S7" i="5"/>
  <c r="S7" i="9" s="1"/>
  <c r="B8" i="5"/>
  <c r="B8" i="9" s="1"/>
  <c r="C8" i="5"/>
  <c r="C8" i="9" s="1"/>
  <c r="D8" i="5"/>
  <c r="D8" i="9" s="1"/>
  <c r="E8" i="5"/>
  <c r="E8" i="9" s="1"/>
  <c r="F8" i="5"/>
  <c r="F8" i="9" s="1"/>
  <c r="G8" i="5"/>
  <c r="G8" i="9" s="1"/>
  <c r="H8" i="5"/>
  <c r="H8" i="9" s="1"/>
  <c r="I8" i="5"/>
  <c r="I8" i="9" s="1"/>
  <c r="J8" i="5"/>
  <c r="J8" i="9" s="1"/>
  <c r="K8" i="5"/>
  <c r="K8" i="9" s="1"/>
  <c r="L8" i="5"/>
  <c r="L8" i="9" s="1"/>
  <c r="M8" i="5"/>
  <c r="M8" i="9" s="1"/>
  <c r="N8" i="5"/>
  <c r="N8" i="9" s="1"/>
  <c r="O8" i="5"/>
  <c r="O8" i="9" s="1"/>
  <c r="P8" i="5"/>
  <c r="P8" i="9" s="1"/>
  <c r="Q8" i="5"/>
  <c r="Q8" i="9" s="1"/>
  <c r="R8" i="5"/>
  <c r="R8" i="9" s="1"/>
  <c r="S8" i="5"/>
  <c r="S8" i="9" s="1"/>
  <c r="B9" i="5"/>
  <c r="B9" i="9" s="1"/>
  <c r="C9" i="5"/>
  <c r="C9" i="9" s="1"/>
  <c r="D9" i="5"/>
  <c r="D9" i="9" s="1"/>
  <c r="E9" i="5"/>
  <c r="E9" i="9" s="1"/>
  <c r="F9" i="5"/>
  <c r="F9" i="9" s="1"/>
  <c r="G9" i="5"/>
  <c r="G9" i="9" s="1"/>
  <c r="H9" i="5"/>
  <c r="H9" i="9" s="1"/>
  <c r="I9" i="5"/>
  <c r="I9" i="9" s="1"/>
  <c r="J9" i="5"/>
  <c r="J9" i="9" s="1"/>
  <c r="K9" i="5"/>
  <c r="K9" i="9" s="1"/>
  <c r="L9" i="5"/>
  <c r="L9" i="9" s="1"/>
  <c r="M9" i="5"/>
  <c r="M9" i="9" s="1"/>
  <c r="N9" i="5"/>
  <c r="N9" i="9" s="1"/>
  <c r="O9" i="5"/>
  <c r="O9" i="9" s="1"/>
  <c r="P9" i="5"/>
  <c r="P9" i="9" s="1"/>
  <c r="Q9" i="5"/>
  <c r="Q9" i="9" s="1"/>
  <c r="R9" i="5"/>
  <c r="R9" i="9" s="1"/>
  <c r="S9" i="5"/>
  <c r="S9" i="9" s="1"/>
  <c r="B10" i="5"/>
  <c r="B10" i="9" s="1"/>
  <c r="C10" i="5"/>
  <c r="C10" i="9" s="1"/>
  <c r="D10" i="5"/>
  <c r="D10" i="9" s="1"/>
  <c r="E10" i="5"/>
  <c r="E10" i="9" s="1"/>
  <c r="F10" i="5"/>
  <c r="F10" i="9" s="1"/>
  <c r="G10" i="5"/>
  <c r="G10" i="9" s="1"/>
  <c r="H10" i="5"/>
  <c r="H10" i="9" s="1"/>
  <c r="I10" i="5"/>
  <c r="I10" i="9" s="1"/>
  <c r="J10" i="5"/>
  <c r="J10" i="9" s="1"/>
  <c r="K10" i="5"/>
  <c r="K10" i="9" s="1"/>
  <c r="L10" i="5"/>
  <c r="L10" i="9" s="1"/>
  <c r="M10" i="5"/>
  <c r="M10" i="9" s="1"/>
  <c r="N10" i="5"/>
  <c r="N10" i="9" s="1"/>
  <c r="O10" i="5"/>
  <c r="O10" i="9" s="1"/>
  <c r="P10" i="5"/>
  <c r="P10" i="9" s="1"/>
  <c r="Q10" i="5"/>
  <c r="Q10" i="9" s="1"/>
  <c r="R10" i="5"/>
  <c r="R10" i="9" s="1"/>
  <c r="S10" i="5"/>
  <c r="S10" i="9" s="1"/>
  <c r="B11" i="5"/>
  <c r="B11" i="9" s="1"/>
  <c r="C11" i="5"/>
  <c r="C11" i="9" s="1"/>
  <c r="D11" i="5"/>
  <c r="D11" i="9" s="1"/>
  <c r="E11" i="5"/>
  <c r="E11" i="9" s="1"/>
  <c r="F11" i="5"/>
  <c r="F11" i="9" s="1"/>
  <c r="G11" i="5"/>
  <c r="G11" i="9" s="1"/>
  <c r="H11" i="5"/>
  <c r="H11" i="9" s="1"/>
  <c r="I11" i="5"/>
  <c r="I11" i="9" s="1"/>
  <c r="J11" i="5"/>
  <c r="J11" i="9" s="1"/>
  <c r="K11" i="5"/>
  <c r="K11" i="9" s="1"/>
  <c r="L11" i="5"/>
  <c r="L11" i="9" s="1"/>
  <c r="M11" i="5"/>
  <c r="M11" i="9" s="1"/>
  <c r="N11" i="5"/>
  <c r="N11" i="9" s="1"/>
  <c r="O11" i="5"/>
  <c r="O11" i="9" s="1"/>
  <c r="P11" i="5"/>
  <c r="P11" i="9" s="1"/>
  <c r="Q11" i="5"/>
  <c r="Q11" i="9" s="1"/>
  <c r="R11" i="5"/>
  <c r="R11" i="9" s="1"/>
  <c r="S11" i="5"/>
  <c r="S11" i="9" s="1"/>
  <c r="B12" i="5"/>
  <c r="B12" i="9" s="1"/>
  <c r="C12" i="5"/>
  <c r="C12" i="9" s="1"/>
  <c r="D12" i="5"/>
  <c r="D12" i="9" s="1"/>
  <c r="E12" i="5"/>
  <c r="E12" i="9" s="1"/>
  <c r="F12" i="5"/>
  <c r="F12" i="9" s="1"/>
  <c r="G12" i="5"/>
  <c r="G12" i="9" s="1"/>
  <c r="H12" i="5"/>
  <c r="H12" i="9" s="1"/>
  <c r="I12" i="5"/>
  <c r="I12" i="9" s="1"/>
  <c r="J12" i="5"/>
  <c r="J12" i="9" s="1"/>
  <c r="K12" i="5"/>
  <c r="K12" i="9" s="1"/>
  <c r="L12" i="5"/>
  <c r="L12" i="9" s="1"/>
  <c r="M12" i="5"/>
  <c r="M12" i="9" s="1"/>
  <c r="N12" i="5"/>
  <c r="N12" i="9" s="1"/>
  <c r="O12" i="5"/>
  <c r="O12" i="9" s="1"/>
  <c r="P12" i="5"/>
  <c r="P12" i="9" s="1"/>
  <c r="Q12" i="5"/>
  <c r="Q12" i="9" s="1"/>
  <c r="R12" i="5"/>
  <c r="R12" i="9" s="1"/>
  <c r="S12" i="5"/>
  <c r="S12" i="9" s="1"/>
  <c r="B13" i="5"/>
  <c r="B13" i="9" s="1"/>
  <c r="C13" i="5"/>
  <c r="C13" i="9" s="1"/>
  <c r="D13" i="5"/>
  <c r="D13" i="9" s="1"/>
  <c r="E13" i="5"/>
  <c r="E13" i="9" s="1"/>
  <c r="F13" i="5"/>
  <c r="F13" i="9" s="1"/>
  <c r="G13" i="5"/>
  <c r="G13" i="9" s="1"/>
  <c r="H13" i="5"/>
  <c r="H13" i="9" s="1"/>
  <c r="I13" i="5"/>
  <c r="I13" i="9" s="1"/>
  <c r="J13" i="5"/>
  <c r="J13" i="9" s="1"/>
  <c r="K13" i="5"/>
  <c r="K13" i="9" s="1"/>
  <c r="L13" i="5"/>
  <c r="L13" i="9" s="1"/>
  <c r="M13" i="5"/>
  <c r="M13" i="9" s="1"/>
  <c r="N13" i="5"/>
  <c r="N13" i="9" s="1"/>
  <c r="O13" i="5"/>
  <c r="O13" i="9" s="1"/>
  <c r="P13" i="5"/>
  <c r="P13" i="9" s="1"/>
  <c r="Q13" i="5"/>
  <c r="Q13" i="9" s="1"/>
  <c r="R13" i="5"/>
  <c r="R13" i="9" s="1"/>
  <c r="S13" i="5"/>
  <c r="S13" i="9" s="1"/>
  <c r="B14" i="5"/>
  <c r="B14" i="9" s="1"/>
  <c r="C14" i="5"/>
  <c r="C14" i="9" s="1"/>
  <c r="D14" i="5"/>
  <c r="D14" i="9" s="1"/>
  <c r="E14" i="5"/>
  <c r="E14" i="9" s="1"/>
  <c r="F14" i="5"/>
  <c r="F14" i="9" s="1"/>
  <c r="G14" i="5"/>
  <c r="G14" i="9" s="1"/>
  <c r="H14" i="5"/>
  <c r="H14" i="9" s="1"/>
  <c r="I14" i="5"/>
  <c r="I14" i="9" s="1"/>
  <c r="J14" i="5"/>
  <c r="J14" i="9" s="1"/>
  <c r="K14" i="5"/>
  <c r="K14" i="9" s="1"/>
  <c r="L14" i="5"/>
  <c r="L14" i="9" s="1"/>
  <c r="M14" i="5"/>
  <c r="M14" i="9" s="1"/>
  <c r="N14" i="5"/>
  <c r="N14" i="9" s="1"/>
  <c r="O14" i="5"/>
  <c r="O14" i="9" s="1"/>
  <c r="P14" i="5"/>
  <c r="P14" i="9" s="1"/>
  <c r="Q14" i="5"/>
  <c r="Q14" i="9" s="1"/>
  <c r="R14" i="5"/>
  <c r="R14" i="9" s="1"/>
  <c r="S14" i="5"/>
  <c r="S14" i="9" s="1"/>
  <c r="B15" i="5"/>
  <c r="B15" i="9" s="1"/>
  <c r="C15" i="5"/>
  <c r="C15" i="9" s="1"/>
  <c r="D15" i="5"/>
  <c r="D15" i="9" s="1"/>
  <c r="E15" i="5"/>
  <c r="E15" i="9" s="1"/>
  <c r="F15" i="5"/>
  <c r="F15" i="9" s="1"/>
  <c r="G15" i="5"/>
  <c r="G15" i="9" s="1"/>
  <c r="H15" i="5"/>
  <c r="H15" i="9" s="1"/>
  <c r="I15" i="5"/>
  <c r="I15" i="9" s="1"/>
  <c r="J15" i="5"/>
  <c r="J15" i="9" s="1"/>
  <c r="K15" i="5"/>
  <c r="K15" i="9" s="1"/>
  <c r="L15" i="5"/>
  <c r="L15" i="9" s="1"/>
  <c r="M15" i="5"/>
  <c r="M15" i="9" s="1"/>
  <c r="N15" i="5"/>
  <c r="N15" i="9" s="1"/>
  <c r="O15" i="5"/>
  <c r="O15" i="9" s="1"/>
  <c r="P15" i="5"/>
  <c r="P15" i="9" s="1"/>
  <c r="Q15" i="5"/>
  <c r="Q15" i="9" s="1"/>
  <c r="R15" i="5"/>
  <c r="R15" i="9" s="1"/>
  <c r="S15" i="5"/>
  <c r="S15" i="9" s="1"/>
  <c r="B16" i="5"/>
  <c r="B16" i="9" s="1"/>
  <c r="C16" i="5"/>
  <c r="C16" i="9" s="1"/>
  <c r="D16" i="5"/>
  <c r="D16" i="9" s="1"/>
  <c r="E16" i="5"/>
  <c r="E16" i="9" s="1"/>
  <c r="F16" i="5"/>
  <c r="F16" i="9" s="1"/>
  <c r="G16" i="5"/>
  <c r="G16" i="9" s="1"/>
  <c r="H16" i="5"/>
  <c r="H16" i="9" s="1"/>
  <c r="I16" i="5"/>
  <c r="I16" i="9" s="1"/>
  <c r="J16" i="5"/>
  <c r="J16" i="9" s="1"/>
  <c r="K16" i="5"/>
  <c r="K16" i="9" s="1"/>
  <c r="L16" i="5"/>
  <c r="L16" i="9" s="1"/>
  <c r="M16" i="5"/>
  <c r="M16" i="9" s="1"/>
  <c r="N16" i="5"/>
  <c r="N16" i="9" s="1"/>
  <c r="O16" i="5"/>
  <c r="O16" i="9" s="1"/>
  <c r="P16" i="5"/>
  <c r="P16" i="9" s="1"/>
  <c r="Q16" i="5"/>
  <c r="Q16" i="9" s="1"/>
  <c r="R16" i="5"/>
  <c r="R16" i="9" s="1"/>
  <c r="S16" i="5"/>
  <c r="S16" i="9" s="1"/>
  <c r="B17" i="5"/>
  <c r="B17" i="9" s="1"/>
  <c r="C17" i="5"/>
  <c r="C17" i="9" s="1"/>
  <c r="D17" i="5"/>
  <c r="D17" i="9" s="1"/>
  <c r="E17" i="5"/>
  <c r="E17" i="9" s="1"/>
  <c r="F17" i="5"/>
  <c r="F17" i="9" s="1"/>
  <c r="G17" i="5"/>
  <c r="G17" i="9" s="1"/>
  <c r="H17" i="5"/>
  <c r="H17" i="9" s="1"/>
  <c r="I17" i="5"/>
  <c r="I17" i="9" s="1"/>
  <c r="J17" i="5"/>
  <c r="J17" i="9" s="1"/>
  <c r="K17" i="5"/>
  <c r="K17" i="9" s="1"/>
  <c r="L17" i="5"/>
  <c r="L17" i="9" s="1"/>
  <c r="M17" i="5"/>
  <c r="M17" i="9" s="1"/>
  <c r="N17" i="5"/>
  <c r="N17" i="9" s="1"/>
  <c r="O17" i="5"/>
  <c r="O17" i="9" s="1"/>
  <c r="P17" i="5"/>
  <c r="P17" i="9" s="1"/>
  <c r="Q17" i="5"/>
  <c r="Q17" i="9" s="1"/>
  <c r="R17" i="5"/>
  <c r="R17" i="9" s="1"/>
  <c r="S17" i="5"/>
  <c r="S17" i="9" s="1"/>
  <c r="B18" i="5"/>
  <c r="B18" i="9" s="1"/>
  <c r="C18" i="5"/>
  <c r="C18" i="9" s="1"/>
  <c r="D18" i="5"/>
  <c r="D18" i="9" s="1"/>
  <c r="E18" i="5"/>
  <c r="E18" i="9" s="1"/>
  <c r="F18" i="5"/>
  <c r="F18" i="9" s="1"/>
  <c r="G18" i="5"/>
  <c r="G18" i="9" s="1"/>
  <c r="H18" i="5"/>
  <c r="H18" i="9" s="1"/>
  <c r="I18" i="5"/>
  <c r="I18" i="9" s="1"/>
  <c r="J18" i="5"/>
  <c r="J18" i="9" s="1"/>
  <c r="K18" i="5"/>
  <c r="K18" i="9" s="1"/>
  <c r="L18" i="5"/>
  <c r="L18" i="9" s="1"/>
  <c r="M18" i="5"/>
  <c r="M18" i="9" s="1"/>
  <c r="N18" i="5"/>
  <c r="N18" i="9" s="1"/>
  <c r="O18" i="5"/>
  <c r="O18" i="9" s="1"/>
  <c r="P18" i="5"/>
  <c r="P18" i="9" s="1"/>
  <c r="Q18" i="5"/>
  <c r="Q18" i="9" s="1"/>
  <c r="R18" i="5"/>
  <c r="R18" i="9" s="1"/>
  <c r="S18" i="5"/>
  <c r="S18" i="9" s="1"/>
  <c r="B19" i="5"/>
  <c r="B19" i="9" s="1"/>
  <c r="C19" i="5"/>
  <c r="C19" i="9" s="1"/>
  <c r="D19" i="5"/>
  <c r="D19" i="9" s="1"/>
  <c r="E19" i="5"/>
  <c r="E19" i="9" s="1"/>
  <c r="F19" i="5"/>
  <c r="F19" i="9" s="1"/>
  <c r="G19" i="5"/>
  <c r="G19" i="9" s="1"/>
  <c r="H19" i="5"/>
  <c r="H19" i="9" s="1"/>
  <c r="I19" i="5"/>
  <c r="I19" i="9" s="1"/>
  <c r="J19" i="5"/>
  <c r="J19" i="9" s="1"/>
  <c r="K19" i="5"/>
  <c r="K19" i="9" s="1"/>
  <c r="L19" i="5"/>
  <c r="L19" i="9" s="1"/>
  <c r="M19" i="5"/>
  <c r="M19" i="9" s="1"/>
  <c r="N19" i="5"/>
  <c r="N19" i="9" s="1"/>
  <c r="O19" i="5"/>
  <c r="O19" i="9" s="1"/>
  <c r="P19" i="5"/>
  <c r="P19" i="9" s="1"/>
  <c r="Q19" i="5"/>
  <c r="Q19" i="9" s="1"/>
  <c r="R19" i="5"/>
  <c r="R19" i="9" s="1"/>
  <c r="S19" i="5"/>
  <c r="S19" i="9" s="1"/>
  <c r="B20" i="5"/>
  <c r="B20" i="9" s="1"/>
  <c r="C20" i="5"/>
  <c r="C20" i="9" s="1"/>
  <c r="D20" i="5"/>
  <c r="D20" i="9" s="1"/>
  <c r="E20" i="5"/>
  <c r="E20" i="9" s="1"/>
  <c r="F20" i="5"/>
  <c r="F20" i="9" s="1"/>
  <c r="G20" i="5"/>
  <c r="G20" i="9" s="1"/>
  <c r="H20" i="5"/>
  <c r="H20" i="9" s="1"/>
  <c r="I20" i="5"/>
  <c r="I20" i="9" s="1"/>
  <c r="J20" i="5"/>
  <c r="J20" i="9" s="1"/>
  <c r="K20" i="5"/>
  <c r="K20" i="9" s="1"/>
  <c r="L20" i="5"/>
  <c r="L20" i="9" s="1"/>
  <c r="M20" i="5"/>
  <c r="M20" i="9" s="1"/>
  <c r="N20" i="5"/>
  <c r="N20" i="9" s="1"/>
  <c r="O20" i="5"/>
  <c r="O20" i="9" s="1"/>
  <c r="P20" i="5"/>
  <c r="P20" i="9" s="1"/>
  <c r="Q20" i="5"/>
  <c r="Q20" i="9" s="1"/>
  <c r="R20" i="5"/>
  <c r="R20" i="9" s="1"/>
  <c r="S20" i="5"/>
  <c r="S20" i="9" s="1"/>
  <c r="B21" i="5"/>
  <c r="B21" i="9" s="1"/>
  <c r="C21" i="5"/>
  <c r="C21" i="9" s="1"/>
  <c r="D21" i="5"/>
  <c r="D21" i="9" s="1"/>
  <c r="E21" i="5"/>
  <c r="E21" i="9" s="1"/>
  <c r="F21" i="5"/>
  <c r="F21" i="9" s="1"/>
  <c r="G21" i="5"/>
  <c r="G21" i="9" s="1"/>
  <c r="H21" i="5"/>
  <c r="H21" i="9" s="1"/>
  <c r="I21" i="5"/>
  <c r="I21" i="9" s="1"/>
  <c r="J21" i="5"/>
  <c r="J21" i="9" s="1"/>
  <c r="K21" i="5"/>
  <c r="K21" i="9" s="1"/>
  <c r="L21" i="5"/>
  <c r="L21" i="9" s="1"/>
  <c r="M21" i="5"/>
  <c r="M21" i="9" s="1"/>
  <c r="N21" i="5"/>
  <c r="N21" i="9" s="1"/>
  <c r="O21" i="5"/>
  <c r="O21" i="9" s="1"/>
  <c r="P21" i="5"/>
  <c r="P21" i="9" s="1"/>
  <c r="Q21" i="5"/>
  <c r="Q21" i="9" s="1"/>
  <c r="R21" i="5"/>
  <c r="R21" i="9" s="1"/>
  <c r="S21" i="5"/>
  <c r="S21" i="9" s="1"/>
  <c r="B22" i="5"/>
  <c r="B22" i="9" s="1"/>
  <c r="C22" i="5"/>
  <c r="C22" i="9" s="1"/>
  <c r="D22" i="5"/>
  <c r="D22" i="9" s="1"/>
  <c r="E22" i="5"/>
  <c r="E22" i="9" s="1"/>
  <c r="F22" i="5"/>
  <c r="F22" i="9" s="1"/>
  <c r="G22" i="5"/>
  <c r="G22" i="9" s="1"/>
  <c r="H22" i="5"/>
  <c r="H22" i="9" s="1"/>
  <c r="I22" i="5"/>
  <c r="I22" i="9" s="1"/>
  <c r="J22" i="5"/>
  <c r="J22" i="9" s="1"/>
  <c r="K22" i="5"/>
  <c r="K22" i="9" s="1"/>
  <c r="L22" i="5"/>
  <c r="L22" i="9" s="1"/>
  <c r="M22" i="5"/>
  <c r="M22" i="9" s="1"/>
  <c r="N22" i="5"/>
  <c r="N22" i="9" s="1"/>
  <c r="O22" i="5"/>
  <c r="O22" i="9" s="1"/>
  <c r="P22" i="5"/>
  <c r="P22" i="9" s="1"/>
  <c r="Q22" i="5"/>
  <c r="Q22" i="9" s="1"/>
  <c r="R22" i="5"/>
  <c r="R22" i="9" s="1"/>
  <c r="S22" i="5"/>
  <c r="S22" i="9" s="1"/>
  <c r="B23" i="5"/>
  <c r="B23" i="9" s="1"/>
  <c r="C23" i="5"/>
  <c r="C23" i="9" s="1"/>
  <c r="D23" i="5"/>
  <c r="D23" i="9" s="1"/>
  <c r="E23" i="5"/>
  <c r="E23" i="9" s="1"/>
  <c r="F23" i="5"/>
  <c r="F23" i="9" s="1"/>
  <c r="G23" i="5"/>
  <c r="G23" i="9" s="1"/>
  <c r="H23" i="5"/>
  <c r="H23" i="9" s="1"/>
  <c r="I23" i="5"/>
  <c r="I23" i="9" s="1"/>
  <c r="J23" i="5"/>
  <c r="J23" i="9" s="1"/>
  <c r="K23" i="5"/>
  <c r="K23" i="9" s="1"/>
  <c r="L23" i="5"/>
  <c r="L23" i="9" s="1"/>
  <c r="M23" i="5"/>
  <c r="M23" i="9" s="1"/>
  <c r="N23" i="5"/>
  <c r="N23" i="9" s="1"/>
  <c r="O23" i="5"/>
  <c r="O23" i="9" s="1"/>
  <c r="P23" i="5"/>
  <c r="P23" i="9" s="1"/>
  <c r="Q23" i="5"/>
  <c r="Q23" i="9" s="1"/>
  <c r="R23" i="5"/>
  <c r="R23" i="9" s="1"/>
  <c r="S23" i="5"/>
  <c r="S23" i="9" s="1"/>
  <c r="B24" i="5"/>
  <c r="B24" i="9" s="1"/>
  <c r="C24" i="5"/>
  <c r="C24" i="9" s="1"/>
  <c r="D24" i="5"/>
  <c r="D24" i="9" s="1"/>
  <c r="E24" i="5"/>
  <c r="E24" i="9" s="1"/>
  <c r="F24" i="5"/>
  <c r="F24" i="9" s="1"/>
  <c r="G24" i="5"/>
  <c r="G24" i="9" s="1"/>
  <c r="H24" i="5"/>
  <c r="H24" i="9" s="1"/>
  <c r="I24" i="5"/>
  <c r="I24" i="9" s="1"/>
  <c r="J24" i="5"/>
  <c r="J24" i="9" s="1"/>
  <c r="K24" i="5"/>
  <c r="K24" i="9" s="1"/>
  <c r="L24" i="5"/>
  <c r="L24" i="9" s="1"/>
  <c r="M24" i="5"/>
  <c r="M24" i="9" s="1"/>
  <c r="N24" i="5"/>
  <c r="N24" i="9" s="1"/>
  <c r="O24" i="5"/>
  <c r="O24" i="9" s="1"/>
  <c r="P24" i="5"/>
  <c r="P24" i="9" s="1"/>
  <c r="Q24" i="5"/>
  <c r="Q24" i="9" s="1"/>
  <c r="R24" i="5"/>
  <c r="R24" i="9" s="1"/>
  <c r="S24" i="5"/>
  <c r="S24" i="9" s="1"/>
  <c r="B25" i="5"/>
  <c r="B25" i="9" s="1"/>
  <c r="C25" i="5"/>
  <c r="C25" i="9" s="1"/>
  <c r="D25" i="5"/>
  <c r="D25" i="9" s="1"/>
  <c r="E25" i="5"/>
  <c r="E25" i="9" s="1"/>
  <c r="F25" i="5"/>
  <c r="F25" i="9" s="1"/>
  <c r="G25" i="5"/>
  <c r="G25" i="9" s="1"/>
  <c r="H25" i="5"/>
  <c r="H25" i="9" s="1"/>
  <c r="I25" i="5"/>
  <c r="I25" i="9" s="1"/>
  <c r="J25" i="5"/>
  <c r="J25" i="9" s="1"/>
  <c r="K25" i="5"/>
  <c r="K25" i="9" s="1"/>
  <c r="L25" i="5"/>
  <c r="L25" i="9" s="1"/>
  <c r="M25" i="5"/>
  <c r="M25" i="9" s="1"/>
  <c r="N25" i="5"/>
  <c r="N25" i="9" s="1"/>
  <c r="O25" i="5"/>
  <c r="O25" i="9" s="1"/>
  <c r="P25" i="5"/>
  <c r="P25" i="9" s="1"/>
  <c r="Q25" i="5"/>
  <c r="Q25" i="9" s="1"/>
  <c r="R25" i="5"/>
  <c r="R25" i="9" s="1"/>
  <c r="S25" i="5"/>
  <c r="S25" i="9" s="1"/>
  <c r="B26" i="5"/>
  <c r="B26" i="9" s="1"/>
  <c r="C26" i="5"/>
  <c r="C26" i="9" s="1"/>
  <c r="D26" i="5"/>
  <c r="D26" i="9" s="1"/>
  <c r="E26" i="5"/>
  <c r="E26" i="9" s="1"/>
  <c r="F26" i="5"/>
  <c r="F26" i="9" s="1"/>
  <c r="G26" i="5"/>
  <c r="G26" i="9" s="1"/>
  <c r="H26" i="5"/>
  <c r="H26" i="9" s="1"/>
  <c r="I26" i="5"/>
  <c r="I26" i="9" s="1"/>
  <c r="J26" i="5"/>
  <c r="J26" i="9" s="1"/>
  <c r="K26" i="5"/>
  <c r="K26" i="9" s="1"/>
  <c r="L26" i="5"/>
  <c r="L26" i="9" s="1"/>
  <c r="M26" i="5"/>
  <c r="M26" i="9" s="1"/>
  <c r="N26" i="5"/>
  <c r="N26" i="9" s="1"/>
  <c r="O26" i="5"/>
  <c r="O26" i="9" s="1"/>
  <c r="P26" i="5"/>
  <c r="P26" i="9" s="1"/>
  <c r="Q26" i="5"/>
  <c r="Q26" i="9" s="1"/>
  <c r="R26" i="5"/>
  <c r="R26" i="9" s="1"/>
  <c r="S26" i="5"/>
  <c r="S26" i="9" s="1"/>
  <c r="B27" i="5"/>
  <c r="B27" i="9" s="1"/>
  <c r="C27" i="5"/>
  <c r="C27" i="9" s="1"/>
  <c r="D27" i="5"/>
  <c r="D27" i="9" s="1"/>
  <c r="E27" i="5"/>
  <c r="E27" i="9" s="1"/>
  <c r="F27" i="5"/>
  <c r="F27" i="9" s="1"/>
  <c r="G27" i="5"/>
  <c r="G27" i="9" s="1"/>
  <c r="H27" i="5"/>
  <c r="H27" i="9" s="1"/>
  <c r="I27" i="5"/>
  <c r="I27" i="9" s="1"/>
  <c r="J27" i="5"/>
  <c r="J27" i="9" s="1"/>
  <c r="K27" i="5"/>
  <c r="K27" i="9" s="1"/>
  <c r="L27" i="5"/>
  <c r="L27" i="9" s="1"/>
  <c r="M27" i="5"/>
  <c r="M27" i="9" s="1"/>
  <c r="N27" i="5"/>
  <c r="N27" i="9" s="1"/>
  <c r="O27" i="5"/>
  <c r="O27" i="9" s="1"/>
  <c r="P27" i="5"/>
  <c r="P27" i="9" s="1"/>
  <c r="Q27" i="5"/>
  <c r="Q27" i="9" s="1"/>
  <c r="R27" i="5"/>
  <c r="R27" i="9" s="1"/>
  <c r="S27" i="5"/>
  <c r="S27" i="9" s="1"/>
  <c r="B28" i="5"/>
  <c r="B28" i="9" s="1"/>
  <c r="C28" i="5"/>
  <c r="C28" i="9" s="1"/>
  <c r="D28" i="5"/>
  <c r="D28" i="9" s="1"/>
  <c r="E28" i="5"/>
  <c r="E28" i="9" s="1"/>
  <c r="F28" i="5"/>
  <c r="F28" i="9" s="1"/>
  <c r="G28" i="5"/>
  <c r="G28" i="9" s="1"/>
  <c r="H28" i="5"/>
  <c r="H28" i="9" s="1"/>
  <c r="I28" i="5"/>
  <c r="I28" i="9" s="1"/>
  <c r="J28" i="5"/>
  <c r="J28" i="9" s="1"/>
  <c r="K28" i="5"/>
  <c r="K28" i="9" s="1"/>
  <c r="L28" i="5"/>
  <c r="L28" i="9" s="1"/>
  <c r="M28" i="5"/>
  <c r="M28" i="9" s="1"/>
  <c r="N28" i="5"/>
  <c r="N28" i="9" s="1"/>
  <c r="O28" i="5"/>
  <c r="O28" i="9" s="1"/>
  <c r="P28" i="5"/>
  <c r="P28" i="9" s="1"/>
  <c r="Q28" i="5"/>
  <c r="Q28" i="9" s="1"/>
  <c r="R28" i="5"/>
  <c r="R28" i="9" s="1"/>
  <c r="S28" i="5"/>
  <c r="S28" i="9" s="1"/>
  <c r="B29" i="5"/>
  <c r="B29" i="9" s="1"/>
  <c r="C29" i="5"/>
  <c r="C29" i="9" s="1"/>
  <c r="D29" i="5"/>
  <c r="D29" i="9" s="1"/>
  <c r="E29" i="5"/>
  <c r="E29" i="9" s="1"/>
  <c r="F29" i="5"/>
  <c r="F29" i="9" s="1"/>
  <c r="G29" i="5"/>
  <c r="G29" i="9" s="1"/>
  <c r="H29" i="5"/>
  <c r="H29" i="9" s="1"/>
  <c r="I29" i="5"/>
  <c r="I29" i="9" s="1"/>
  <c r="J29" i="5"/>
  <c r="J29" i="9" s="1"/>
  <c r="K29" i="5"/>
  <c r="K29" i="9" s="1"/>
  <c r="L29" i="5"/>
  <c r="L29" i="9" s="1"/>
  <c r="M29" i="5"/>
  <c r="M29" i="9" s="1"/>
  <c r="N29" i="5"/>
  <c r="N29" i="9" s="1"/>
  <c r="O29" i="5"/>
  <c r="O29" i="9" s="1"/>
  <c r="P29" i="5"/>
  <c r="P29" i="9" s="1"/>
  <c r="Q29" i="5"/>
  <c r="Q29" i="9" s="1"/>
  <c r="R29" i="5"/>
  <c r="R29" i="9" s="1"/>
  <c r="S29" i="5"/>
  <c r="S29" i="9" s="1"/>
  <c r="B30" i="5"/>
  <c r="B30" i="9" s="1"/>
  <c r="C30" i="5"/>
  <c r="C30" i="9" s="1"/>
  <c r="D30" i="5"/>
  <c r="D30" i="9" s="1"/>
  <c r="E30" i="5"/>
  <c r="E30" i="9" s="1"/>
  <c r="F30" i="5"/>
  <c r="F30" i="9" s="1"/>
  <c r="G30" i="5"/>
  <c r="G30" i="9" s="1"/>
  <c r="H30" i="5"/>
  <c r="H30" i="9" s="1"/>
  <c r="I30" i="5"/>
  <c r="I30" i="9" s="1"/>
  <c r="J30" i="5"/>
  <c r="J30" i="9" s="1"/>
  <c r="K30" i="5"/>
  <c r="K30" i="9" s="1"/>
  <c r="L30" i="5"/>
  <c r="L30" i="9" s="1"/>
  <c r="M30" i="5"/>
  <c r="M30" i="9" s="1"/>
  <c r="N30" i="5"/>
  <c r="N30" i="9" s="1"/>
  <c r="O30" i="5"/>
  <c r="O30" i="9" s="1"/>
  <c r="P30" i="5"/>
  <c r="P30" i="9" s="1"/>
  <c r="Q30" i="5"/>
  <c r="Q30" i="9" s="1"/>
  <c r="R30" i="5"/>
  <c r="R30" i="9" s="1"/>
  <c r="S30" i="5"/>
  <c r="S30" i="9" s="1"/>
  <c r="B31" i="5"/>
  <c r="B31" i="9" s="1"/>
  <c r="C31" i="5"/>
  <c r="C31" i="9" s="1"/>
  <c r="D31" i="5"/>
  <c r="D31" i="9" s="1"/>
  <c r="E31" i="5"/>
  <c r="E31" i="9" s="1"/>
  <c r="F31" i="5"/>
  <c r="F31" i="9" s="1"/>
  <c r="G31" i="5"/>
  <c r="G31" i="9" s="1"/>
  <c r="H31" i="5"/>
  <c r="H31" i="9" s="1"/>
  <c r="I31" i="5"/>
  <c r="I31" i="9" s="1"/>
  <c r="J31" i="5"/>
  <c r="J31" i="9" s="1"/>
  <c r="K31" i="5"/>
  <c r="K31" i="9" s="1"/>
  <c r="L31" i="5"/>
  <c r="L31" i="9" s="1"/>
  <c r="M31" i="5"/>
  <c r="M31" i="9" s="1"/>
  <c r="N31" i="5"/>
  <c r="N31" i="9" s="1"/>
  <c r="O31" i="5"/>
  <c r="O31" i="9" s="1"/>
  <c r="P31" i="5"/>
  <c r="P31" i="9" s="1"/>
  <c r="Q31" i="5"/>
  <c r="Q31" i="9" s="1"/>
  <c r="R31" i="5"/>
  <c r="R31" i="9" s="1"/>
  <c r="S31" i="5"/>
  <c r="S31" i="9" s="1"/>
  <c r="B32" i="5"/>
  <c r="B32" i="9" s="1"/>
  <c r="C32" i="5"/>
  <c r="C32" i="9" s="1"/>
  <c r="D32" i="5"/>
  <c r="D32" i="9" s="1"/>
  <c r="E32" i="5"/>
  <c r="E32" i="9" s="1"/>
  <c r="F32" i="5"/>
  <c r="F32" i="9" s="1"/>
  <c r="G32" i="5"/>
  <c r="G32" i="9" s="1"/>
  <c r="H32" i="5"/>
  <c r="H32" i="9" s="1"/>
  <c r="I32" i="5"/>
  <c r="I32" i="9" s="1"/>
  <c r="J32" i="5"/>
  <c r="J32" i="9" s="1"/>
  <c r="K32" i="5"/>
  <c r="K32" i="9" s="1"/>
  <c r="L32" i="5"/>
  <c r="L32" i="9" s="1"/>
  <c r="M32" i="5"/>
  <c r="M32" i="9" s="1"/>
  <c r="N32" i="5"/>
  <c r="N32" i="9" s="1"/>
  <c r="O32" i="5"/>
  <c r="O32" i="9" s="1"/>
  <c r="P32" i="5"/>
  <c r="P32" i="9" s="1"/>
  <c r="Q32" i="5"/>
  <c r="Q32" i="9" s="1"/>
  <c r="R32" i="5"/>
  <c r="R32" i="9" s="1"/>
  <c r="S32" i="5"/>
  <c r="S32" i="9" s="1"/>
  <c r="B33" i="5"/>
  <c r="B33" i="9" s="1"/>
  <c r="C33" i="5"/>
  <c r="C33" i="9" s="1"/>
  <c r="D33" i="5"/>
  <c r="D33" i="9" s="1"/>
  <c r="E33" i="5"/>
  <c r="E33" i="9" s="1"/>
  <c r="F33" i="5"/>
  <c r="F33" i="9" s="1"/>
  <c r="G33" i="5"/>
  <c r="G33" i="9" s="1"/>
  <c r="H33" i="5"/>
  <c r="H33" i="9" s="1"/>
  <c r="I33" i="5"/>
  <c r="I33" i="9" s="1"/>
  <c r="J33" i="5"/>
  <c r="J33" i="9" s="1"/>
  <c r="K33" i="5"/>
  <c r="K33" i="9" s="1"/>
  <c r="L33" i="5"/>
  <c r="L33" i="9" s="1"/>
  <c r="M33" i="5"/>
  <c r="M33" i="9" s="1"/>
  <c r="N33" i="5"/>
  <c r="N33" i="9" s="1"/>
  <c r="O33" i="5"/>
  <c r="O33" i="9" s="1"/>
  <c r="P33" i="5"/>
  <c r="P33" i="9" s="1"/>
  <c r="Q33" i="5"/>
  <c r="Q33" i="9" s="1"/>
  <c r="R33" i="5"/>
  <c r="R33" i="9" s="1"/>
  <c r="S33" i="5"/>
  <c r="S33" i="9" s="1"/>
  <c r="B34" i="5"/>
  <c r="B34" i="9" s="1"/>
  <c r="C34" i="5"/>
  <c r="C34" i="9" s="1"/>
  <c r="D34" i="5"/>
  <c r="D34" i="9" s="1"/>
  <c r="E34" i="5"/>
  <c r="E34" i="9" s="1"/>
  <c r="F34" i="5"/>
  <c r="F34" i="9" s="1"/>
  <c r="G34" i="5"/>
  <c r="G34" i="9" s="1"/>
  <c r="H34" i="5"/>
  <c r="H34" i="9" s="1"/>
  <c r="I34" i="5"/>
  <c r="I34" i="9" s="1"/>
  <c r="J34" i="5"/>
  <c r="J34" i="9" s="1"/>
  <c r="K34" i="5"/>
  <c r="K34" i="9" s="1"/>
  <c r="L34" i="5"/>
  <c r="L34" i="9" s="1"/>
  <c r="M34" i="5"/>
  <c r="M34" i="9" s="1"/>
  <c r="N34" i="5"/>
  <c r="N34" i="9" s="1"/>
  <c r="O34" i="5"/>
  <c r="O34" i="9" s="1"/>
  <c r="P34" i="5"/>
  <c r="P34" i="9" s="1"/>
  <c r="Q34" i="5"/>
  <c r="Q34" i="9" s="1"/>
  <c r="R34" i="5"/>
  <c r="R34" i="9" s="1"/>
  <c r="S34" i="5"/>
  <c r="S34" i="9" s="1"/>
  <c r="B35" i="5"/>
  <c r="B35" i="9" s="1"/>
  <c r="C35" i="5"/>
  <c r="C35" i="9" s="1"/>
  <c r="D35" i="5"/>
  <c r="D35" i="9" s="1"/>
  <c r="E35" i="5"/>
  <c r="E35" i="9" s="1"/>
  <c r="F35" i="5"/>
  <c r="F35" i="9" s="1"/>
  <c r="G35" i="5"/>
  <c r="G35" i="9" s="1"/>
  <c r="H35" i="5"/>
  <c r="H35" i="9" s="1"/>
  <c r="I35" i="5"/>
  <c r="I35" i="9" s="1"/>
  <c r="J35" i="5"/>
  <c r="J35" i="9" s="1"/>
  <c r="K35" i="5"/>
  <c r="K35" i="9" s="1"/>
  <c r="L35" i="5"/>
  <c r="L35" i="9" s="1"/>
  <c r="M35" i="5"/>
  <c r="M35" i="9" s="1"/>
  <c r="N35" i="5"/>
  <c r="N35" i="9" s="1"/>
  <c r="O35" i="5"/>
  <c r="O35" i="9" s="1"/>
  <c r="P35" i="5"/>
  <c r="P35" i="9" s="1"/>
  <c r="Q35" i="5"/>
  <c r="Q35" i="9" s="1"/>
  <c r="R35" i="5"/>
  <c r="R35" i="9" s="1"/>
  <c r="S35" i="5"/>
  <c r="S35" i="9" s="1"/>
  <c r="B36" i="5"/>
  <c r="B36" i="9" s="1"/>
  <c r="C36" i="5"/>
  <c r="C36" i="9" s="1"/>
  <c r="D36" i="5"/>
  <c r="D36" i="9" s="1"/>
  <c r="E36" i="5"/>
  <c r="E36" i="9" s="1"/>
  <c r="F36" i="5"/>
  <c r="F36" i="9" s="1"/>
  <c r="G36" i="5"/>
  <c r="G36" i="9" s="1"/>
  <c r="H36" i="5"/>
  <c r="H36" i="9" s="1"/>
  <c r="I36" i="5"/>
  <c r="I36" i="9" s="1"/>
  <c r="J36" i="5"/>
  <c r="J36" i="9" s="1"/>
  <c r="K36" i="5"/>
  <c r="K36" i="9" s="1"/>
  <c r="L36" i="5"/>
  <c r="L36" i="9" s="1"/>
  <c r="M36" i="5"/>
  <c r="M36" i="9" s="1"/>
  <c r="N36" i="5"/>
  <c r="N36" i="9" s="1"/>
  <c r="O36" i="5"/>
  <c r="O36" i="9" s="1"/>
  <c r="P36" i="5"/>
  <c r="P36" i="9" s="1"/>
  <c r="Q36" i="5"/>
  <c r="Q36" i="9" s="1"/>
  <c r="R36" i="5"/>
  <c r="R36" i="9" s="1"/>
  <c r="S36" i="5"/>
  <c r="S36" i="9" s="1"/>
  <c r="C2" i="5"/>
  <c r="C2" i="9" s="1"/>
  <c r="D2" i="5"/>
  <c r="D2" i="9" s="1"/>
  <c r="E2" i="5"/>
  <c r="E2" i="9" s="1"/>
  <c r="F2" i="5"/>
  <c r="F2" i="9" s="1"/>
  <c r="G2" i="5"/>
  <c r="G2" i="9" s="1"/>
  <c r="H2" i="5"/>
  <c r="H2" i="9" s="1"/>
  <c r="I2" i="5"/>
  <c r="I2" i="9" s="1"/>
  <c r="J2" i="5"/>
  <c r="J2" i="9" s="1"/>
  <c r="K2" i="5"/>
  <c r="K2" i="9" s="1"/>
  <c r="L2" i="5"/>
  <c r="L2" i="9" s="1"/>
  <c r="M2" i="5"/>
  <c r="M2" i="9" s="1"/>
  <c r="N2" i="5"/>
  <c r="N2" i="9" s="1"/>
  <c r="O2" i="5"/>
  <c r="O2" i="9" s="1"/>
  <c r="P2" i="5"/>
  <c r="P2" i="9" s="1"/>
  <c r="Q2" i="5"/>
  <c r="Q2" i="9" s="1"/>
  <c r="R2" i="5"/>
  <c r="R2" i="9" s="1"/>
  <c r="S2" i="5"/>
  <c r="S2" i="9" s="1"/>
  <c r="B2" i="5"/>
  <c r="B2"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B25" authorId="0" shapeId="0" xr:uid="{AF707A6E-80C3-4D46-B156-721C14EB4419}">
      <text>
        <r>
          <rPr>
            <b/>
            <sz val="9"/>
            <color indexed="81"/>
            <rFont val="Tahoma"/>
            <family val="2"/>
          </rPr>
          <t>ASUS:</t>
        </r>
        <r>
          <rPr>
            <sz val="9"/>
            <color indexed="81"/>
            <rFont val="Tahoma"/>
            <family val="2"/>
          </rPr>
          <t xml:space="preserve">
Greater # = better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Rand Sobczak</author>
  </authors>
  <commentList>
    <comment ref="D2" authorId="0" shapeId="0" xr:uid="{2BB3E153-964F-4353-B8F1-790FEB3E858F}">
      <text>
        <r>
          <rPr>
            <b/>
            <sz val="9"/>
            <color indexed="81"/>
            <rFont val="Tahoma"/>
            <family val="2"/>
          </rPr>
          <t>Rand Sobczak:</t>
        </r>
        <r>
          <rPr>
            <sz val="9"/>
            <color indexed="81"/>
            <rFont val="Tahoma"/>
            <family val="2"/>
          </rPr>
          <t xml:space="preserve">
This would be a Pos / Neg or Neutral (0) for the Main</t>
        </r>
      </text>
    </comment>
  </commentList>
</comments>
</file>

<file path=xl/sharedStrings.xml><?xml version="1.0" encoding="utf-8"?>
<sst xmlns="http://schemas.openxmlformats.org/spreadsheetml/2006/main" count="2816" uniqueCount="1063">
  <si>
    <t>dates</t>
  </si>
  <si>
    <t>Apparel, Leather &amp; Allied Products_pmi</t>
  </si>
  <si>
    <t>Chemical Products_pmi</t>
  </si>
  <si>
    <t>Computer &amp; Electronic Products_pmi</t>
  </si>
  <si>
    <t>Electrical Equipment, Appliances &amp; Components_pmi</t>
  </si>
  <si>
    <t>Fabricated Metal Products_pmi</t>
  </si>
  <si>
    <t>Food, Beverage &amp; Tobacco Products_pmi</t>
  </si>
  <si>
    <t>Furniture &amp; Related Products_pmi</t>
  </si>
  <si>
    <t>Machinery_pmi</t>
  </si>
  <si>
    <t>Miscellaneous Manufacturing_pmi</t>
  </si>
  <si>
    <t>Nonmetallic Mineral Products_pmi</t>
  </si>
  <si>
    <t>Paper Products_pmi</t>
  </si>
  <si>
    <t>Petroleum &amp; Coal Products_pmi</t>
  </si>
  <si>
    <t>Plastics &amp; Rubber Products_pmi</t>
  </si>
  <si>
    <t>Primary Metals_pmi</t>
  </si>
  <si>
    <t>Printing &amp; Related Support Activities_pmi</t>
  </si>
  <si>
    <t>Textile Mills_pmi</t>
  </si>
  <si>
    <t>Transportation Equipment_pmi</t>
  </si>
  <si>
    <t>Wood Products_pmi</t>
  </si>
  <si>
    <t>Apparel, Leather &amp; Allied Products_rnk</t>
  </si>
  <si>
    <t>Chemical Products_rnk</t>
  </si>
  <si>
    <t>Computer &amp; Electronic Products_rnk</t>
  </si>
  <si>
    <t>Electrical Equipment, Appliances &amp; Components_rnk</t>
  </si>
  <si>
    <t>Fabricated Metal Products_rnk</t>
  </si>
  <si>
    <t>Food, Beverage &amp; Tobacco Products_rnk</t>
  </si>
  <si>
    <t>Furniture &amp; Related Products_rnk</t>
  </si>
  <si>
    <t>Machinery_rnk</t>
  </si>
  <si>
    <t>Miscellaneous Manufacturing_rnk</t>
  </si>
  <si>
    <t>Nonmetallic Mineral Products_rnk</t>
  </si>
  <si>
    <t>Paper Products_rnk</t>
  </si>
  <si>
    <t>Petroleum &amp; Coal Products_rnk</t>
  </si>
  <si>
    <t>Plastics &amp; Rubber Products_rnk</t>
  </si>
  <si>
    <t>Primary Metals_rnk</t>
  </si>
  <si>
    <t>Printing &amp; Related Support Activities_rnk</t>
  </si>
  <si>
    <t>Textile Mills_rnk</t>
  </si>
  <si>
    <t>Transportation Equipment_rnk</t>
  </si>
  <si>
    <t>Wood Products_rnk</t>
  </si>
  <si>
    <t>Apparel, Leather &amp; Allied Products_no</t>
  </si>
  <si>
    <t>Chemical Products_no</t>
  </si>
  <si>
    <t>Computer &amp; Electronic Products_no</t>
  </si>
  <si>
    <t>Electrical Equipment, Appliances &amp; Components_no</t>
  </si>
  <si>
    <t>Fabricated Metal Products_no</t>
  </si>
  <si>
    <t>Food, Beverage &amp; Tobacco Products_no</t>
  </si>
  <si>
    <t>Furniture &amp; Related Products_no</t>
  </si>
  <si>
    <t>Machinery_no</t>
  </si>
  <si>
    <t>Miscellaneous Manufacturing_no</t>
  </si>
  <si>
    <t>Nonmetallic Mineral Products_no</t>
  </si>
  <si>
    <t>Paper Products_no</t>
  </si>
  <si>
    <t>Petroleum &amp; Coal Products_no</t>
  </si>
  <si>
    <t>Plastics &amp; Rubber Products_no</t>
  </si>
  <si>
    <t>Primary Metals_no</t>
  </si>
  <si>
    <t>Printing &amp; Related Support Activities_no</t>
  </si>
  <si>
    <t>Textile Mills_no</t>
  </si>
  <si>
    <t>Transportation Equipment_no</t>
  </si>
  <si>
    <t>Wood Products_no</t>
  </si>
  <si>
    <t>Accommodation &amp; Food Services_pmi</t>
  </si>
  <si>
    <t>Agriculture, Forestry, Fishing &amp; Hunting_pmi</t>
  </si>
  <si>
    <t>Arts, Entertainment &amp; Recreation_pmi</t>
  </si>
  <si>
    <t>Construction_pmi</t>
  </si>
  <si>
    <t>Educational Services_pmi</t>
  </si>
  <si>
    <t>Finance &amp; Insurance_pmi</t>
  </si>
  <si>
    <t>Health Care &amp; Social Assistance_pmi</t>
  </si>
  <si>
    <t>Information_pmi</t>
  </si>
  <si>
    <t>Management of Companies &amp; Support Services_pmi</t>
  </si>
  <si>
    <t>Mining_pmi</t>
  </si>
  <si>
    <t>Other Services_pmi</t>
  </si>
  <si>
    <t>Professional, Scientific &amp; Technical Services_pmi</t>
  </si>
  <si>
    <t>Public Administration_pmi</t>
  </si>
  <si>
    <t>Real Estate, Rental &amp; Leasing_pmi</t>
  </si>
  <si>
    <t>Retail Trade_pmi</t>
  </si>
  <si>
    <t>Transportation &amp; Warehousing_pmi</t>
  </si>
  <si>
    <t>Utilities_pmi</t>
  </si>
  <si>
    <t>Wholesale Trade_pmi</t>
  </si>
  <si>
    <t>Accommodation &amp; Food Services_rnk</t>
  </si>
  <si>
    <t>Agriculture, Forestry, Fishing &amp; Hunting_rnk</t>
  </si>
  <si>
    <t>Arts, Entertainment &amp; Recreation_rnk</t>
  </si>
  <si>
    <t>Construction_rnk</t>
  </si>
  <si>
    <t>Educational Services_rnk</t>
  </si>
  <si>
    <t>Finance &amp; Insurance_rnk</t>
  </si>
  <si>
    <t>Health Care &amp; Social Assistance_rnk</t>
  </si>
  <si>
    <t>Information_rnk</t>
  </si>
  <si>
    <t>Management of Companies &amp; Support Services_rnk</t>
  </si>
  <si>
    <t>Mining_rnk</t>
  </si>
  <si>
    <t>Other Services_rnk</t>
  </si>
  <si>
    <t>Professional, Scientific &amp; Technical Services_rnk</t>
  </si>
  <si>
    <t>Public Administration_rnk</t>
  </si>
  <si>
    <t>Real Estate, Rental &amp; Leasing_rnk</t>
  </si>
  <si>
    <t>Retail Trade_rnk</t>
  </si>
  <si>
    <t>Transportation &amp; Warehousing_rnk</t>
  </si>
  <si>
    <t>Utilities_rnk</t>
  </si>
  <si>
    <t>Wholesale Trade_rnk</t>
  </si>
  <si>
    <t>Accommodation &amp; Food Services_biza</t>
  </si>
  <si>
    <t>Agriculture, Forestry, Fishing &amp; Hunting_biza</t>
  </si>
  <si>
    <t>Arts, Entertainment &amp; Recreation_biza</t>
  </si>
  <si>
    <t>Construction_biza</t>
  </si>
  <si>
    <t>Educational Services_biza</t>
  </si>
  <si>
    <t>Finance &amp; Insurance_biza</t>
  </si>
  <si>
    <t>Health Care &amp; Social Assistance_biza</t>
  </si>
  <si>
    <t>Information_biza</t>
  </si>
  <si>
    <t>Management of Companies &amp; Support Services_biza</t>
  </si>
  <si>
    <t>Mining_biza</t>
  </si>
  <si>
    <t>Other Services_biza</t>
  </si>
  <si>
    <t>Professional, Scientific &amp; Technical Services_biza</t>
  </si>
  <si>
    <t>Public Administration_biza</t>
  </si>
  <si>
    <t>Real Estate, Rental &amp; Leasing_biza</t>
  </si>
  <si>
    <t>Retail Trade_biza</t>
  </si>
  <si>
    <t>Transportation &amp; Warehousing_biza</t>
  </si>
  <si>
    <t>Utilities_biza</t>
  </si>
  <si>
    <t>Wholesale Trade_biza</t>
  </si>
  <si>
    <t>Accommodation &amp; Food Services_no</t>
  </si>
  <si>
    <t>Agriculture, Forestry, Fishing &amp; Hunting_no</t>
  </si>
  <si>
    <t>Arts, Entertainment &amp; Recreation_no</t>
  </si>
  <si>
    <t>Construction_no</t>
  </si>
  <si>
    <t>Educational Services_no</t>
  </si>
  <si>
    <t>Finance &amp; Insurance_no</t>
  </si>
  <si>
    <t>Health Care &amp; Social Assistance_no</t>
  </si>
  <si>
    <t>Information_no</t>
  </si>
  <si>
    <t>Management of Companies &amp; Support Services_no</t>
  </si>
  <si>
    <t>Mining_no</t>
  </si>
  <si>
    <t>Other Services_no</t>
  </si>
  <si>
    <t>Professional, Scientific &amp; Technical Services_no</t>
  </si>
  <si>
    <t>Public Administration_no</t>
  </si>
  <si>
    <t>Real Estate, Rental &amp; Leasing_no</t>
  </si>
  <si>
    <t>Retail Trade_no</t>
  </si>
  <si>
    <t>Transportation &amp; Warehousing_no</t>
  </si>
  <si>
    <t>Utilities_no</t>
  </si>
  <si>
    <t>Wholesale Trade_no</t>
  </si>
  <si>
    <t>Date</t>
  </si>
  <si>
    <t>Sector</t>
  </si>
  <si>
    <t>Comments</t>
  </si>
  <si>
    <t>Group</t>
  </si>
  <si>
    <t>Position</t>
  </si>
  <si>
    <t>Manu</t>
  </si>
  <si>
    <t>Overall impact for our business is mixed. Our scientific instrumentation business continues to be weakened by lending to support capital purchasing, while services and consumables stay on track and continue to increase in some markets. Hiring has slowed in response to continued global uncertainty on inflation and unrest in Europe</t>
  </si>
  <si>
    <t>Computer &amp; Electronic Products</t>
  </si>
  <si>
    <t>Demand continues to gain momentum due to new business pipelines finally yielding billable production. Personal care and home care are drivers</t>
  </si>
  <si>
    <t>Chemical Products</t>
  </si>
  <si>
    <t>Transportation Equipment</t>
  </si>
  <si>
    <t>We continue to have a strong backlog for our customer orders; however, new orders are slowing. Our supplier on-time delivery continues to be a challenge for us, and we still face price increases on a weekly basis. Labor shortages are getting better within our organization and throughout our supply chain</t>
  </si>
  <si>
    <t>Pricing seems to be becoming the primary focus of supply and sourcing teams, as customers and consumers are beginning to push back. While inflation is easing on some discretionary goods, high food costs persist across most categories</t>
  </si>
  <si>
    <t>Food, Beverage &amp; Tobacco Products</t>
  </si>
  <si>
    <t>Business is returning to pre-pandemic levels. There is increased demand in commercial/government markets and reduced demand in residential/consumer markets</t>
  </si>
  <si>
    <t>Machinery</t>
  </si>
  <si>
    <t>Less volatility in customer demand from one month to six months out; seeing signs of slowing in the second half of 2023 and potentially into early 2024. Logistics, particularly from East Asia, continue to return to historical-level transit times; Europe and India remain elevated. Supply shortages are limited to select items only. Suppliers are still seeking price increases but are too late to be asking now</t>
  </si>
  <si>
    <t>Fabricated Metal Products</t>
  </si>
  <si>
    <t>Although sales are slightly lower, they are holding at current rate — soft, not catastrophic</t>
  </si>
  <si>
    <t>Furniture &amp; Related Products</t>
  </si>
  <si>
    <t>Moderate increase in customer orders/demand, supplier deliveries improving, and raw material prices stable to soft</t>
  </si>
  <si>
    <t>Plastics &amp; Rubber Products</t>
  </si>
  <si>
    <t>Business conditions are good, demand remains strong, and we are continuing to ramp up production to keep up.</t>
  </si>
  <si>
    <t>Miscellaneous Manufacturing</t>
  </si>
  <si>
    <t>Industrial and high-tech demands are pushing out, as a slowdown is clear. This is stunting growth and currently making 2023 demand look flat to only slightly up, compared to original projections of 10-percent growth</t>
  </si>
  <si>
    <t>Electrical Equipment, Appliances &amp; Components</t>
  </si>
  <si>
    <t>Having invested heavily to de-risk the supply chain over the last three years due to COVID-19, we are looking to reset with a number of our suppliers to reduce inventory, which has grown steadily over that period. Lead times are generally coming down, although electronic components are still a concern</t>
  </si>
  <si>
    <t>Business continues to contract, albeit slowly year over year. We are burning existing inventory when possible and catching up on orders. Suppliers are shipping materials at a faster pace, especially to get the payable process started at the end of the first quarter. Employment is steady, with manpower decisions based on expected order flow in the second quarter, which is subject to change. Staffing levels in our sector are not decreasing, but employment openings are slowing across the economy, which reduces the pool of replacement candidates. We are currently projecting that the third quarter will see some improvement in business, especially in our metals coating for the aerospace industry. But unforeseen circumstances — international or domestic — could change things quickly.</t>
  </si>
  <si>
    <t>Pricing pressures continue to plague daily operations. After consecutive years of inflation and aggressive pricing to our retailers, we are starting to see resistance in the willingness to pass along pricing to end consumers. Discounting has entered into conversations</t>
  </si>
  <si>
    <t>Business is steady. Closely monitoring demand going forward to detect a negative trend</t>
  </si>
  <si>
    <t>Customers seem to be quite heavy on inventory (as is my employer). This has made for a significant slowdown in sales orders for the last number of months</t>
  </si>
  <si>
    <t>Faster deliveries and shorter lead times from suppliers. … Customers starting to talk build rate reductions for the second half of 2023.</t>
  </si>
  <si>
    <t>Business conditions remain strong, with sales and bookings exceeding plan. The backlog continues to grow due to increased bookings and supply chain constraints on electronic components</t>
  </si>
  <si>
    <t>Sales continue to be soft, similar to 2019 pre-COVID. Expect softness to last for as long as another two years</t>
  </si>
  <si>
    <t>Business is picking up a bit in the automotive and construction industries — not on par with 2022 but beginning to look better</t>
  </si>
  <si>
    <t>We seem to be in a season of contradictions. Business is slowing, but in some ways, it isn’t. Prices for some commodities are stabilizing, but not for others. Some product shortages are over, others aren’t. Trucking is more plentiful, except when it isn’t. There’s uncertainty one day, but not the next. The next couple of months should provide answers — or not. It’s hard to make projections at the moment.</t>
  </si>
  <si>
    <t>Primary Metals</t>
  </si>
  <si>
    <t>Serv</t>
  </si>
  <si>
    <t>Restaurant sales continue to track positive year over year, up an average of 8 percent past month. Employment needs have leveled off, and we are in a position to evaluate and upgrade rather than just maintain. Supply chain pressures have eased overall with some categories still hot spots. We are in a position to continue investing in technology upgrades and restaurant remodels</t>
  </si>
  <si>
    <t>Accommodation &amp; Food Services</t>
  </si>
  <si>
    <t>Overall slowing growth and market conditions dragging on some construction sectors</t>
  </si>
  <si>
    <t>Construction</t>
  </si>
  <si>
    <t>As a higher-education institute, enrollment will have a major impact on our institution. Factors to consider will be the economy (state and national), as well as continued funding for education. Our enrollment is currently projected to drop 2.5 percent, which will have a negative effect on our budget</t>
  </si>
  <si>
    <t>Educational Services</t>
  </si>
  <si>
    <t>Pent-up demand for services is driving strong revenue performance, but expenses (labor and supplies) continue to put pressure on margins, hindering the financial forecast. There is modest improvement in financial metrics, but it is becoming clear we will have to find ways to do more with less. Supply chains are stabilizing, though some segments remain choppy. The overall outlook, however, suggests the forecast is good for the next quarter. Pent-up demand for services is also causing capacity constraints, but we appear to be managing appropriately at this time</t>
  </si>
  <si>
    <t>Health Care &amp; Social Assistance</t>
  </si>
  <si>
    <t>Electronic components supply is strong, and lead times are nearly back to pre-pandemic</t>
  </si>
  <si>
    <t>Information</t>
  </si>
  <si>
    <t>Economy is slowing amid increased financial banking and leasing activity. Credit standards have increased, and approvals have fallen — thus, a tight credit situation</t>
  </si>
  <si>
    <t>Management of Companies &amp; Support Services</t>
  </si>
  <si>
    <t>Everything seems to have leveled off: not getting any worse, not getting any better</t>
  </si>
  <si>
    <t>Professional, Scientific &amp; Technical Services</t>
  </si>
  <si>
    <t>Lead times are starting to shorten, due in part to greater transportation availability. Prices, in general, are continuing to increase but at a slower pace. Supply chain is becoming much more reliable</t>
  </si>
  <si>
    <t>Public Administration</t>
  </si>
  <si>
    <t>Overall business is good, and there has not been a significant change in direction</t>
  </si>
  <si>
    <t>Retail Trade</t>
  </si>
  <si>
    <t>Business has significantly increased, with more orders, newer customers and more activity in general. More end users are getting back to business as usual, fighting for lower prices and taking a few more days to pay. The leverage point seems to have shifted back to end users, which is healthy</t>
  </si>
  <si>
    <t>Transportation &amp; Warehousing</t>
  </si>
  <si>
    <t>Business conditions continue to remain elevated as CapEx (capital expenditures) spending in clean energy follows regulatory demands</t>
  </si>
  <si>
    <t>Utilities</t>
  </si>
  <si>
    <t>Supply is plentiful, freight is moving quickly and costs are coming down. This is a 180-degree change from a year ago. Also, sales demand is down</t>
  </si>
  <si>
    <t>Wholesale Trade</t>
  </si>
  <si>
    <t>Lead times are improving. Suppliers are struggling with how to position themselves with pricing; those keeping prices higher despite a drop in input costs are at risk of losing their business to those that are willing to adjust prices in line with lower input costs</t>
  </si>
  <si>
    <t>High mortgage rates continue to weigh on new residential construction. With demand down, material suppliers are curtailing production to maintain pricing levels. Labor continues to be constrained, but some negotiation room is developing as the slowdown drags on</t>
  </si>
  <si>
    <t>At the beginning of the second quarter, business conditions are steady, and we’re preparing for planned expansion in the third quarter. Watching the economy and overall market forecasts and trends</t>
  </si>
  <si>
    <t>Finance &amp; Insurance</t>
  </si>
  <si>
    <t>We continue to see strong patient volumes and revenue performance, though inflationary pressures and labor shortages still persist. Supply chain performance is improving, but there are still some major medical/surgical equipment suppliers who seem to be stuck in a perpetual back-ordered state with forecasted ‘get well’ dates well into May. Overall, we expect to see gradual improvement in the next quarter</t>
  </si>
  <si>
    <t>Inflation concerns has our company maintaining a cautious approach to the future</t>
  </si>
  <si>
    <t>We are well on track to still see significant growth in production through calendar year 2023, as well as 2024 and 2025. We are seeing significant increases in order backlogs and inventory on hand to support the increased production, as well as several attempts to increase employment levels needed to support (forecasted) production increases</t>
  </si>
  <si>
    <t>Lead times on construction equipment and steel are still long, especially for HVAC (heating, ventilation and air conditioning) equipment and generators</t>
  </si>
  <si>
    <t>Retail environment is lower year over year, but trends are stable year to date. Inventory levels are coming more in line to match the new lower demand trends</t>
  </si>
  <si>
    <t>Material prices continue to decline — except for energy and chemicals — but are still above pre-pandemic levels. inflation and recession uncertainties still weigh on decisions</t>
  </si>
  <si>
    <t>Prices are coming down, but the decreases are small and not materially close to 2019 pricing. Labor in general is still and issue</t>
  </si>
  <si>
    <t>Business activity remains relatively flat compared to last month. Inventories are much more balanced versus demand, and supply chains are near full recovery. Optimistic about demand and business activity in later spring and summer months</t>
  </si>
  <si>
    <t>Petroleum &amp; Coal Products</t>
  </si>
  <si>
    <t>Nonmetallic Mineral Products</t>
  </si>
  <si>
    <t>Paper Products</t>
  </si>
  <si>
    <t>The slowing U.S. economy is causing the business forecast to be revised/reduced for the remainder of 2023. Customers are less inclined to purchase far in advance.</t>
  </si>
  <si>
    <t>Customer orders have definitely slowed down. Our company thought the second half of 2023 would be better than the first half, but this doesn’t seem to be the case.</t>
  </si>
  <si>
    <t>There were concerns that second-quarter sales were going to decrease and result in inventory levels rising; however, demand has remained stable so far. Projecting total end-of-year sales to be about where we were last year.</t>
  </si>
  <si>
    <t>There is an elevated level of capital project review as recession concerns loom. While not delayed, spending and planning are being managed and prioritized.</t>
  </si>
  <si>
    <t>Markets are stabilizing in the second quarter of 2023 and appear to be trending downward for most commodity chemicals; however, demand versus supply has shifted to customers’ favor.</t>
  </si>
  <si>
    <t>Orders and business are steady with a healthy backlog, but new prospective orders seem to be getting pushed back into 2024.</t>
  </si>
  <si>
    <t>North American demand stabilizing, but European markets showing slowing in the second half of 2023 and 2024.</t>
  </si>
  <si>
    <t>Here we are almost halfway through the year, and while things are challenging, we may be doing all right.</t>
  </si>
  <si>
    <t>Input costs for materials continue to decline. Demand is trending to about 2019 levels, accounting for inflation. The COVID-driven demand has moderated.</t>
  </si>
  <si>
    <t>Maintaining a strong order backlog. Continue to struggle with hiring hourly factory workers and finding qualified management candidates — higher turnover than desired. Pricing has stabilized, but labor costs remain high.</t>
  </si>
  <si>
    <t>Stabilizing inflation rates are helping our overall situation. (High inflation has) done much to disrupt our pricing for services and rent over the past two years</t>
  </si>
  <si>
    <t>We have been very busy in June, with great content coming out of the studios and the summer guest traffic</t>
  </si>
  <si>
    <t>Monitoring China’s anti-espionage legislation going into effect on July 1 that may have an impact on normal supply chain business operations like market research, recruitment, trade secret leakage, employing former government officials and data sharing between Chinese and foreign companies in joint domestic or cross-border projects, including transfer of technology or information sharing</t>
  </si>
  <si>
    <t>General business conditions are still active and steady. We’re ramping up for a busy third quarter with some expansion and preparations for early 2024 capital projects</t>
  </si>
  <si>
    <t>Strong procedural volumes are driving above-budget revenue performance, but profitability continues to suffer due to higher expenses. Inflationary pressures, staffing challenges, limited capacity and insufficient payer rates continue to financially challenge the health system. Supply chains continue to moderately improve</t>
  </si>
  <si>
    <t>Supply chain lead times have stabilized and prices are holding or, in some cases, dropping slightly. It’s been a long time coming</t>
  </si>
  <si>
    <t>Our company is maintaining an overall cautious approach, with inflation and the economy as main concerns. With oil prices stabilizing at around (US) $70 a barrel, we hope they start refilling the Strategic Petroleum Reserve to replace the oil withdrawn via emergency-use release during the pandemic</t>
  </si>
  <si>
    <t>Increased demand for new transformation programs, with prices holding and an increase in clients’ capital budget allocations</t>
  </si>
  <si>
    <t>Business remains higher than a year ago but is falling short of forecasts and projections</t>
  </si>
  <si>
    <t>Overall business conditions are good, but growth is at a slow pace</t>
  </si>
  <si>
    <t>Labor rates continue to be a challenge even with more people looking to return to work. Inflation is most likely a cause for this. Some incremental lower pricing on food</t>
  </si>
  <si>
    <t>High operational expenses continue to put pressure on our business and limit hiring. Service levels from suppliers continue to improve. Trucking metrics and sales also improved</t>
  </si>
  <si>
    <t>Agriculture, Forestry, Fishing &amp; Hunting</t>
  </si>
  <si>
    <t>Arts, Entertainment &amp; Recreation</t>
  </si>
  <si>
    <t>Real Estate, Rental &amp; Leasing</t>
  </si>
  <si>
    <t>Basic Materials</t>
  </si>
  <si>
    <t>Conglomerates</t>
  </si>
  <si>
    <t>Consumer Goods</t>
  </si>
  <si>
    <t>Financial</t>
  </si>
  <si>
    <t>Healthcare</t>
  </si>
  <si>
    <t>Industrial Goods</t>
  </si>
  <si>
    <t>Services</t>
  </si>
  <si>
    <t>Technology</t>
  </si>
  <si>
    <t>Agricultural Chemicals</t>
  </si>
  <si>
    <t>Appliances</t>
  </si>
  <si>
    <t>Accident &amp; Health Insurance</t>
  </si>
  <si>
    <t>Biotechnology</t>
  </si>
  <si>
    <t>Aerospace/Defense - Major Diversified</t>
  </si>
  <si>
    <t>Advertising Agencies</t>
  </si>
  <si>
    <t>Publishing - Books</t>
  </si>
  <si>
    <t>Application Software</t>
  </si>
  <si>
    <t>Diversified Utilities</t>
  </si>
  <si>
    <t>Aluminum</t>
  </si>
  <si>
    <t>Auto Manufacturers - Major</t>
  </si>
  <si>
    <t>Asset Management</t>
  </si>
  <si>
    <t>Diagnostic Substances</t>
  </si>
  <si>
    <t>Aerospace/Defense Products &amp; Services</t>
  </si>
  <si>
    <t>Air Delivery &amp; Freight Services</t>
  </si>
  <si>
    <t>Publishing - Newspapers</t>
  </si>
  <si>
    <t>Business Software &amp; Services</t>
  </si>
  <si>
    <t>Electric Utilities</t>
  </si>
  <si>
    <t>Chemicals - Major Diversified</t>
  </si>
  <si>
    <t>Auto Parts</t>
  </si>
  <si>
    <t>Closed-End Fund - Debt</t>
  </si>
  <si>
    <t>Drug Delivery</t>
  </si>
  <si>
    <t>Cement</t>
  </si>
  <si>
    <t>Air Services, Other</t>
  </si>
  <si>
    <t>Publishing - Periodicals</t>
  </si>
  <si>
    <t>Communication Equipment</t>
  </si>
  <si>
    <t>Foreign Utilities</t>
  </si>
  <si>
    <t>Copper</t>
  </si>
  <si>
    <t>Beverages - Brewers</t>
  </si>
  <si>
    <t>Closed-End Fund - Equity</t>
  </si>
  <si>
    <t>Drug Manufacturers - Major</t>
  </si>
  <si>
    <t>Diversified Machinery</t>
  </si>
  <si>
    <t>Apparel Stores</t>
  </si>
  <si>
    <t>Railroads</t>
  </si>
  <si>
    <t>Computer Based Systems</t>
  </si>
  <si>
    <t>Gas Utilities</t>
  </si>
  <si>
    <t>Gold</t>
  </si>
  <si>
    <t>Beverages - Soft Drinks</t>
  </si>
  <si>
    <t>Closed-End Fund - Foreign</t>
  </si>
  <si>
    <t>Drug Manufacturers - Other</t>
  </si>
  <si>
    <t>Farm &amp; Construction Machinery</t>
  </si>
  <si>
    <t>Auto Dealerships</t>
  </si>
  <si>
    <t>Regional Airlines</t>
  </si>
  <si>
    <t>Computer Peripherals</t>
  </si>
  <si>
    <t>Water Utilities</t>
  </si>
  <si>
    <t>Independent Oil &amp; Gas</t>
  </si>
  <si>
    <t>Beverages - Wineries &amp; Distillers</t>
  </si>
  <si>
    <t>Credit Services</t>
  </si>
  <si>
    <t>Drug Related Products</t>
  </si>
  <si>
    <t>General Building Materials</t>
  </si>
  <si>
    <t>Auto Parts Stores</t>
  </si>
  <si>
    <t>Rental &amp; Leasing Services</t>
  </si>
  <si>
    <t>Data Storage Devices</t>
  </si>
  <si>
    <t>Industrial Metals &amp; Minerals</t>
  </si>
  <si>
    <t>Business Equipment</t>
  </si>
  <si>
    <t>Diversified Investments</t>
  </si>
  <si>
    <t>Drugs - Generic</t>
  </si>
  <si>
    <t>General Contractors</t>
  </si>
  <si>
    <t>Auto Parts Wholesale</t>
  </si>
  <si>
    <t>Research Services</t>
  </si>
  <si>
    <t>Diversified Communication Services</t>
  </si>
  <si>
    <t>Major Integrated Oil &amp; Gas</t>
  </si>
  <si>
    <t>Cigarettes</t>
  </si>
  <si>
    <t>Foreign Money Center Banks</t>
  </si>
  <si>
    <t>Health Care Plans</t>
  </si>
  <si>
    <t>Heavy Construction</t>
  </si>
  <si>
    <t>Basic Materials Wholesale</t>
  </si>
  <si>
    <t>Resorts &amp; Casinos</t>
  </si>
  <si>
    <t>Diversified Computer Systems</t>
  </si>
  <si>
    <t>Nonmetallic Mineral Mining</t>
  </si>
  <si>
    <t>Cleaning Products</t>
  </si>
  <si>
    <t>Foreign Regional Banks</t>
  </si>
  <si>
    <t>Home Health Care</t>
  </si>
  <si>
    <t>Industrial Electrical Equipment</t>
  </si>
  <si>
    <t>Broadcasting - Radio</t>
  </si>
  <si>
    <t>Restaurants</t>
  </si>
  <si>
    <t>Diversified Electronics</t>
  </si>
  <si>
    <t>Oil &amp; Gas Drilling &amp; Exploration</t>
  </si>
  <si>
    <t>Confectioners</t>
  </si>
  <si>
    <t>Insurance Brokers</t>
  </si>
  <si>
    <t>Hospitals</t>
  </si>
  <si>
    <t>Industrial Equipment &amp; Components</t>
  </si>
  <si>
    <t>Broadcasting - TV</t>
  </si>
  <si>
    <t>Security &amp; Protection Services</t>
  </si>
  <si>
    <t>Healthcare Information Services</t>
  </si>
  <si>
    <t>Oil &amp; Gas Equipment &amp; Services</t>
  </si>
  <si>
    <t>Dairy Products</t>
  </si>
  <si>
    <t>Investment Brokerage - National</t>
  </si>
  <si>
    <t>Long-Term Care Facilities</t>
  </si>
  <si>
    <t>Lumber, Wood Production</t>
  </si>
  <si>
    <t>Building Materials Wholesale</t>
  </si>
  <si>
    <t>Shipping</t>
  </si>
  <si>
    <t>Information &amp; Delivery Services</t>
  </si>
  <si>
    <t>Oil &amp; Gas Pipelines</t>
  </si>
  <si>
    <t>Electronic Equipment</t>
  </si>
  <si>
    <t>Investment Brokerage - Regional</t>
  </si>
  <si>
    <t>Medical Appliances &amp; Equipment</t>
  </si>
  <si>
    <t>Machine Tools &amp; Accessories</t>
  </si>
  <si>
    <t>Business Services</t>
  </si>
  <si>
    <t>Specialty Eateries</t>
  </si>
  <si>
    <t>Information Technology Services</t>
  </si>
  <si>
    <t>Oil &amp; Gas Refining &amp; Marketing</t>
  </si>
  <si>
    <t>Farm Products</t>
  </si>
  <si>
    <t>Life Insurance</t>
  </si>
  <si>
    <t>Medical Instruments &amp; Supplies</t>
  </si>
  <si>
    <t>Manufactured Housing</t>
  </si>
  <si>
    <t>Catalog &amp; Mail Order Houses</t>
  </si>
  <si>
    <t>Specialty Retail, Other</t>
  </si>
  <si>
    <t>Internet Information Providers</t>
  </si>
  <si>
    <t>Silver</t>
  </si>
  <si>
    <t>Food - Major Diversified</t>
  </si>
  <si>
    <t>Money Center Banks</t>
  </si>
  <si>
    <t>Medical Laboratories &amp; Research</t>
  </si>
  <si>
    <t>Metal Fabrication</t>
  </si>
  <si>
    <t>CATV Systems</t>
  </si>
  <si>
    <t>Sporting Activities</t>
  </si>
  <si>
    <t>Internet Service Providers</t>
  </si>
  <si>
    <t>Specialty Chemicals</t>
  </si>
  <si>
    <t>Home Furnishings &amp; Fixtures</t>
  </si>
  <si>
    <t>Mortgage Investment</t>
  </si>
  <si>
    <t>Medical Practitioners</t>
  </si>
  <si>
    <t>Pollution &amp; Treatment Controls</t>
  </si>
  <si>
    <t>Computers Wholesale</t>
  </si>
  <si>
    <t>Sporting Goods Stores</t>
  </si>
  <si>
    <t>Internet Software &amp; Services</t>
  </si>
  <si>
    <t>Steel &amp; Iron</t>
  </si>
  <si>
    <t>Housewares &amp; Accessories</t>
  </si>
  <si>
    <t>Property &amp; Casualty Insurance</t>
  </si>
  <si>
    <t>Specialized Health Services</t>
  </si>
  <si>
    <t>Residential Construction</t>
  </si>
  <si>
    <t>Consumer Services</t>
  </si>
  <si>
    <t>Staffing &amp; Outsourcing Services</t>
  </si>
  <si>
    <t>Long Distance Carriers</t>
  </si>
  <si>
    <t>Synthetics</t>
  </si>
  <si>
    <t>Meat Products</t>
  </si>
  <si>
    <t>Property Management</t>
  </si>
  <si>
    <t>Small Tools &amp; Accessories</t>
  </si>
  <si>
    <t>Department Stores</t>
  </si>
  <si>
    <t>Technical Services</t>
  </si>
  <si>
    <t>Multimedia &amp; Graphics Software</t>
  </si>
  <si>
    <t>Office Supplies</t>
  </si>
  <si>
    <t>Real Estate Development</t>
  </si>
  <si>
    <t>Textile Industrial</t>
  </si>
  <si>
    <t>Discount, Variety Stores</t>
  </si>
  <si>
    <t>Toy &amp; Hobby Stores</t>
  </si>
  <si>
    <t>Networking &amp; Communication Devices</t>
  </si>
  <si>
    <t>Packaging &amp; Containers</t>
  </si>
  <si>
    <t>Regional - Mid-Atlantic Banks</t>
  </si>
  <si>
    <t>Waste Management</t>
  </si>
  <si>
    <t>Drug Stores</t>
  </si>
  <si>
    <t>Trucking</t>
  </si>
  <si>
    <t>Personal Computers</t>
  </si>
  <si>
    <t>Paper &amp; Paper Products</t>
  </si>
  <si>
    <t>Regional - Midwest Banks</t>
  </si>
  <si>
    <t>Drugs Wholesale</t>
  </si>
  <si>
    <t>Wholesale, Other</t>
  </si>
  <si>
    <t>Printed Circuit Boards</t>
  </si>
  <si>
    <t>Personal Products</t>
  </si>
  <si>
    <t>Regional - Northeast Banks</t>
  </si>
  <si>
    <t>Education &amp; Training Services</t>
  </si>
  <si>
    <t>Processing Systems &amp; Products</t>
  </si>
  <si>
    <t>Photographic Equipment &amp; Supplies</t>
  </si>
  <si>
    <t>Regional - Pacific Banks</t>
  </si>
  <si>
    <t>Electronics Stores</t>
  </si>
  <si>
    <t>Scientific &amp; Technical Instruments</t>
  </si>
  <si>
    <t>Processed &amp; Packaged Goods</t>
  </si>
  <si>
    <t>Regional - Southeast Banks</t>
  </si>
  <si>
    <t>Electronics Wholesale</t>
  </si>
  <si>
    <t>Security Software &amp; Services</t>
  </si>
  <si>
    <t>Recreational Goods, Other</t>
  </si>
  <si>
    <t>Regional - Southwest Banks</t>
  </si>
  <si>
    <t>Entertainment - Diversified</t>
  </si>
  <si>
    <t>Semiconductor - Broad Line</t>
  </si>
  <si>
    <t>Recreational Vehicles</t>
  </si>
  <si>
    <t>REIT - Diversified</t>
  </si>
  <si>
    <t>Food Wholesale</t>
  </si>
  <si>
    <t>Semiconductor - Integrated Circuits</t>
  </si>
  <si>
    <t>Rubber &amp; Plastics</t>
  </si>
  <si>
    <t>REIT - Healthcare Facilities</t>
  </si>
  <si>
    <t>Gaming Activities</t>
  </si>
  <si>
    <t>Semiconductor - Specialized</t>
  </si>
  <si>
    <t>Sporting Goods</t>
  </si>
  <si>
    <t>REIT - Hotel/Motel</t>
  </si>
  <si>
    <t>General Entertainment</t>
  </si>
  <si>
    <t>Semiconductor Equipment &amp; Materials</t>
  </si>
  <si>
    <t>Textile - Apparel Clothing</t>
  </si>
  <si>
    <t>REIT - Industrial</t>
  </si>
  <si>
    <t>Grocery Stores</t>
  </si>
  <si>
    <t>Semiconductor- Memory Chips</t>
  </si>
  <si>
    <t>Textile - Apparel Footwear &amp; Accessories</t>
  </si>
  <si>
    <t>REIT - Office</t>
  </si>
  <si>
    <t>Home Furnishing Stores</t>
  </si>
  <si>
    <t>Technical &amp; System Software</t>
  </si>
  <si>
    <t>Tobacco Products, Other</t>
  </si>
  <si>
    <t>REIT - Residential</t>
  </si>
  <si>
    <t>Home Improvement Stores</t>
  </si>
  <si>
    <t>Telecom Services - Domestic</t>
  </si>
  <si>
    <t>Toys &amp; Games</t>
  </si>
  <si>
    <t>REIT - Retail</t>
  </si>
  <si>
    <t>Industrial Equipment Wholesale</t>
  </si>
  <si>
    <t>Telecom Services - Foreign</t>
  </si>
  <si>
    <t>Trucks &amp; Other Vehicles</t>
  </si>
  <si>
    <t>Savings &amp; Loans</t>
  </si>
  <si>
    <t>Jewelry Stores</t>
  </si>
  <si>
    <t>Wireless Communications</t>
  </si>
  <si>
    <t>Surety &amp; Title Insurance</t>
  </si>
  <si>
    <t>Lodging</t>
  </si>
  <si>
    <t>Major Airlines</t>
  </si>
  <si>
    <t>Management Services</t>
  </si>
  <si>
    <t>Marketing Services</t>
  </si>
  <si>
    <t>Medical Equipment Wholesale</t>
  </si>
  <si>
    <t>Movie Production, Theaters</t>
  </si>
  <si>
    <t xml:space="preserve">Use this spreadsheet to drill down through the sector level and analyse stocks within sectors </t>
  </si>
  <si>
    <t>Music &amp; Video Stores</t>
  </si>
  <si>
    <t xml:space="preserve">across the United States and Europe by clicking on the embedded links. </t>
  </si>
  <si>
    <t>Personal Services</t>
  </si>
  <si>
    <t>https://etfdb.com/etf/XLV/#etf-holdings&amp;sort_name=weight&amp;sort_order=desc&amp;page=1</t>
  </si>
  <si>
    <t>https://money.usnews.com/investing/stocks/metal-fabrication</t>
  </si>
  <si>
    <t>WIKIPEDIA</t>
  </si>
  <si>
    <t>https://www.nasdaq.com/markets/barchart-sectors.aspx</t>
  </si>
  <si>
    <t>https://etfdb.com/etfs/</t>
  </si>
  <si>
    <t>Yahoo Finance Screener</t>
  </si>
  <si>
    <t>https://www.barchart.com/stocks/sectors/rankings</t>
  </si>
  <si>
    <t>https://www.instituteforsupplymanagement.org/news/content.cfm?ItemNumber=28859</t>
  </si>
  <si>
    <t>Link(s)</t>
  </si>
  <si>
    <t>Past __ Mnths</t>
  </si>
  <si>
    <t>( + ) Count</t>
  </si>
  <si>
    <t>Link</t>
  </si>
  <si>
    <t>https://www.macrotrends.net/stocks/sector/2/consumer-discretionary</t>
  </si>
  <si>
    <t>Sectors</t>
  </si>
  <si>
    <t>Mining</t>
  </si>
  <si>
    <t>Other Services</t>
  </si>
  <si>
    <t>AVERAGE</t>
  </si>
  <si>
    <t>PMI Itself</t>
  </si>
  <si>
    <t>PMI Rank</t>
  </si>
  <si>
    <t>BUSINESS ACTIVITY</t>
  </si>
  <si>
    <t>Average</t>
  </si>
  <si>
    <t>NEW ORDERS</t>
  </si>
  <si>
    <t>EMPLOYMENT</t>
  </si>
  <si>
    <t>SUPPLIER DELIVERABLES</t>
  </si>
  <si>
    <t>INVENTORIES</t>
  </si>
  <si>
    <t>PRICES</t>
  </si>
  <si>
    <t>BACKLOG OF ORDERS</t>
  </si>
  <si>
    <t>IMPORTS</t>
  </si>
  <si>
    <t>INVENTORY SENTIMENT</t>
  </si>
  <si>
    <t>Apparel, Leather &amp; Allied Products</t>
  </si>
  <si>
    <t>Printing &amp; Related Support Activities</t>
  </si>
  <si>
    <t>Textile Mills</t>
  </si>
  <si>
    <t>Wood Products</t>
  </si>
  <si>
    <t>New Orders</t>
  </si>
  <si>
    <t>b v</t>
  </si>
  <si>
    <t>PRODUCTION</t>
  </si>
  <si>
    <t>CUSTOMERS' INVENTORIES</t>
  </si>
  <si>
    <t>NEW EXPORTS</t>
  </si>
  <si>
    <t>Current U.S. market conditions of inflationary and recessionary tactics affecting overall business. Customers are reducing or not placing orders as forecast, (putting) internal focus on reducing financial liabilities and overhead costs.” [Computer &amp; Electronic Products]
“Sales in our industry are extremely slow entering into the second half of the year, and no upturn is expected until at least the fourth quarter</t>
  </si>
  <si>
    <t>Sales in our industry are extremely slow entering into the second half of the year, and no upturn is expected until at least the fourth quarter</t>
  </si>
  <si>
    <t>Demand is softening. Some pricing starting to decrease. Back orders mostly resolved</t>
  </si>
  <si>
    <t>Stable demand for the next four to six months, but longer-term uncertainty. While customer growth is projected, we cannot point to fundamentals that sustain it. Supply conditions are similar to pre-pandemic, except for energy and raw input costs. Logistics costs have settled, transit times continue to shorten and capacities at most suppliers are sufficient</t>
  </si>
  <si>
    <t>We are still in our slow season but will soon ramp up production to prepare for our busy season in late fall. Inventories aren’t changed much now but will be increasing soon. The reports on cooling inflation and consumer confidence are driving expectations of a very strong back half (of the year).</t>
  </si>
  <si>
    <t>Suppliers are starting to reach out looking for new business. Softening is occurring in the China markets</t>
  </si>
  <si>
    <t>Sales remain higher than forecast. Supplier capacity issues remain an issue.</t>
  </si>
  <si>
    <t>Semiconductor trade restrictions against China have negatively impacted our industrial business in North America.</t>
  </si>
  <si>
    <t>June was a strong month, but July has been way off for construction.</t>
  </si>
  <si>
    <t>Order book continues to be strong. Working overtime to complete orders. Labor availability is still the number one constraint impacting production. Cannot find qualified salaried or skilled trades people to hire. Hourly temporary employees are of poor quality and walk off after taking the job.</t>
  </si>
  <si>
    <t>Pricing in food sectors has come down incrementally, but in very small, almost minute percentages. IT labor pricing is still inflated.</t>
  </si>
  <si>
    <t>Sales have been steady.</t>
  </si>
  <si>
    <t>Continuing to see improved case volume in 2023, although July and summer months have flattened a bit as usual. Still scratching and clawing to find savings with economic inflationary pressures.</t>
  </si>
  <si>
    <t>Business remains steady.</t>
  </si>
  <si>
    <t>We are maintaining a cautious approach, although inflation seems to be easing. The overall business environment has stabilized, but tight labor markets are creating ongoing issues.</t>
  </si>
  <si>
    <t>Hiring of employees, temporary workers and consultants continues to be slow as companies remain cautious about increasing fixed and variable expenses during uncertain economic times.</t>
  </si>
  <si>
    <t>Although capacity in transportation services has improved, there are still some industries with lagging lead times for their products.</t>
  </si>
  <si>
    <t>Overall economy is good. Supply chain market is stable. Commodity prices are increasing but at a slower rate. Lead times and deliveries are ideal, and inventories are lower than last quarter. The unemployment rate is at its lowest point in 70 years. Wages continue to grow.</t>
  </si>
  <si>
    <t>We are still having issues with getting certain materials based on chips, though not nearly as imposing as they were a year ago. Lead times from Europe and in general seem to be improving. There are challenges with suppliers who made changes during the pandemic to spread workloads — they are not as responsive, and this affects lead times.</t>
  </si>
  <si>
    <t>Steady, slower growth.</t>
  </si>
  <si>
    <t>High operational expenses continue to put pressure on the business and limit hiring. Supplier costs (are) not coming down as much as expected. Service levels from suppliers continue to improve. Trucking metrics improved.</t>
  </si>
  <si>
    <t>Further reductions in customer orders due to the economic situation and also their working down of own inventories. Backlog is dwindling, but still showing robust revenue.</t>
  </si>
  <si>
    <t>Demand still weak. Customer inventories are getting depleted; however, we are not seeing a real uptick in demand. General supply conditions are softening.</t>
  </si>
  <si>
    <t>Still seeing a slowdown in orders. We’re continuing to ship to max capacity, with supply constraints still a real part of our day-to-day business operations.</t>
  </si>
  <si>
    <t>Customer orders have softened. This is likely due to customers’ increased confidence in the supply chain, (which) has them reducing their inventories. Customers are also being pinched with higher interest rates. Additionally, consumers are feeling their purchasing power eroded by stubbornly high inflation, so they are purchasing less.</t>
  </si>
  <si>
    <t>Fourth quarter orders falling short of projection and indicating a slowdown in customer demand, though the first quarter forecast remains solid. Unclear if this is an inventory correction. Logistics stabilized and costs are matching 2019. Shortages limited to only a few items now, but suppliers are hesitant to add or replace labor needed in light of slowing demand.</t>
  </si>
  <si>
    <t>General slowdown in business at the end of the third quarter. For capital equipment additions, our customers are buying only what they need for specific jobs and not adding any capital fleet material for potential future work.</t>
  </si>
  <si>
    <t>There is additional softening in the market. Customers are hesitant to provide extended forecasts with today’s economic uncertainty.</t>
  </si>
  <si>
    <t>Business continues to remain strong with sales and profits both ahead of plan. The bookings were below what we planned, but that was expected due to fewer working days and summer vacations.</t>
  </si>
  <si>
    <t>The manufacturing sector continues to be slow, and the low market prices make it difficult to stay profitable. On the positive side, laborers are showing enthusiastic employment interest. Rising energy and fuel prices are of concern to our company.</t>
  </si>
  <si>
    <t>Business is beginning to improve moderately. Still well below 2022 levels, but it appears that the ‘great inventory rebalancing’ is finally coming to fruition.</t>
  </si>
  <si>
    <t>Automotive volume remains strong in preparation for the United Auto Workers’ potential strike at Ford, General Motors and Stellantis. Contingency plans in place for sub-tiers. Continue to have issues recruiting general labor employees. Operational efficiency suffering due to a lack of human resources. Order book remains strong and ahead of 2022.</t>
  </si>
  <si>
    <t>(The Federal Reserve’s) actions to increase borrowing costs has dampened demand for residential investment. Recently, this slowdown plateaued somewhat, with demand stabilizing. The outlook for 2024 remains uncertain, and we continue to be cautious about building inventories.</t>
  </si>
  <si>
    <t>Restaurant sales and traffic trends remain positive year over year and compared to pre-pandemic (levels). Hiring is stable, with quality employees available. New California regulations in July included (municipal) minimum wage hikes and implementation of Proposition 12 (a farm animal health and welfare legislation), resulting in much higher pork prices</t>
  </si>
  <si>
    <t>Sales on a national level have been strong. Commodity material prices remain stable, and we are finding areas for cost reductions. Material availability has returned to pre-COVID-19 levels.</t>
  </si>
  <si>
    <t>While labor costs continue to soften, costs of pharmaceuticals and supplies remain stubbornly high, negatively impacting operating margins. Supply chains are operating consistently, though some categories of supply remain constrained. Patient volumes and revenues were down slightly (for the month) but appear to be rebounding as back-to-school season approaches. Forecast remains cautiously optimistic.</t>
  </si>
  <si>
    <t>The supply chain challenges affect a portion of our buys, as they include products and components made outside of the U.S. and are subject to shipping delays and issues. The prices of materials and other products have slightly increased. Distribution of some direct materials has been altered due to a key supplier financial issue.</t>
  </si>
  <si>
    <t>Steady oil and gas production and sales volume. Declining commodity prices seem to have bottomed out.</t>
  </si>
  <si>
    <t>The summer slowdown is similar to those in recent years due to vacations. Third-quarter projections are close to expectation. Inflationary costs are mostly in fuel and fuel-related commodities, having an adverse effect on profits.</t>
  </si>
  <si>
    <t>Prices have settled. Warnings of a possible recession in 2024 are not being taken very seriously by top management. The same experts warned that the country would be in a recession by now. Our general feeling is that the (Federal Reserve’s) strategy for taming inflation and building a soft landing for the economy is working better than expected. The city has proposed reducing its municipal tax for the fiscal year beginning October 1.</t>
  </si>
  <si>
    <t>Overall conditions seem quite good, although there is definite slowdown in residential construction driven by rapidly increasing interest rates.</t>
  </si>
  <si>
    <t>Business activity continues to be lower year over year, but we are meeting the year-to-date forecast.</t>
  </si>
  <si>
    <t>Utility contractors in high demand.</t>
  </si>
  <si>
    <t>In the evolving supply chain environment, customers are increasingly taking an active role in initiating new projects, looking for cost reduction opportunities and lead-time mitigation, with a growing emphasis on collaboration. Post-pandemic, customers have learned they need partners to navigate rough waters</t>
  </si>
  <si>
    <t>We need to coordinate very closely with suppliers in order to yield a more cost-competitive offer. More back and forth is needed to reach a reasonable total price</t>
  </si>
  <si>
    <t>Orders and production remain steady, and we are maintaining a healthy backlog. Continued inflation and wage adjustments continue to drive prices up, although we should get some relief from the markets stabilizing</t>
  </si>
  <si>
    <t>Cost increases are now generally isolated to specific commodities rather than blanket increases due to ‘inflation</t>
  </si>
  <si>
    <t>Markets remain soft. Our customers have about-right inventory levels, but they paid more due to pandemic cost increases. Everyone is holding off on increasing inventories, hoping they can buy at lower costs</t>
  </si>
  <si>
    <t>Overall, things continue to be very steady: Sales and revenue are as expected, and the supply environment has stabilized greatly versus 2021-22. Some things to watch include the Panama Canal (drought), U.S.-China relations, and the impact the UAW (United Auto Workers) strike could have on suppliers of ours who support automotive production. But overall conditions feel stable.</t>
  </si>
  <si>
    <t>Cement negotiations have changed, with cement mills no longer offering annual or guaranteed pricing. We now want to contract more as a commodity, leaning toward quarterly, with fluctuating prices yet to be determined.</t>
  </si>
  <si>
    <t>A recession feels imminent. Money continues to be pushed into the bank markets, driving inflation rates really high. Most plants are buying less material or reducing consumption in the name of sustainability, as well as running at 80 percent of capacity. Prices of some products may increase for the upcoming winter weather.</t>
  </si>
  <si>
    <t>Business conditions and market demand remain strong. We are projected to be at capacity in the next 12 months</t>
  </si>
  <si>
    <t>New business development is coming onboard. However, many forecasts are set for the beginning of 2024. Hiring and retaining quality people is still a struggle</t>
  </si>
  <si>
    <t>Prices are coming down across the board for most commodities. However, there are still a few areas where supply is not available on a consistent basis, or what is being delivered is not to specifications</t>
  </si>
  <si>
    <t>Conditions remain favorable for mechanical contractors. New construction projects continue to launch. We are still seeing opportunities for cost reductions across many commodities. Inventory levels on finished goods remain strong</t>
  </si>
  <si>
    <t>The market is stable at this time</t>
  </si>
  <si>
    <t>I think the outlook of our company and the industry is a slow but steady improvement — from a plethora of unknowns to a daily sense of being able to manage the rigors of the supply chain</t>
  </si>
  <si>
    <t>The market for the industry keeps looking positive, although there is a higher concentration of new projects at emerging markets. Opportunities in traditional markets like the U.S. or Europe have decreased, and my organization has managed to maintain or renew contracts that started two or three years ago</t>
  </si>
  <si>
    <t>Bank and leasing company volume seems to be falling as credit tightens, thus causing a slowdown in related services industries. Bankruptcy work is picking up</t>
  </si>
  <si>
    <t>The fourth quarter is looking better than forecast, which is good because the third quarter of 2023 was below plan. Our customers are cautiously optimistic for a solid domestic performance, despite troubles in select foreign markets</t>
  </si>
  <si>
    <t>Business is ramping up in preparation for the holiday season. Our supply chain is strong</t>
  </si>
  <si>
    <t>Higher level of orders in past month. Business activity is stabilizing to last year’s numbers</t>
  </si>
  <si>
    <t>Other than increases in fuel costs and some materials, activity and sales have been relatively stable month over month. However, a seasonal decrease in water sales is anticipated as cooler temperatures set in. Regional housing development projects continue to come online, in spite of higher interest rates</t>
  </si>
  <si>
    <t>Suppliers’ lead times are approaching ‘normal.’ Electronic equipment containing chips continues to be on allocation</t>
  </si>
  <si>
    <t>Markets remain tough, and we have focused more resources on sales and marketing to drive greater sales and new market penetration with our devices. Lots of leadership focus on what we can do in the near term that will also support long-term company goals.</t>
  </si>
  <si>
    <t>Economy absolutely slowing down. Less optimism regarding the first quarter of 2024.</t>
  </si>
  <si>
    <t>Backlog is starting to dip a bit. We’re hearing of cutbacks in 2024 ordering, but it’s still very strong compared to historical averages.</t>
  </si>
  <si>
    <t>Markets appear to have slightly slowed. Certain commodities remain high.</t>
  </si>
  <si>
    <t>Seeing a slowdown on bookings, and our backlog is down to five days from 15 weeks earlier this year.</t>
  </si>
  <si>
    <t>A slow fourth quarter, and we’re clearly in a mild industry recession. However, demand is down less than 5 percent, and customer confidence of a recovery in the second half of 2024 is solid. Supplier deliveries are stable, and suppliers are seeking more work. But they’re not yet willing to adjust prices to compete for it.</t>
  </si>
  <si>
    <t>Business is decent — not great, but steady and solid. We are meeting our sales and margin goals, but it’s definitely hard to guess the future.</t>
  </si>
  <si>
    <t>Commercial constructions continue to remain ahead of 2022. We have some concern over 2024 regarding inflation, as well as gas and oil pricing potentially slowing down building.</t>
  </si>
  <si>
    <t>Demand for raw materials/chemicals appears to be stable heading into the fourth quarter.</t>
  </si>
  <si>
    <t>Orders continue to increase in some sectors. Construction industry-related products/orders are slowing down.</t>
  </si>
  <si>
    <t>Despite the ongoing United Auto Workers (UAW) strike, there’s a firmness and pickup in orders for the rest of the fourth quarter.</t>
  </si>
  <si>
    <t>In general, commodity prices are coming down, but some categories, especially labor, are still elevated and will remain so for the immediate future. Suppliers are citing increased labor costs — wages, salaries and benefits — as the biggest reason for their price increases.</t>
  </si>
  <si>
    <t>Strength in certain construction sectors is leading to continued optimism. Construction equipment and materials are at generally at lower prices and with faster deliveries. However, this is not the case for all materials or equipment; some prices remain high and with long lead (times).</t>
  </si>
  <si>
    <t>Currently, we are continuing as normal. If the economy takes a downturn, that will have a negative effect on our revenue. We are also leery of potential increases in fuel costs due in part to the unrest in the Middle East. If fuel costs rise, it will have a negative impact on our budget as we strive to continue normal operations on our campus.</t>
  </si>
  <si>
    <t>Labor pressures continue, particularly in areas that are hard to recruit. Filling front-line and lower-skill labor positions has gotten very expensive because of competition from large companies and logistics providers. Also, middle management roles are harder to recruit for than they have been in some years.</t>
  </si>
  <si>
    <t>With (a supplier’s) labor dispute resolved; we’re expecting a return to the same delivery speeds before it started in July. We are in our busy season, and it’s especially busy this year compared to last fall.</t>
  </si>
  <si>
    <t>We are taking a cautious approach due to the increase in crude oil prices. Capital projects have been slowed or postponed until oil prices stabilize. We expect this approach to continue through fiscal year 2024.</t>
  </si>
  <si>
    <t>Due to the Israel-Hamas war, communications with clients in the Middle East are pretty much shut down.</t>
  </si>
  <si>
    <t>The United Auto Workers (UAW) strike is having no impact so far — our inventory is in good position for now.</t>
  </si>
  <si>
    <t>The general outlook for our organization is less positive than anticipated from the beginning of the year. Performance expectations were revised upward after a strong start to the year, and the results are not expected to be as high as the revised projections. Performance is impacted in part by our customers’ ability to fill our warehouses with product, and it seems the food manufacturing industry is still working toward increasing output, which has lagged a bit since the pandemic.</t>
  </si>
  <si>
    <t>Business conditions have become murky as of late, but still going strong. However, certain business units are needing to be reevaluated.</t>
  </si>
  <si>
    <t>The UAW strike and potential government shutdown have created risk and caution for our customers who have pulled back on purchases beginning this month.</t>
  </si>
  <si>
    <t>Economy appears to be slowing dramatically. Customer orders are pushing out, and all efforts are being made to right-size inventory levels, both to mitigate carrying costs on pushed-out orders and to load up on inventory where costs are exploding, like cold-rolled steel.</t>
  </si>
  <si>
    <t>Starting to feel softening in the economy, with labor still a challenge to backfill critical roles. The 2024 forecast looks challenging, specially from a cost perspective</t>
  </si>
  <si>
    <t>Nearly all microchip supply issues have been resolved, finally bringing an end to the three-year chip shortage. Material prices are remaining relatively flat. Supply chain issues continue in several areas, resulting from difficulties during the United Auto Workers (UAW) strike</t>
  </si>
  <si>
    <t>Our executives have requested that we bring down inventory levels considerably, and it has started causing customer shortages. Both finished goods, and low inventories of raw and packing materials are creating issues in fulfilling customer demand, and in some cases causing serious (production) delays.</t>
  </si>
  <si>
    <t>The end of the major construction season and an early pullback in customer capital expenditures purchases have resulted in a lower backlog in the fourth quarter.</t>
  </si>
  <si>
    <t>Automotive sales still impacted by UAW strike. Still waiting for orders to come in, and we also need to work down inventory levels that increased during the strike period. This will most likely happen in December.</t>
  </si>
  <si>
    <t>Customer orders have pushed into the first quarter of 2024, resulting in inflated end-of-year inventory.</t>
  </si>
  <si>
    <t>(Our situation is) good but guarded, as next year is hard to predict. There are undertones of uncertainty in the market and the impact of inflation on maintenance and project costs has become apparent.</t>
  </si>
  <si>
    <t>Customers back online after the UAW strike. Consuming inventory that was built as a strike bank. Still (having) issues with hiring quality candidates for both hourly and salaried positions. Current inventory levels are too high, but the order book remains strong.</t>
  </si>
  <si>
    <t>Elevated financing costs have dampened demand for residential investment. Our business has been negatively impacted through reduced new orders for our products and services. We are purchasing less for production and finished goods inventories.</t>
  </si>
  <si>
    <t>Restaurant sales and traffic trends are consistent with the previous month and at our annual seasonal lows — should pick up again in December. We continue to trend positive to pre-pandemic and last year</t>
  </si>
  <si>
    <t>Opportunities across the construction industry remains strong. The labor market for skilled trades workers is tight</t>
  </si>
  <si>
    <t>Supplies and merchandise are holding steady</t>
  </si>
  <si>
    <t>Business conditions remain steady to the end of 2023. Annual cost escalations are a bit higher than planned, more than 5 percent versus 3 percent due to overall economic conditions and concerns</t>
  </si>
  <si>
    <t>Signs of recovery are on the horizon — (profit) margins remain tight, but revenue is improving and labor appears to be stabilizing. Supply chains are operating well, but a few major manufacturers continue to show signs of constraints that have persisted for some time. Capital investment remains constrained; however, optimism has returned for a turnaround in calendar year 2024</t>
  </si>
  <si>
    <t>There are fewer new projects in comparison to last month and November 2022. Customers are not requesting quotes for new services</t>
  </si>
  <si>
    <t>Customers are conservative in spending, so competition to maintain market share is tight</t>
  </si>
  <si>
    <t>Fourth-quarter revenues lower than projected. Seeing negative revenues trend into the first quarter of the new year. We remain positive yet concerned about 2024</t>
  </si>
  <si>
    <t>Prices for most items increasing, but only slightly. Increase in pricing for services much more noticeable and impactful on the organization</t>
  </si>
  <si>
    <t>Candidate expectations during the hiring process have made staffing up more difficult</t>
  </si>
  <si>
    <t>Solid activity heading into the final stretch of the fourth quarter</t>
  </si>
  <si>
    <t>Labor, equipment and material price escalation requests are increasing, both through existing contracts as well as re-pricing of markets via requests for proposal</t>
  </si>
  <si>
    <t>A comparably flat month of business activity — no major swings one way or the other. Inventories in our extended supply chain look healthy, and fill rates are improving</t>
  </si>
  <si>
    <t>Anticipation of the U.S. Federal Reserve holding off on interest-rate changes will encourage more companies to spend on capital investments again. As budgets get approval after the start of the calendar year, this should help drive investment and increase manufacturing activity once again.</t>
  </si>
  <si>
    <t>Overall, order intake has picked up over the last quarter and a backlog of projects is beginning to accumulate.</t>
  </si>
  <si>
    <t>Demand is up across the board. We are starting to see back orders grow again.</t>
  </si>
  <si>
    <t>Commodity costs are decreasing. Supply is readily available, and customers are still ordering to last year's volumes.</t>
  </si>
  <si>
    <t>Business is slowing. Finished goods inventories are growing.</t>
  </si>
  <si>
    <t>We are forecasting a somewhat strong year for 2024. We're currently mildly optimistic for how next year will play out.</t>
  </si>
  <si>
    <t>We are seeing stronger demand from our American Automotive OEM customers now that the United Auto Workers (UAW) strike has been resolved. Looking at a very strong first quarter of 2024.</t>
  </si>
  <si>
    <t>Higher financing costs have diminished demand for residential investment. Customers are delaying a portion of their plans until borrowing costs are reduced. We are impacted with reduced new orders, diminished backlog of orders and uncertain short-term demand for products and services.</t>
  </si>
  <si>
    <t>Finishing the year similar to 2022; however, 2023 was more erratic. Working to restore inventory position to ensure we have appropriate safety stock.</t>
  </si>
  <si>
    <t>Business conditions are good; sales and production are tracking in accordance with forecasts.</t>
  </si>
  <si>
    <t>Congestion at the Panama Canal is expected to continue for the next several months. The effect of this is rerouting marine cargoes at the expense of cost and schedule</t>
  </si>
  <si>
    <t>Pricing has become more favorable, in increments. However, beef prices are still high. Petroleum continues to fluctuate. Services has come down slightly, but hourly rates are still higher than pre-pandemic (levels).</t>
  </si>
  <si>
    <t>Business conditions are generally good, except for a short supply of major electrical components</t>
  </si>
  <si>
    <t>Revenues remain strong but labor is still constrained, and suppliers are floating price increases beginning January 1, which will likely further reduce already low operating margins. Supply chains appear to be operating closer to pre-pandemic norms and remain mostly stable. Our primary goal for calendar year 2024 is expense reduction across the board, including for supplies and services as well as through eliminating non-value-added pursuits.</t>
  </si>
  <si>
    <t>If interest rates go down, investment borrowing will increase, as will orders for services.</t>
  </si>
  <si>
    <t>Production and sales are up, and prices are down.</t>
  </si>
  <si>
    <t>Hiring of direct employees, consultants and contract workers remains flat across most industries as the holiday season is in full swing and economic concerns persist. Companies are taking a wait-and-see approach to increasing labor costs as they continue to try to do more work with less people.</t>
  </si>
  <si>
    <t>Final push for the holidays. The supply chain and sales are strong — pricing stable.</t>
  </si>
  <si>
    <t>We have seen a typical slow seasonal change in business. This is not unexpected and remains at a higher level than in the previous two years</t>
  </si>
  <si>
    <t>There is more stability in the supply chain for the first time since early 2020. Overall level of business activity is still relatively high.</t>
  </si>
  <si>
    <t>Business is still robust in our area, despite the normal holiday lull. We should see business resume after the first of the year if good weather prevails. Mortgage rates are continuing to fall, which is aiding in affordability. I think the first quarter will yield good demand.</t>
  </si>
  <si>
    <t>The start of 2024 looks good. Sales are above expectations, and costs are mostly stable. A few commodities are up in cost due to supply shortages. Many previously short commodities market positions have corrected themselves. There is a real short-term increase in the cost of international freight.</t>
  </si>
  <si>
    <t>The commercial vehicle market appears to be retracting a bit in 2024 compared to last year. Forecast sales have decreased slightly in most product segments, with only limited growth related to customers’ competitive sourcing and moves to new technology. Most supply chains, including for semiconductors, have stabilized, with the only major escalation now being transit through the Red Sea.</t>
  </si>
  <si>
    <t>Business continues to stabilize. Cash flow will be tight in 2024.</t>
  </si>
  <si>
    <t>U.S. economic outlook is affecting customer orders, and the current backlog is quite low compared to past quarters. Waiting on potential improvements from the CHIPS and Science Act.</t>
  </si>
  <si>
    <t>December sales were very strong but slower for the first part of January, as was expected. We expect to see steady sales going forward, if the (U.S. Federal Reserve) continues to hold rates and suggests a rate cut in the future.</t>
  </si>
  <si>
    <t>Good start to the year. We had budgeted a 3.5-percent increase over 2023. We expect it to be a challenging year. Currently, orders are positive in our automotive OEM and automotive aftermarket business. Our industrial business sector is looking weak at the moment. Still expect to achieve budget forecasts through the first quarter. (We) feel January is running high for automotive because at the end of December, many OEMs cancelled the last few weeks of orders to reduce inventory levels.</t>
  </si>
  <si>
    <t>Order backlog, which was at historically high levels, is diminishing due to supply chain improvements and slight slowdown of orders.</t>
  </si>
  <si>
    <t>Demand continues to be slow. Reduction from the second half of 2023 has continued into this year. We are adjusting production to match demand.</t>
  </si>
  <si>
    <t>Current industry conditions are positive; however, a note of caution as we see potential headwinds with downward price movements in the coming months.</t>
  </si>
  <si>
    <t>Remarkable slowdown in business in December. January has picked up, but not to previous-year levels.</t>
  </si>
  <si>
    <t>Supply chain disruptions forced a change to min/max (inventory calculations) to assure on-time materials; now that most disruptions are over, those calculations are being normalized, which will slow down ordering while inventories right-size. The district is seeing higher-than-normal turnover as workers are being aggressively pursued by districts offering higher wages. Water sales are lower than expected due to unseasonably cool weather. This will put pressure on rates, along with an increase in wages in order to attract and retain quality employees.</t>
  </si>
  <si>
    <t>Transportation impacts of the Suez Canal, due to unrest in the Red Sea and the issues at the Panama Canal are impacting both costs and schedules for the transport of global goods</t>
  </si>
  <si>
    <t>Last year was tough for our business. We are hoping that the economy improves and things stabilize in 2024. It’s a presidential election year, so we’re hopeful</t>
  </si>
  <si>
    <t>Economy signals are mixed. Some sectors are booming and some — like solar and wind power, ship building and electric vehicles — are slowing down. Other downward-trending sectors are iron and steel, paper and communication equipment. But overall, the economy is in good shape and there is no imminent threat of a recession.</t>
  </si>
  <si>
    <t>Economic indicators generally look good; however, there is still some uncertainty. We continue to see more demand for our services, but this may not be indicative: Our services are always more in demand when the economy is worse than when it is better. It would be amiss not to mention that we are still seeing the effect of people returning to offices, which impacts demand. Though demand has continually increased, it is not at pre-pandemic levels.</t>
  </si>
  <si>
    <t>Increase in activity; expecting a busy 2024.</t>
  </si>
  <si>
    <t>Most companies I work with are gearing up for a tough 2024. Some may be overreacting, but there is a general sense that election years in the U.S. result in unrest, which is causing everyone to be conservative with spend.</t>
  </si>
  <si>
    <t>The writers and actors strike has impacted our business significantly. This will not be a great year for movie exhibitors.</t>
  </si>
  <si>
    <t>Respiratory sicknesses — COVID-19, RSV (respiratory syncytial virus) and flu — continue to keep our facility hopping to treat patients.</t>
  </si>
  <si>
    <t>(Looking to rebound) after a significant downturn in December, which was likely due to extended plant shutdowns, customer inventory burns and lingering effects from the United Auto Workers (UAW) strike.</t>
  </si>
  <si>
    <t>Currently seeing increasing sales in our business. Most delivery dates are in the second quarter of 2024.</t>
  </si>
  <si>
    <t>The first quarter will be slower due to some customer order changes, but we are expecting the rest of 2024 to be strong. We may increase our growth projections</t>
  </si>
  <si>
    <t>Typical first quarter volume drops from fourth quarter high volumes. Additional distribution has allowed us to maintain consistent production shifts</t>
  </si>
  <si>
    <t>Customer softness continues in China, Japan and Europe</t>
  </si>
  <si>
    <t>Demand has finally picked up, with customer orders more closely resembling typical January and February levels. January was up 22 percent compared to December; February up 26 percent compared to January</t>
  </si>
  <si>
    <t>Customer orders are steady, neither up nor down compared to last month. This steady state is what we budgeted and forecast. We are forecasting business to increase 2 percent to 4 percent over the next couple of months</t>
  </si>
  <si>
    <t>Business outlook overall is stable. Working through customer backlog with some raw material lead times improving</t>
  </si>
  <si>
    <t>We reflected on 2023 for maybe a minute and turned the page forward to 2024. Weather in January caused several operations to be idle, and shipments were affected</t>
  </si>
  <si>
    <t>The month seems to be getting stronger with each passing day and week. Lots of market volatility —pricing flat to downward. It will be interesting to see how the last days of the month play out, as indications seem to be all over the place</t>
  </si>
  <si>
    <t>We are experiencing increased sales, which is putting pressure on the plant and assembly to meet new customer demand</t>
  </si>
  <si>
    <t>Red Sea issues have not yet impacted our purchasing conditions, but we continue to monitor the situation very closely</t>
  </si>
  <si>
    <t>Business remains strong across the U.S. industrial construction sector. Construction materials levels have returned to pre-coronavirus pandemic levels, and the outlook for 2024 is strong</t>
  </si>
  <si>
    <t>Continued inflationary pressures and labor price increases are challenging, but we continue to push forward</t>
  </si>
  <si>
    <t>Employers remain cautious about hiring direct employees and are considering utilizing contract labor to cover project and interim work demands as concerns about the economy continue to be front of mind</t>
  </si>
  <si>
    <t>Commodity prices have dropped in the last quarter, although they have been range-bound over the last year. Production continues steady increase</t>
  </si>
  <si>
    <t>We are experiencing stabilization from external economic influences. The past 12 months brought significant external shifts that resulted in fairly sizable changes to business objectives and financials. Now that we have absorbed changes and restructured strategic plans, we are on a course for a successful 2024</t>
  </si>
  <si>
    <t>Economy seems unsettled. Inflationary fears persist, yet some things are settling down. High demand for services, although inquiries from contractors for opportunities seem to be only inching upward. Layoffs in many large industries, but many businesses are desperate for workers. Lots of contradictions</t>
  </si>
  <si>
    <t>Business is good. Inflation is under control and trending downward. Pricing of commodities is going up at a slower pace. Manufacturing is good, with no sign of any change in the near future</t>
  </si>
  <si>
    <t>Labor continues to be in highest demand. Finding qualified and available crews and administrative staff (is still) difficult. Brass fittings and electrical equipment lead times are still very long</t>
  </si>
  <si>
    <t>Moderate increases in business activity so far. Improved supplier fill rates and steady pricing have resulted in increased levels of restocking as businesses prepare for spring and summer selling seasons</t>
  </si>
  <si>
    <t>Performance continues to defy projections of a downturn in activity. Demand remains strong, and the pipeline for orders is robust</t>
  </si>
  <si>
    <t>Expecting to see orders and production pick up for the second quarter. Suppliers are working with us to help drive costs down, which will help improve the margin for the rest of the year and deliver growth in 2025</t>
  </si>
  <si>
    <t>Commodity prices continue to hold steady</t>
  </si>
  <si>
    <t>Demand remains soft, but optimism is high that orders are ‘just on the horizon.’ Expectations are for a strong second quarter. Supply chain issues are minimal, with only semiconductors and select electronic parts being an issue</t>
  </si>
  <si>
    <t>Noticing an increase in suppliers’ selectiveness regarding orders they quote and take. Additionally, there’s been a noticeable increase in manufacturing companies targeted for acquisition by larger entities (established companies, investment firms and the like)</t>
  </si>
  <si>
    <t>Business is still strong — we are meeting and exceeding our forecasts. So far, we’re not hearing anything negative with our customers as far as ongoing business is concerned — it’s the same for raw material suppliers, nothing negative</t>
  </si>
  <si>
    <t>As an energy-intensive manufacturer, energy pricing continues to be a concern for our business. The move to electrification has increased demand, and supply is not stable because we’re not in an ideal geography for wind and solar power</t>
  </si>
  <si>
    <t>The potential aftermaths of the presidential election are beginning to impact conversations and negotiations of long-term agreements/contracts</t>
  </si>
  <si>
    <t>Continue to experience a softness in the industrial sector. There is optimism that order activity will increase in the late second quarter, leading to improvement in this segment for the second half of the year. The aerospace and defense market is continuing to ramp up, and demand is outpacing supply in our supply chain</t>
  </si>
  <si>
    <t>Business activity is up. Many manufacturers are anticipating better business in the second quarter and much better in the third quarter. They are reporting that second-quarter bookings are just starting to ramp up.</t>
  </si>
  <si>
    <t>The Red Sea turmoil is still not a notable challenge on supply for our sector, but we’re watching carefully for disruption risk. Also, the unrest in Haiti carries potential risk for the garment industry.</t>
  </si>
  <si>
    <t>Our market is shaping up to be the first normal year since the start of COVID-19. Volumes were down in 2022 and 2023. A price correction was made last year, setting up sales to move back to historical volumes.</t>
  </si>
  <si>
    <t>National business conditions remain strong in the industrial construction market. Labor is still tight across the country for skilled trades positions</t>
  </si>
  <si>
    <t>We are experiencing a budget shortfall, like many of our peers in higher education, so our spending will be down at the end of this fiscal year (June 30). Hiring is at a much slower pace as well, and we are still experiencing high employee turnover. Public opinion on the value of higher education compared to the cost is having an impact on our enrollment</t>
  </si>
  <si>
    <t>With the housing market continuing to stabilize, more mortgage inquiries are being made since my company opened up its mortgage loan program to loans other than Veterans Affairs loans</t>
  </si>
  <si>
    <t>Continued inflationary pressure across multiple clinical device categories as contracts expire or are renewed</t>
  </si>
  <si>
    <t>Activity level holding steady for oil and gas</t>
  </si>
  <si>
    <t>Our company and industry continue to pull back to prepare for economic volatility in the second half of the year. Cost reduction initiatives remain a top-five company objective, even in a high-growth environment</t>
  </si>
  <si>
    <t>Product supply chain is calm, and pricing steady. We are in slack time between seasons and use this time to prepare for spring/summer business. Challenges with employee retention in a few areas; however, turnover is only a few percent beyond target levels</t>
  </si>
  <si>
    <t>Lead times and supply are improving, but several strategic items remain difficult to procure</t>
  </si>
  <si>
    <t>Conditions are improving as demand is starting to recover. Costs continue to be a major concern as suppliers that rapidly increased prices in the follow-up from COVID-19 are slow to return to pre-pandemic levels</t>
  </si>
  <si>
    <t>Sales continue to exceed expectations in 2024. The forecasted dip in commercial vehicle production volumes appears to be avoided. Operational output is still strong, and the supply chain has the capacity to support. International supply chain risks have been minimized, but the frequency of supplier insolvencies or bankruptcies appears to be increasing</t>
  </si>
  <si>
    <t>Order flow has stabilized. It took some customers longer to replenish their supply chain network after the fourth-quarter rush we commonly have. Order rates are expected to remain stable through August</t>
  </si>
  <si>
    <t>Some small indications of market improvement in China for our instruments and technology. Recovery is still slower than we had hoped, and macroeconomic uncertainty remains in Europe and the Middle East, as well as domestically in the U.S. with ongoing inflationary pressures and anticipation for the (upcoming) election</t>
  </si>
  <si>
    <t>Market conditions have definitely softened. Thankfully, our backlog is strong and will get us through the year. When conditions improve as expected later this year, we will be in a good position to continue building the business. We are a manufacturer of automated packaging equipment for the food and beverage industry, and with a continued shortage of workers, our customers are requiring more and more automation</t>
  </si>
  <si>
    <t>Business is slowing down — it has been a gradual decline for the last several months. We are not seeing new orders at last year’s level, or at this year’s budgeted levels</t>
  </si>
  <si>
    <t>There has been a lot of volatility in sales. On average, our sales look flat, but the volatility is concerning</t>
  </si>
  <si>
    <t>Business remained strong through the first quarter and has started strong for the second quarter. Commercial construction is still going well but on a regional basis, with the Southeast the strongest</t>
  </si>
  <si>
    <t>The major factor affecting our business is the uncertainty of the Federal Reserve’s handling of interest rates, which will affect our customers’ businesses, thereby affecting ours</t>
  </si>
  <si>
    <t>Business is stable, and orders have been consistent. We’re quoting new business for the factory, and automotive builds continue at averages but not near maximum outputs. Workforce is stable, with the turnover ratio dropping considerably. Salaries and hourly rates increasing to meet inflationary pressures</t>
  </si>
  <si>
    <t>Steady improvement toward lower costs in food and beverages; however, avian bird flu may affect pricing moving forward. Already seeing increases in chicken and eggs. In the technology space, prices are not decreasing but holding steady</t>
  </si>
  <si>
    <t>Movie production is recovering, which should increase volume in movie theaters in the second half of 2024</t>
  </si>
  <si>
    <t>Although it varies by global region, we’re starting to see market softening in terms of price and lead time stability. That bidders are providing reasonable bid validities is an indication that much of the supply chain is coming into supply and demand equilibrium. Electrical equipment remains the outlier</t>
  </si>
  <si>
    <t>Inflation is raising our unit cost on products and services when compared to last year’s expenditures.</t>
  </si>
  <si>
    <t>Continue to be challenged with inflationary pressure through labor and service cost increases, but we are working hard at finding utilization savings to offset where possible.</t>
  </si>
  <si>
    <t>Business remains soft</t>
  </si>
  <si>
    <t>We are still experiencing supply chain challenges with increased costs of raw materials, particularly chemicals and their containers, as well as higher U.S. and overseas freight transportation costs. A containers shortage has increased costs and slowed down the supply chain.</t>
  </si>
  <si>
    <t>Steady demand has been favorable during this traditionally slower season. Pricing is stable and the supply chain is strong. Employee recruitment and retention has been a challenge in some areas; however, the situation isn’t critical.” [Retail Trade]
“Construction, administrative and technical/scientific labor are in high demand. Long lead times for brass plumbing fittings and electrical equipment and components.</t>
  </si>
  <si>
    <t>The overall market has definitely slowed down. Our business is up year over year and month over month; based on our advanced analytics, we know that growth is coming from new customers. This means we are taking market share from our competitors.</t>
  </si>
  <si>
    <t>Steady demand has been favorable during this traditionally slower season. Pricing is stable and the supply chain is strong. Employee recruitment and retention has been a challenge in some areas; however, the situation isn’t critical.</t>
  </si>
  <si>
    <t>Seems like a minor slowdown is happening. With less spending in the economy, less pressure on us for our products</t>
  </si>
  <si>
    <t>Business conditions are pacing with budget and forecast for 2024. Certain markets are soft, but others are ahead of forecast, allowing us to maintain overall. Concerns with the economy continue to drive business decisions</t>
  </si>
  <si>
    <t>Volume continues to be challenging, mostly due to inflationary impacts</t>
  </si>
  <si>
    <t>Orders have started to rebound, but inventory levels remain high enough for no impact on our supplier orders. It will take a few more strong months before supplier orders are reactivated or increased</t>
  </si>
  <si>
    <t>Backlog is dwindling as we get caught up on orders; new orders are not coming in as robust as the backlog is going down. Inflation continues to be a problem with pricing of raw material and interest rates. We expect a flat rest of calendar year 2024, especially given that it’s a presidential election year</t>
  </si>
  <si>
    <t>Export shipments continue to be soft as capital equipment sales remain lower than forecast. As a result, production is also trending lower and inventory that is not able to be pushed out is growing</t>
  </si>
  <si>
    <t>Demand has been strong the first few months — ahead of budget, consistent with last year. Bookings are starting to slow down for May and June. We are monitoring this data closely to determine if it is a sign of decline or our typical cyclical demand</t>
  </si>
  <si>
    <t>Business is picking up, with incoming bookings increasing</t>
  </si>
  <si>
    <t>Overall softening of markets for the month of June. Some impacts on a regional basis with the continued weather in the northeast, south and southeast regions. Delays in shipments continue across multiple regions</t>
  </si>
  <si>
    <t>General concern about overall industry economics. Pricing weakness continues, and we anticipate more headwinds in the coming months for spot orders and inflation. Contract order book remains steady</t>
  </si>
  <si>
    <t>The last month has brought a level of stability not seen is some time. Recent news of the Biden administration’s tariff actions is of high concern on disruption, with little information on the exclusion process when it comes to which materials and products will actually be impacted</t>
  </si>
  <si>
    <t>Higher interest rates are reducing capital investment and slowing down major facility upgrades</t>
  </si>
  <si>
    <t>Residential construction continues to struggle, with high mortgage rates on the for-sale side. Higher interest rates are driving up the cost of capital and making ‘build to rent’ projects harder to pencil. Building season is getting into full swing, but higher lumber prices — especially oriented strand board (OSB) panels — have pinched margins</t>
  </si>
  <si>
    <t>Some items continue to be hard to keep at proper levels in inventory: syringes, sterile water and normal saline. Some paper towels for dispensers are even being back-ordered</t>
  </si>
  <si>
    <t>Companies in most industries continue to be deliberate with employee and nonemployee labor hiring decisions. Concerns about the upcoming election loom large, as well as uncertainty around the current economic climate, particularly inflation</t>
  </si>
  <si>
    <t>General uncertainty regarding the U.S. Federal Reserve’s position on future interest rates and the current political environment is affecting consumer sentiment</t>
  </si>
  <si>
    <t>Continuing apprehension regarding construction contractors’ capacity and increasing price of projects. Often, bid prices are exceeding engineer and budget estimates</t>
  </si>
  <si>
    <t>Slowdown in economy being felt</t>
  </si>
  <si>
    <t>In general, business has been steady. Hiring is slowing and prices are slightly climbing</t>
  </si>
  <si>
    <t>We are making adjustments to our employment level, capital investing strategies, and managing borrowed debt to achieve our 2024 financial goals</t>
  </si>
  <si>
    <t>High food costs having an impact on customer demand and resulting in flat business overall. Business activity stable. Supplier costs continue to soften</t>
  </si>
  <si>
    <t>High volume of customer orders</t>
  </si>
  <si>
    <t>Customers continue to cut orders with short notice, causing a ripple effect throughout lower-tier suppliers</t>
  </si>
  <si>
    <t>Consumer demand and inventories are no longer stable at retail and food service establishments</t>
  </si>
  <si>
    <t>While orders are still steady, inventory from the previous month is enough to satisfy current- and near-term commitments</t>
  </si>
  <si>
    <t>Customers ordering more to create buffer stocks (in case of) future shortages</t>
  </si>
  <si>
    <t>Order levels in two of our main divisions are indicating weak demand, and now we must work to reduce inventory levels</t>
  </si>
  <si>
    <t>Sales backlog is decreasing. We have furloughed a portion of our workforce as a result</t>
  </si>
  <si>
    <t>The level of production is lower due to decreased demand for products</t>
  </si>
  <si>
    <t>Elevated financing costs have dampened demand for residential investment. We have reduced inventories of production components</t>
  </si>
  <si>
    <t>Orders have increased slightly due to seasonal restocking</t>
  </si>
  <si>
    <t>Sales and traffic remain soft compared to last year. High gas prices in California and constant news about inflation and restaurant menu prices are culprits</t>
  </si>
  <si>
    <t>Costs seem to have stabilized but are still higher. The company is holding steady to see what the election will hold</t>
  </si>
  <si>
    <t>Currently, our operations are normal, but we are experiencing slightly higher costs due to the increase in fuel. We are at the end of our fiscal year, when an increase in expenditures is typical</t>
  </si>
  <si>
    <t>Steady, with no major shifts in pricing or availability of services</t>
  </si>
  <si>
    <t>Demand for services has moderated after near-record patient levels in the last month</t>
  </si>
  <si>
    <t>We are still experiencing supply chain challenges with the increased cost of chemicals, as well as the domestic and overseas freight costs associated with them</t>
  </si>
  <si>
    <t>Slightly higher prices across the board, but less pricing pressure for some items. Still long lead times for heavy equipment, fire apparatus, ambulances and the like</t>
  </si>
  <si>
    <t>Inflation continues to be a general concern for both purchasers and sellers. For example, with inflation continuing, will customers have enough discretionary funds to spend?</t>
  </si>
  <si>
    <t>Supply issues have calmed down. Prices on many products remain high, with no sign of decreases</t>
  </si>
  <si>
    <t>Market seems to be slowing in June. This is complicated by increased ocean freight rates and tight container bookings</t>
  </si>
  <si>
    <t>Business is relatively flat — the same volume, but smaller orders</t>
  </si>
  <si>
    <t>Demand continued to soften into the second half of the year. Supply chain pipelines and inventories remain full, reducing the need for overtime. Geopolitical issues between China and Taiwan as well as the election in November remain weighing concerns</t>
  </si>
  <si>
    <t>Even though we are used to a seasonal reduction in business over the summer, consumer behavior is changing more than normal. Sales are lighter, and customer orders are coming in under forecasts. It seems consumers are starting to pull back on spending</t>
  </si>
  <si>
    <t>Availability of parts is good, with small exceptions of missing materials here and there. Ordering is still well below typical levels as we continue to burn down inventory of raw goods, with ‘normal’ ordering trends expected to return sometime in the second half of 2024</t>
  </si>
  <si>
    <t>It seems that the economy is slowing down significantly. The number of sales calls received from new suppliers is increasing significantly. Our own order backlog is also diminishing. We are hoping for an increase in customer demand, or we will possibly need to make organizational changes</t>
  </si>
  <si>
    <t>Unfortunately, our business is experiencing the sharpest decline in order levels in a year. We were well below our budget target in June; as a result, it was the first month this year that we had negative net income</t>
  </si>
  <si>
    <t>Business is slowing, and we are taking cost actions</t>
  </si>
  <si>
    <t>Some markets that are usually unwavering are showing weakness. Weather is the common factor, but only so much</t>
  </si>
  <si>
    <t>Our sales forecast for July and August are slow, but we’re making every attempt to remedy that situation. Our medical end-user customers continue to meet their forecasts, which is promising</t>
  </si>
  <si>
    <t>Elevated financing costs have dampened demand for residential investment. This has reduced our need for component products and inventory</t>
  </si>
  <si>
    <t>As was the case in June, restaurant sales and traffic remain flat compared to last year. A heat wave in California, rising gas prices and general angst about menu prices have tempered consumer demand</t>
  </si>
  <si>
    <t>Business in 2024 has been steady. The length of our busy season — typically March to mid-June — has extended into mid-July. Volumes have not increased considerably, but the consistency of shipments has been a benefit to our supply chain</t>
  </si>
  <si>
    <t>Business is strong in our industry, water treatment. Prices have been fairly flat, but there’s some pressure from increasing costs</t>
  </si>
  <si>
    <t>While interest rates on home loans continue to change dramatically at times, the number of members requesting loans has remained relatively steady</t>
  </si>
  <si>
    <t>Inflation markups have been issued from suppliers</t>
  </si>
  <si>
    <t>Business conditions seem to be stable at this time</t>
  </si>
  <si>
    <t>Our main market is the U.S. Due to the election year, new projects are not moving forward as expected. Many of our customers are waiting for the election results to develop new projects</t>
  </si>
  <si>
    <t>High interest rates continue to affect long-term buying decisions</t>
  </si>
  <si>
    <t>Cost of construction services continues to be above predicted budget. Materials deliveries are reliably on time</t>
  </si>
  <si>
    <t>High food costs are having an impact on customer demand and resulting in flat business overall. Business activity stable. Supplier costs also flat in general</t>
  </si>
  <si>
    <t>A noticeable slowdown in business activity. Staffing and production rationalization has been triggered. Previous optimism about future growth has been dashed</t>
  </si>
  <si>
    <t>Backlog has dropped in half as invoicing remains strong, but orders have slowed significantly. Hoping to see orders pick back up for the fourth quarter and into 2025 but expect third quarter to remain slow for incoming orders</t>
  </si>
  <si>
    <t>After a slow start and lower year-over-year sales volume during the first half of the year, we are now seeing a mild increase in year-over-year sales volume, along with more steady growth</t>
  </si>
  <si>
    <t>Business outlook is good. Recovery from the electronics slowdown is strong for the second half of the year</t>
  </si>
  <si>
    <t>New order intake is sluggish at best. Interestingly, even though orders are down, inquiries are up. Customers have indicated capital has been approved for equipment purchases, but they were directed to put projects on hold until the fourth quarter of 2024. This indicates the uncertainty around the election. We anticipate a strong end of the year, with a rise in backlog going into 2025</t>
  </si>
  <si>
    <t>Our order levels are on a slow, steady decline; it looks like the trend will continue through the end of the year. We are downsizing through attrition and not hiring backfills, but there have been no layoffs to date. The bright spot is a few customer programs have helped increase orders for parts, resulting in some production areas to be very busy while others have little work. Redeploying people where we can</t>
  </si>
  <si>
    <t>New orders continue to be strong, and inventories are slightly down as a result. Supplier lead times seem to be creeping back up in certain categories</t>
  </si>
  <si>
    <t>Business is cooling down, and we don’t expect a rebound until after the election is over. As we build our 2025 budget, we continue to have deep concerns about the added environmental costs on energy</t>
  </si>
  <si>
    <t>Order book remains strong for now. We are preparing for a slowdown in U.S. auto sales. We are running overtime to keep pace, as hiring hourly employees has been difficult. Some walk off the job within hours because they cannot handle factory work</t>
  </si>
  <si>
    <t>High interest rates are curtailing consumer spending on large discretionary spending for furniture, cabinetry, flooring and decorative trim, which has affected our industry sales potential. At the same time, pent-up demand seems to be growing for housing and remodeling. Interest rate cuts may not happen soon enough to have an impact this year</t>
  </si>
  <si>
    <t>Generally, business is good. However, there are concerns of slowing foot traffic at restaurants and other venues where our products are sold</t>
  </si>
  <si>
    <t>Housing market continues to be dampened by higher borrowing costs. All segments of the industry are affected. Single-family homes for sale, build for rent, and multifamily units are all feeling the effects</t>
  </si>
  <si>
    <t>Activity is increasing</t>
  </si>
  <si>
    <t>Business continues to be strong</t>
  </si>
  <si>
    <t>Overall business is improving</t>
  </si>
  <si>
    <t>Hiring of employees, contractors and consultants continues to decline as companies look to control costs during a period of economic and political uncertainty. Employee layoffs continue across a broad range of companies and industries</t>
  </si>
  <si>
    <t>Business has slowed, and it is harder than ever to find talent, but less jobs available as well</t>
  </si>
  <si>
    <t>Up in business and activity</t>
  </si>
  <si>
    <t>Steady interest rates are impacting investment in nonregulated business silos</t>
  </si>
  <si>
    <t>High food costs are impacting customer demand, and weak sales performance has resulted in negative growth overall. Business activity is stable, and supplier costs are generally flat</t>
  </si>
  <si>
    <t>North America demand has started to weaken. Asian demand is slightly higher but shows signs of weakness in future months. Comments tied to automotive builds</t>
  </si>
  <si>
    <t>Global demand continues to remain soft. Fourth-quarter forecasts have been further reduced, with several new programs shifted from 2024 to 2025. Manpower, working capital and supplies are being flexed down in response. The previously anticipated shift from internal combustion engine to electric vehicle (EV) technology has been pushed out due to market response. Long-range plans are being adjusted to incorporate traditional products for longer, while new EV product offerings are being planned for slower rollouts</t>
  </si>
  <si>
    <t>The second half of 2024 is trending upward enough to more than compensate for the year-over-year losses we experienced in the first half. We are anticipating a record sales volume for 2024</t>
  </si>
  <si>
    <t>The strategy of customer push-outs last year enabled those customers to adapt to the market. Now, while most companies are seeing a slowdown, we are seeing solid growth. The general slowdown in the economy is allowing for prices to continue to stabilize</t>
  </si>
  <si>
    <t>A continuing low order rate is resulting in ongoing manufacturing adjustments to balance output with demand</t>
  </si>
  <si>
    <t>The fourth quarter is slower than anticipated. We won’t realize the effect of interest rate adjustments with new project starts until the first quarter of 2025</t>
  </si>
  <si>
    <t>Business is flat. Waiting for interest rates to drop and the election outcome in November before we confirm our 2025 plans. Currently planning on a flat 2025</t>
  </si>
  <si>
    <t>Our sales continue to be flat. Our customers are telling us that although our products perform very well, they are forced to seek lower-cost components to maintain their sales</t>
  </si>
  <si>
    <t>Sales have slowed this quarter compared to the same time period last year. Adjusting production accordingly</t>
  </si>
  <si>
    <t>Still hiring to fill vacant positions in production/management. Not adding new jobs. Automotive original equipment manufacturers (OEMs) are starting to slow or cancel orders. The pace is slowing.</t>
  </si>
  <si>
    <t>Overall, economic factors are somewhat stable in the last month. Volatility was limited, based more on seasonal aspects than geopolitical issues or election season. That stability may be short-lived due to looming port labor issues heading into October</t>
  </si>
  <si>
    <t>Business has been flat over the past three to six months, with concerns over growth in the near term</t>
  </si>
  <si>
    <t>Housing construction continues to struggle with high interest rates. While the recent half-point cut is encouraging, it may take another 150 basis points to move the needle in sales. Labor and heating, ventilation and air conditioning (HVAC) regulations continue to be a drag on construction last month</t>
  </si>
  <si>
    <t>Interest rates in both the housing and auto markets have been steadily declining, leading to a slight increase in auto and home loan applications</t>
  </si>
  <si>
    <t>Back orders from manufacturers have increased, resulting in supply constraints</t>
  </si>
  <si>
    <t>New projects have not been consolidated in the U.S., which has led my organization to cut costs, especially by dismissing employees from departments with a lower activity volume</t>
  </si>
  <si>
    <t>There is concern over the economy, and it feels like a lot of people are waiting to see which way the election goes in November before making a solid plan for 2025 and beyond</t>
  </si>
  <si>
    <t>Prices remaining mostly steady, with a significant increase in fiscal year-end spending</t>
  </si>
  <si>
    <t>Starting to see positive year-over-year change in sales. Slow but steady</t>
  </si>
  <si>
    <t>Sales have slowed a bit, with customers possibly holding back on new projects and awaiting the outcome of the presidential election</t>
  </si>
  <si>
    <t>Right-sizing continues. Contingency plans have been formulated to anticipate trade policies that will impose tariffs on key materials.</t>
  </si>
  <si>
    <t>Market demand has significantly decreased in the second half of 2024 and is expected to be soft through the first quarter of 2025. Although inflation has stabilized and returned to historical levels, and interest rates are decreasing, there appears to be a general pessimism in the economy that is driving customers to be more restrictive in their capital expenditures, including investment in commercial vehicles. Uncertainty in the outcome of the upcoming election has resulted in several risk analysis studies to be prepared, particularly focused on the future of the electric vehicle (EV) migration and trade restrictions/penalties.</t>
  </si>
  <si>
    <t>Heavy volumes for October have been extended into November to cover our record-breaking sales volume for this quarter</t>
  </si>
  <si>
    <t>Business is picking up; outlook is optimistic, but not great</t>
  </si>
  <si>
    <t>Sales have been very slow the past six months. Interestingly, though, inquiries are up more than 30 percent from a year ago. This indicates there is pent-up demand, but customers are skittish about national and global economic conditions. We are hearing directly from customers that they need to order equipment to satisfy their requirements but are going to keep projects as long as possible before pulling the trigger</t>
  </si>
  <si>
    <t>Business levels remain depressed. It feels like a ‘wait and see’ environment regarding where the economy is heading; customers don't want to commit to inventory, which is resulting in lower order levels.</t>
  </si>
  <si>
    <t>Overall projections are that business will remain strong through the fourth quarter. Some order increases are starting, and a lot more projects are slated for the first quarter of 2025. Will demand be there to support it?</t>
  </si>
  <si>
    <t>This has been an interesting fourth quarter already. The port strikes, hurricanes and election will all affect us in some way. Our industry is energy intensive, so our largest concern is the national and state mandates toward electrification. Electrical components were already in short supply, and with the substation and power line damages, we expect the electrical supply chain will be even worse. Components for green energy projects will be further delayed, but we don't expect the environmental mandates to be delayed.</t>
  </si>
  <si>
    <t>The potential port strike sent ripple effects through our industry. We have several large imports occurring in January, which created anxiety around critical components being delivered on time for a large, planned capital project. The three recent hurricanes missed large manufacturing hubs on the Gulf Coast but have still caused minor delays</t>
  </si>
  <si>
    <t>The seasonal business cycle is as planned: Consumer confidence in building materials remains relatively strong, and expectations are for continued growth into 2025 due to reduced interest rates and the potential for further small cuts</t>
  </si>
  <si>
    <t>Material availability and delivery continues to improve. The port strike had an impact, as we had to divert shipments, but the overall costs are not material. Services cost remains elevated but easier to negotiate</t>
  </si>
  <si>
    <t>Monitoring inventories much closer than in the past. We’re refilling inventories for the fall and winter seasons are lower level than normal, but those decisions are easy to understand</t>
  </si>
  <si>
    <t>Business is good. Building backlog. Commercial Construction is strong. Commercial Service is busy. All other areas are level</t>
  </si>
  <si>
    <t>Hurricane Helene seriously damaged an IV production plant in North Carolina, which was 60 percent of all national supply of IV bag fluid/solution. We are now starting to experience shortages. In addition, two hurricanes hit Florida, which impacted many of our lab vendors. Plus, the port workers’ strike impacts shipments of materials that our (U.S.) labs use to manufacture medicine and medical supplies. We anticipate a rise in prices and longer wait times, and most likely, shortages of some supplies</t>
  </si>
  <si>
    <t>Sadly, the recent hurricanes/tornadoes, and any future climate-related catastrophes, are good for the equipment sales and rental businesses. That and the continued infrastructure spending</t>
  </si>
  <si>
    <t>Revenue cycles are lengthening. Good sales, but longer service periods. Commodity pricing is stabilizing as inflation concerns ease. Business is in a steady state, with everyone holding an even keel awaiting U.S. election results</t>
  </si>
  <si>
    <t>Hurricane impacts have affected supplier deliveries</t>
  </si>
  <si>
    <t>Port strikes did not impact our supply chain, but we confirmed all our strategic vendors had plans in place should they have an impact</t>
  </si>
  <si>
    <t>Business is booming, nothing slowing down. Prices continue to increase slightly</t>
  </si>
  <si>
    <t>The economy is still causing issues within our business and that of our suppliers</t>
  </si>
  <si>
    <t>High mortgage rates continue to hamper demand for new housing construction, which is a key market for adhesives and sealants</t>
  </si>
  <si>
    <t>Business remains slow. We anticipate that the first half of 2025 will be similar and hope that demand increases in the second half of 2025</t>
  </si>
  <si>
    <t>Inflation, even after easing, continues to impact demand. Consumers are looking for value, and purchasing behaviors are changing as many shoppers reduce consumption, causing softer volume</t>
  </si>
  <si>
    <t>Backlog is rising precipitously after 18 months of troughing. The long-awaited pent-up buying has started. Competition for qualified technical labor is a constraint on operational throughput</t>
  </si>
  <si>
    <t>A general construction slowdown in the fourth quarter has created a surplus of finished goods, creating the need for an extra two weeks of shutdown over the Christmas holiday period. We are carefully watching demand in the first quarter to determine if more permanent workforce reductions will be necessary</t>
  </si>
  <si>
    <t>Business is slowing as customers destock and appear uncertain about near-term demand. Preliminary forecast for 2025 is down significantly; we hope to see improvements now that we are beyond U.S. election uncertainties</t>
  </si>
  <si>
    <t>Our supplier has a positive outlook on the U.S. economy going into 2025. Our business is seeing an uptick in sales forecasts for the first quarter of 2025 versus the fourth quarter of 2024. Overall, our outlook for 2025 is optimistic</t>
  </si>
  <si>
    <t>We’re finally seeing traction in the last few weeks (with) a higher volume of orders. Backlog is starting to grow</t>
  </si>
  <si>
    <t>Late to the game, we are now working on our buying plan in light of potential increased tariffs on imports from China. Cost and capacity of U.S. manufacturing is a concern; a lack of relationship with alternate low-cost international manufacturers is another</t>
  </si>
  <si>
    <t>After the election, we have seen an uptick in customers wanting to come back to the U.S. for making their products. We are working through these inquiries. They seem very motivated.</t>
  </si>
  <si>
    <t>Federal Reserve interest rate cuts have not had the desired effect on mortgage rates yet. With election results mostly determined, expansion of residential construction is anticipated, but the unknown effect of tariffs clouds the future</t>
  </si>
  <si>
    <t>All operations are normal at the moment. Nothing local or national that is having any major effect on our operations</t>
  </si>
  <si>
    <t>Higher level of activity is driving the need for additional resources</t>
  </si>
  <si>
    <t>We have concern after the presidential election that tariffs will affect prices for electronics and components in 2025</t>
  </si>
  <si>
    <t>Domestic lead times still seem very long. We are having to go to China for many electrical equipment requirements. Even after tariffs, the price is half, and so are the lead times</t>
  </si>
  <si>
    <t>Election results and the potential tariff changes would impact inventory and lead to higher prices in the hospital supply chain. What we saw during COVID-19 with startup U.S. production is a warning sign again</t>
  </si>
  <si>
    <t>Construction materials are shorted or hard to get due to increased construction projects in the area and (in the) U.S. Sometimes projects are delayed due to this</t>
  </si>
  <si>
    <t>We finished a solid quarter and are planning on a similar holiday period. Not breaking any records, but positive</t>
  </si>
  <si>
    <t>Still waiting to see how presidential cabinet picks shake out, if they are confirmed and how they will affect our operations going forward. Holding capital projects now until the cabinet is complete and we know how federal funds will be dispersed going forward</t>
  </si>
  <si>
    <t>Even though we are reducing our spending and our employment levels, we have a positive outlook for 2025 performance with expected reinvestment of funds</t>
  </si>
  <si>
    <t>Slightly lower due to seasonality and end-of-year destocking</t>
  </si>
  <si>
    <t>Automotive and powersport volume decreases</t>
  </si>
  <si>
    <t>We are seeing a softening in sales. This is concerning as it’s our peak season.</t>
  </si>
  <si>
    <t>We are constrained by technical labor, despite higher-than-normal backlog.</t>
  </si>
  <si>
    <t>Significant slowdown in production requirements in the last two months of the year.</t>
  </si>
  <si>
    <t>Order levels well below forecast projections.</t>
  </si>
  <si>
    <t>The increase in new orders has our plant at full capacity.</t>
  </si>
  <si>
    <t>Combo of seasonal factors plus increased demand outlook for 2025.</t>
  </si>
  <si>
    <t>There is definitely an uptick this month, though not a stable one.</t>
  </si>
  <si>
    <t>The orders have increased slightly due to seasonal restocking.</t>
  </si>
  <si>
    <t>Preparations are underway to diversify supply in the anticipation for tariffs and the effect it will have on our business</t>
  </si>
  <si>
    <t>New residential construction remains hampered by interest rates and affordability issues. Tariff threats from incoming administration have been making suppliers reluctant to hold pricing for more than one year. As projects can take two-plus years, budgeting is getting difficult, similar to 2021 and 2022, when supply chain disruptions caused chaos in pricing</t>
  </si>
  <si>
    <t>Moving work offshore to save cost</t>
  </si>
  <si>
    <t>Continued shortages of IV solutions have resulted in some cases being cancelled and/or delayed</t>
  </si>
  <si>
    <t>Generally optimistic that the incoming administration will positively affect regulatory, tax and energy policies that will spur economic improvement. We are concerned about tariff activity and are hoping for the best</t>
  </si>
  <si>
    <t>Inflation levels seem to be increasing, thus dimming hopes of interest rate cuts</t>
  </si>
  <si>
    <t>Overall activity slightly higher than planned</t>
  </si>
  <si>
    <t>Seems to be a lot of uncertainty about tariffs and purchasing decisions. A lot of wait and see</t>
  </si>
  <si>
    <t>General business conditions are still going well. The end of (2024) is approaching, so end-of-year preparations are in full swing</t>
  </si>
  <si>
    <t>Customers are slowing down, and they are cutting back their inventories in preparation for the end of the year, so our sales are slowing down</t>
  </si>
  <si>
    <t>Customer orders slightly stronger than expected. Seeing more general price increases for chemicals/raw materials. No International Longshoremen’s Association strike is a tremendous help</t>
  </si>
  <si>
    <t>Alleviating supply chain conditions are noticeably pivoting back into acute shortage situations, with headwinds following. For aerospace and defense companies, critical minerals supply chains are tightening dramatically due to Chinese restrictions. Concerns are growing of an environment of more supply chain shortages</t>
  </si>
  <si>
    <t>As the U.S. administration transfers, we will continue to monitor impact of tariffs on materials used for manufacturing. China stimulus is helping us win orders and increase use of services and consumables. Cost pressures remain for all materials and parts but are starting to stabilize</t>
  </si>
  <si>
    <t>Volume in 2025 is targeting 2-percent growth. The organization is mindful of potential tariffs and what to do with re-routing or cost increases in supply chains that are impacted</t>
  </si>
  <si>
    <t>Although we are in our busy season, our demand for the first two weeks of 2025 has outpaced normal levels for this period of time</t>
  </si>
  <si>
    <t>Business is slowly improving</t>
  </si>
  <si>
    <t>Capital equipment sales are starting 2025 off strong. Normally, we see a soft start to the year, so this strong start is unusual</t>
  </si>
  <si>
    <t>New orders are still good but decreasing compared to previous quarters. Working through current backlog</t>
  </si>
  <si>
    <t>Automotive order demand continues to be consistent and on a steady pace. Beginning to look at hiring additional team members once again. Pricing is holding firm. Having to work overtime to cover plant inefficiency to date</t>
  </si>
  <si>
    <t>Looking forward to a year of strong customer demand and higher sales than 2024</t>
  </si>
  <si>
    <t>Expecting considerable new projects to move to execution by second quarter in the energy market within the U.S.</t>
  </si>
  <si>
    <t>Business conditions seem to be stable for us at this time</t>
  </si>
  <si>
    <t>Seeing letters announcing higher pricing from suppliers for 2025. Relying more on analytics to find the lowest impact on cost while keeping the quality high</t>
  </si>
  <si>
    <t>The paper market is starting to tighten up on the groundwood grades. All the North American mills are pushing dates into late February. It’s not causing any shortages yet, but it’s the first time in over a year that dates are moving out</t>
  </si>
  <si>
    <t>Some apprehension exists with stakeholders and suppliers with government changes and potential tariff burdens</t>
  </si>
  <si>
    <t>The threat of tariffs is causing prices to rise. The threat of unstable international markets is resulting in shortages for various materials</t>
  </si>
  <si>
    <t>Concern going forward is the cost of materials and project work, if any tariffs go into effect</t>
  </si>
  <si>
    <t>Holiday sales not as robust as hoped for. Will need to adjust future planning</t>
  </si>
  <si>
    <t>The employment market is softening as we are seeing less natural turn and getting more and better-qualified applicants. Also, requests for our services have continued to increase</t>
  </si>
  <si>
    <t>Business is picking up but still slower than expected for January. We have had a lot of warehouse closures due to weather</t>
  </si>
  <si>
    <t>The tariff environment regarding products from Mexico and Canada has created uncertainty and volatility among our customers and increased our exposure to retaliatory measures from these countries</t>
  </si>
  <si>
    <t>Customers are pausing on new orders as a result of uncertainty regarding tariffs. There is no clear direction from the administration on how they will be implemented, so it’s harder to project how they will affect business</t>
  </si>
  <si>
    <t>Tariff impact has been minimal to overall manufacturing and raw material supply. Limits on U.S. government spending in key organizations like the Food and Drug Administration, Environmental Protection Agency and National Institutes of Health are delaying some orders</t>
  </si>
  <si>
    <t>Inflation and pricing pressure continue to drive uncertainty in our 2025 outlook. We are seeing volume impacts due to pricing, with customers buying less and looking for substitution options</t>
  </si>
  <si>
    <t>The incoming tariffs are causing our products to increase in price. Sweeping price increases are incoming from suppliers. Most are noting increases in labor costs. Vendors are indicating open capacity. Inflationary pressures are a concern. Our company is working diligently to see how the new tariffs will affect our business</t>
  </si>
  <si>
    <t>Business is still slow, but some indications of improved demand are six to nine months out. Steel and scrap costs are increasing, and it’s too early to tell how high they will go.</t>
  </si>
  <si>
    <t>New orders continue to be strong after picking up in December. The uncertainty about tariffs keeps us cautious on spending, despite the strong sales right now</t>
  </si>
  <si>
    <t>Management now has us running scenarios to project tariff impacts to our business. They want numbers in 24 hours on variables that equate to a wild guess. Interesting times we live in</t>
  </si>
  <si>
    <t>Internal analysis ongoing about impact of tariffs, but nothing concrete yet. General business conditions remain tepid; outlook on the durables side growing more pessimistic with growing domestic inventories of automobiles</t>
  </si>
  <si>
    <t>Customer volumes seem to be better than 2024. However, customers are still very hesitant to commit to long-term volumes due to the market uncertainty caused by proposed tariffs on steel/aluminum imports</t>
  </si>
  <si>
    <t>Tariff actions have created chaos in information and pricing measures, forecasting and forward buys, which may artificially inflate purchases to be followed by a drop off</t>
  </si>
  <si>
    <t>There is great uncertainty about future business activity due to the risk of tariffs and other potential government actions</t>
  </si>
  <si>
    <t>Implementation of tariffs will have a significant cost impact to our projects. The majority of the capital equipment we purchase is not manufactured in the U.S., or components that make the equipment come from overseas manufacturers. We are also seeing U.S. prices already rise in anticipation, which is a similar reaction of the U.S. suppliers when the previous tariffs were introduced</t>
  </si>
  <si>
    <t>The university is still digesting the current potential changes with federal assistance programs</t>
  </si>
  <si>
    <t>The last month has brought multiple weather events. Some locations were closed or delayed opening. Norovirus and other viruses have resulted in busy emergency departments and urgent care facilities</t>
  </si>
  <si>
    <t>Tariffs are going to have a ripple down effect that could severely harm our business</t>
  </si>
  <si>
    <t>Concern regarding tariffs. No impact yet</t>
  </si>
  <si>
    <t>Business seemed to pop after the election, but uncertainty after the election seemed to take the ‘wind out of our sales,’ with uncertainty again increasing</t>
  </si>
  <si>
    <t>Observed some contracting uncertainty earlier in the month relating to federal funding freeze, but operations have largely normalized as of today</t>
  </si>
  <si>
    <t>Weather has been terrible. When it is not cold and snowy, it seems to be raining. I think that is the biggest hurdle at the moment. The tariff situation has created some uncertainty in the lumber market, but without demand the price of lumber should not move very much. Affordability and high interest rates are still headwinds, but sentiment seems to be good</t>
  </si>
  <si>
    <t>Complex markets saw a surge in volume buying in anticipation of 2025 being slightly better than 2024. In March, however, all markets saw a slowdown, with fear and inventory stocking to hold through a potential crisis</t>
  </si>
  <si>
    <t>Acute shortages continue to impact supply chain continuity. Chinese restrictions on critical minerals such as germanium have caused major shortages, resulting in all supply needed in 2025 already assumed — and, not surprisingly, significant price increases as a result. Tariffs are causing minor ripples at the moment in securing supply, with purchase order terms narrowing due to uncertainties. A&amp;D (aerospace and defense), which has been very resilient, is starting to see questionable medium- to long-term demand due to governmental policy, including retaliatory actions taken by foreign countries with foreign military sales</t>
  </si>
  <si>
    <t>Customers are pulling in orders due to anxiety about continued tariffs and pricing pressures</t>
  </si>
  <si>
    <t>Starting to see slower-than-normal sales in Canada, and concerns of Canadians boycotting U.S. products could become a reality</t>
  </si>
  <si>
    <t>Business condition is deteriorating at a fast pace. Tariffs and economic uncertainty are making the current business environment challenging</t>
  </si>
  <si>
    <t>New order levels have increased and are better than expected. We suspect that our customers are trying to build inventory at current prices to get ahead of expected tariff and related cost increases. We expect this surge in demand to be short-lived</t>
  </si>
  <si>
    <t>Demand has been stable, consistent with last year. No evidence of growing demand. Tariff impacts and mitigation strategies are a daily conversation</t>
  </si>
  <si>
    <t>Newly implemented tariffs are significantly impacting gross profits. Canada’s new tariffs on U.S. goods are significantly impacting orders from that country. Quotes and sales are lower from Europe due to the threat of retaliatory tariffs</t>
  </si>
  <si>
    <t>Worldwide economic instability has really begun to impact our oil and gas business. Aside from the change in the U.S. administration, the economies of China, India and Europe are drivers in what we believe is the next cyclical trough</t>
  </si>
  <si>
    <t>Bearish market sentiment and tariff applications and costs have dominated discussions over the past month and should continue to dominate markets until a clear path forward is determined. Overall concern is whether or not demand destruction will occur with higher pricing</t>
  </si>
  <si>
    <t>Uncertainty over tariffs is providing a big challenge from both Tier-1 suppliers we will have to pay tariffs on directly and Tier-2 suppliers that will try to pass tariffs through to us in the form of price increases and tariff surcharges</t>
  </si>
  <si>
    <t>Tariffs impacting operations — specifically, delayed border crossings and duties calculations that are complex and not completely understood. As a result, we are potentially overpaying duties. Unsure of potential drawbacks. Implementation of tariffs and their application is sudden and abrupt. The business is taking countermeasures</t>
  </si>
  <si>
    <t>Business climate is apprehensive, and with tariff costs implemented, all inbound Chinese shipments are on hold. It is not feasible for our business or customers to sustain the pricing required to provide an acceptable margin</t>
  </si>
  <si>
    <t>The most important topic is tariffs. Risks include margin erosion due to rising operational costs and freight delays disrupting delivery timelines. Supplier relationships are strained by pain-share negotiations, and competitors are gaining share by importing from lower-tariff regions</t>
  </si>
  <si>
    <t>Tariff whiplash is causing us major issues with customers. The two issues we are seeing: (1) customers are holding back orders to understand what is happening with tariffs on their products or (2) they are forcing us to accept the tariffs, which causes us to ‘no quote’ the job as we cannot take on that type of risk for an order</t>
  </si>
  <si>
    <t>There is a lot of concern about the inflationary impacts from tariffs in our industry. Domestic producers are charging more for everything because they can</t>
  </si>
  <si>
    <t>Tariff trade wars are incredibly volatile, quickly changing, and disrupting a ton of our current work. We are 90 percent sourced out of China, and the cost models keep changing every week. We are flying to visit suppliers in a few weeks to negotiate current terms and pricing, as well as develop more long-term, strategic plans to reduce risk in the region</t>
  </si>
  <si>
    <t>Demand is slightly lower than plan, but it has been steady amid tariff concerns. Significant time has been spent quantifying the impact of changing tariff rates. Our costs will increase, and we are discussing how to share that impact across suppliers and customers</t>
  </si>
  <si>
    <t>The recently imposed 145-percent tariff rate on Chinese imports is significantly affecting our 2025 profitability. Due to the complexity of our parts and the lack of alternate sources, we are unable to find any alternate suppliers — especially at a reasonable cost — to our current Chinese sources. Incoming orders have slowed due to market volatility and uncertainty</t>
  </si>
  <si>
    <t>Strategic procurement and the supply chain are paralyzed in a world that changes daily due to tariffs</t>
  </si>
  <si>
    <t>Restaurant sales and traffic have improved in the past month overall. Valentine's Day typically starts an improved seasonal trend that was consistent this year. We remain optimistic about the coming months, despite recent news of possible recession and tariffs that have not played out yet</t>
  </si>
  <si>
    <t>Starting to see effect of aluminum tariff. These costs will be passed on to customers</t>
  </si>
  <si>
    <t>Patient volumes continue to exceed forecast, leading to increased revenues and an improved financial outlook. Supply chains continue to operate effectively and few categories — including IV solutions — are showing signs of duress. Labor outlook is improving, with reliance on travel staff continuing to recede. Outlook for the duration of the quarter is favorable</t>
  </si>
  <si>
    <t>The tariffs have caused issues in the groundwood paper market especially. With a large amount of groundwood imported from Canada to the U.S., the tariffs and resulting delays have caused havoc with the supply chain and deliveries. U.S. mills are getting backlogged and late from the additional tonnage they've taken on</t>
  </si>
  <si>
    <t>New equipment purchases have slowed down over the last month due to the uncertainty of the new administration and cancellation of certain aspects of the Inflation Reduction Act</t>
  </si>
  <si>
    <t>We are seeing some loosening in the U.S. economy related to hiring and people retention. Quality candidates are available, and employee turnover is decreasing. Competitive pressure for goods and services is increasing as suppliers seek organic increases in revenue</t>
  </si>
  <si>
    <t>Government budget cuts and layoffs are negatively impacting our operations.</t>
  </si>
  <si>
    <t>We are still holding back some money for emergency use in case the new administration targets grant usage and puts a hold on current spending</t>
  </si>
  <si>
    <t>We’re expecting price increases in the near future due to tariffs on several commodity-based contracts, including waterworks items</t>
  </si>
  <si>
    <t>Tariff confusion and the variety of ways that suppliers are responding have had a strong effect on our purchasing decisions this month, causing us to shift spend and in some cases buy in advance of reported tariffs</t>
  </si>
  <si>
    <t>Sales and traffic have improved on track with year-over-year seasonal trends. We seem to be outperforming some of the publicly traded restaurants reporting results</t>
  </si>
  <si>
    <t>Tariffs are negatively impacting small business customers. Many small business customers source their products from China. They cannot afford to compete in the marketplace sourcing from other countries. We could not move products fast enough to beat the tariff starting dates</t>
  </si>
  <si>
    <t>Business is steady</t>
  </si>
  <si>
    <t>There is great concern at my institution (medical school with a research institute and hospital) that changes from the current administration will severely and adversely affect many of the populations we are trying to help live healthier lives</t>
  </si>
  <si>
    <t>We are actively reviewing the impact of tariffs. We are seeing some vendors increasing their prices, and we are actively pushing back on those increases. We expect our vendors to honor our contracted pricing</t>
  </si>
  <si>
    <t>Generally, pricing is lower, but there is some uncertainty of actual, final costs due to tariffs</t>
  </si>
  <si>
    <t>Our business is in a state of crises with uncertainty caused by both the ongoing trade war and the threats to federal funding of programs</t>
  </si>
  <si>
    <t>Uncertainty remains the dominating theme as the U.S. government has been maddeningly inconsistent with tariff implementation</t>
  </si>
  <si>
    <t>Tariffs and concerns about government grants still impacting our procurement operations. Some projects are slowing or being held off to ensure we have funds to complete the current work</t>
  </si>
  <si>
    <t>The tariff uncertainty is causing a lot of consumption of human capital. We are starting to see some tariff charges, some are significant given the price of the highly specialized units that were ordered over two years ago. Based on our spend over the last couple of years, we will have to adjust our capital and operations and maintenance plans</t>
  </si>
  <si>
    <t>There is continued softening of demand in the commercial vehicle market, primarily related to higher prices and economic uncertainty. The impact of ever-changing trade policies of the current administration has wreaked havoc on suppliers’ ability to react and remain profitable. Vehicle manufacturers have already rolled price increases into their products to protect their bottom lines but have not been as cooperative with their supply bases. This has resulted in a high occurrence of suppliers falling into financial distress</t>
  </si>
  <si>
    <t>Tariffs, avian influenza and broader commodity markets continue to impact business conditions. The volatility of all three makes business planning and overall conditions challenging</t>
  </si>
  <si>
    <t>Government spending cuts or delays, as well as tariffs, are raising hell with businesses. No one is willing to take on inventory risk</t>
  </si>
  <si>
    <t>Most suppliers are passing through tariffs at full value to us. The position being communicated is that the supplier considers it a tax, and taxes always get passed through to the customer. Very few are absorbing any portion of the tariffs</t>
  </si>
  <si>
    <t>Tariff uncertainty is impacting new international orders. Tariffs are also the main reason our Asia customers are requesting delayed shipments</t>
  </si>
  <si>
    <t>There is continued uncertainty regarding market reaction to the recently imposed tariffs and resulting actions by other countries. The rare earth restrictions being imposed are of high concern in the near term</t>
  </si>
  <si>
    <t xml:space="preserve"> administration’s tariffs alone have created supply chain disruptions rivaling that of COVID-19</t>
  </si>
  <si>
    <t>We have entered the waiting portion of the wait and see, it seems. Business activity is slower and smaller this month. Chaos does not bode well for anyone, especially when it impacts pricing</t>
  </si>
  <si>
    <t>Tariff whiplash continues while the easing of tariff rates between the U.S. and China in May was welcome news, the question is what happens in 90 days. We are doing extensive work to make contingency plans, which is hugely distracting from strategic work, plus it is also very hard to know what plans we should actually implement. The 10-percent tariff on other countries is impactful as well, and it is unclear if/when deals will be made</t>
  </si>
  <si>
    <t>Uncertainty due to the recent tariffs continue to weigh on profitability and service. An unresolved (trade deal with) China will result in empty shelves at retail for many do-it-yourself and professional goods</t>
  </si>
  <si>
    <t>Tariff variability has thrown residential construction supply chains into chaos. Many items are still manufactured in southeast Asia, and suppliers are beginning to test the waters for increases. Major heating, ventilation and air conditioning equipment manufacturers are passing on their cost increases due to higher refrigerant and steel commodity prices. Planning is difficult for community projects that could be scheduled for the next 22 to 30 months</t>
  </si>
  <si>
    <t>Steady, with some signs of growth and opportunity</t>
  </si>
  <si>
    <t>Federal budget cuts are affecting purchasing decisions</t>
  </si>
  <si>
    <t>Tariffs remain a challenge, as it is not clear what duties apply. The best plan is still to delay decisions to purchase where possible</t>
  </si>
  <si>
    <t>Due to the tariffs, we’ve had had small price increases on our international raw materials, and some suppliers are holding back inventory to cover uncertainties. We’ve seen some slowdown in the production of new wells, but there has been an increase in restimulation of existing wells</t>
  </si>
  <si>
    <t>Life science startups continue to push forward on clinical trials and market launches. The level of investment grew this month. The impacts of tariffs are being watched but are not driving changes in strategic pl</t>
  </si>
  <si>
    <t>The projects are slowly starting to be issued, albeit with a great deal of market uncertainty</t>
  </si>
  <si>
    <t>Business is strong. Consumer concerns over tariffs may be driving some demand</t>
  </si>
  <si>
    <t>Tariffs have increased the cost of doing business. It’s too early to tell what the lasting impact of this will be. We have tried to budget for the increase, but it has been a moving target. Overall, we are seeing a leveling off in business activity; time will tell if this is temporary or long lasting</t>
  </si>
  <si>
    <t>Business activity is increasing due to demand for data centers, commercial growth and infrastructure. Residential growth remains flat</t>
  </si>
  <si>
    <t>Business has notably slowed in last four to six weeks. Customers do not want to make commitments in the wake of massive tariff uncertainty</t>
  </si>
  <si>
    <t>Middle East unrest as well as unstable long-term tariff positions continue to impact second- and third-tier sources, which is applying pressure to material costs. Costs are up 6 percent to 10 percent over budgeted inflation — and the forecast accounted for the volatility expected with the current administration</t>
  </si>
  <si>
    <t>The biopharmaceutical space is starting to see more pronounced headwinds: Stock prices have significantly eroded, companies are facing hiring freezes, and so on</t>
  </si>
  <si>
    <t>The tariff mess has utterly stopped sales globally and domestically. Everyone is on pause. Orders have collapsed</t>
  </si>
  <si>
    <t>Tariff volatility has impacted machinery, steel and specialized components. Also, potential shortages of skilled labor for construction, maintenance and installation</t>
  </si>
  <si>
    <t>Tariffs continue to cause confusion and uncertainty for long-term procurement decisions. The situation remains too volatile to firmly put such plans into place</t>
  </si>
  <si>
    <t>Tariffs continue to impact material pricing</t>
  </si>
  <si>
    <t>Tariffs, chaos, sluggish economy, rising prices, Ukraine, Iran, geopolitical unrest around the world — all make for a landscape that is hellacious, and fatigue is setting in due to dealing with these issues across the spectrum. Unfortunately, this is just the beginning unless something drastically changes, but the supply chain implications will grow — depots will not be stocked, less material will be available, and it will take years for domestic production to handle the needs (if companies even want to).</t>
  </si>
  <si>
    <t>The geopolitical environment remains volatile: (1) ongoing shifts in U.S. tariff policy make it difficult to plan, (2) emerging conflicts in the Middle East could pose long-term commodity risks and (3) China measures on rare earth materials are causing challenges. Overall outlook for our company is positive; it’s just extremely hard to make near-term supply plans/strategies or budgets</t>
  </si>
  <si>
    <t>The word that best describes the current market outlook is ‘uncertainty.’ The erratic trade policy with on-again/off-again tariffs has led to price uncertainty for customers, who appear to be prepared to hold off large capital purchases until stability returns. This has resulted in further reductions in customer demand and softening sales for the balance of 2025. Operations has planned additional weeks of downtime at multiple plants to accommodate reduced orders. Next year’s forecast is not any better at this point. Additionally, most electric vehicle (EV) projects have been delayed or canceled, resulting in a significant amount of unutilized capital investment. EV technology launches for 2026-28 have been delayed past 2030</t>
  </si>
  <si>
    <t>Restaurant sales and traffic remain flat to prior year. Staffing is adequate for our current needs, and no supply chain concerns this month</t>
  </si>
  <si>
    <t>Increased cost from tariffs and the potential for tariffs is impacting cost increases. Higher cost of high-dollar items like 150-horsepower farm tractors are forcing farmers to delay purchasing or purchase used equipment. Tension in the Middle East is creating great concern and uncertainty</t>
  </si>
  <si>
    <t>Sales remain stubbornly slow due to affordability issues with higher mortgage rates and high property values. Residential construction has embarked on cost-cutting measures through value engineering, supplier margin reductions and layoffs</t>
  </si>
  <si>
    <t>Prices have gone up from tariff recovery fees — separate line items — but the supply chain, deliveries and inventories have remained mostly stable after the initial disruption. Costs continue to increase across the board, so our goal is to mitigate that.</t>
  </si>
  <si>
    <t>General uncertainty around the economy continues to drive increases in prices. Also, lots of SaaS (software-as-a-service) vendors are using the AI (artificial intelligence) boom to restructure pricing and products, resulting in massive increases</t>
  </si>
  <si>
    <t>After several slow months, business is starting to increase. New requests are going out to suppliers.</t>
  </si>
  <si>
    <t>Confidence in a predictable economic environment has eroded to a point where capital investments are being severely curtailed</t>
  </si>
  <si>
    <t>Business growth is slow. Global economic conditions impacted by U.S. tariffs are creating significant uncertainty, which is holding businesses back from making short- to medium-term business decisions</t>
  </si>
  <si>
    <t>Lead times are extending in the past month or two. Seeing high-single- or low-double-digit percent increases in pricing on metals related to commodity hardware and products</t>
  </si>
  <si>
    <t>Business seems to be picking up. Many of the macroeconomic factors that were concerning look to be playing out in our favor. High interest rates are still a problem. Supplies are ample for current business levels</t>
  </si>
  <si>
    <t>Fairly flat quarter over quarter, but with us being in the safety and security sector (and with U.S. Customs and Border Protection as a customer), the recent bill that passed should result in an increase in business in the coming months</t>
  </si>
  <si>
    <t>Sales continue at unprecedented growth, driven by data-center construction. Customers and the sales team continue to demand lower pricing, which drives down gross margins in face of input price increases, primarily from aluminum imports</t>
  </si>
  <si>
    <t>These tariff wars are beginning to wear us out. It’s been very difficult to forecast what we will pay in duties and calculate any cost savings we’ve had this year. Also, tariffs have disrupted our customs import bond. There is zero clarity about the future, and it’s been a difficult few months trying to figure out where everything is going to land and the impact on our business. So far, tremendous and unexpected costs have been incurred</t>
  </si>
  <si>
    <t>Currently, higher interest rates still depress the construction industry for new construction projects. Tariff policies are uncertain, which slows down (1) our investment in new projects, (2) component sourcing for new products, (3) blanket orders and (4) replenishment of large inventory quantities. Instead, we’re working to shift suppliers to lower political risk countries or develop domestic sources. We are impacted by the higher tariffs on costs of raw materials and components both sourced domestically and from overseas, and we expect expenses will be higher in the third and fourth quarters as we consume the inventory received with new and higher tariffs or update costs from domestic sources in the second quarter</t>
  </si>
  <si>
    <t>Sales softening more than usual during the summer. Negotiations with non-U.S. manufacturers are strained as we are reluctant to issue POs for deliveries three or more months into the future with prices that include current tariffs</t>
  </si>
  <si>
    <t>In the health-care world we continue with ‘business as normal,’ but we are increasingly searching and assessing geopolitical risk mitigation options</t>
  </si>
  <si>
    <t>Tariffs are causing complete uncertainty around sourcing strategies. A sit-and-wait game for now</t>
  </si>
  <si>
    <t>Sales are about on par with 2024, but nowhere near budget forecast. Tariff concerns seem to be growing as the year progresses</t>
  </si>
  <si>
    <t>Business is steady, with solid bookings and backlog. Still uncertainty about tariffs and associated inflation</t>
  </si>
  <si>
    <t>Energy capacity, specifically in the grid operated by PJM Interconnection, continues to be one of the major concerns for business continuity and growth in this region. The procurement of power and rising natural gas prices in this region due to past green energy policies, coupled with future projected allocations for artificial intelligence data centers, adds additional stress to the PJM system</t>
  </si>
  <si>
    <t>Cautiously stable. Tariff impacts are still being monitored. Some increases have been implemented while monitoring other products</t>
  </si>
  <si>
    <t>Anticipation of the final tariff impacts is resulting in delayed planning for next fiscal year purchases</t>
  </si>
  <si>
    <t>Higher tariffs are increasing the cost of imported feed ingredients and trace minerals for livestock and poultry feeds. Business and customer concerns over additional cost risk due to additional tariffs</t>
  </si>
  <si>
    <t>Trade uncertainty causing client reevaluation of feasibility for projects in certain sectors, resulting in some delays or cancellations. Public-funded jobs experiencing pullbacks</t>
  </si>
  <si>
    <t>Summer break for students greatly reduces demand on campus</t>
  </si>
  <si>
    <t>Steady business activity</t>
  </si>
  <si>
    <t>Tariffs are causing additional costs as we continue to purchase equipment and supplies. Though we need to continue with these purchases, the cost is significant enough that we are postponing other projects to accommodate these cost changes</t>
  </si>
  <si>
    <t>Extra purchasing to head off tariffs has leveled off. Expecting decreases in activity in the second half of 2025</t>
  </si>
  <si>
    <t>Economic uncertainty remains the dominant theme. However, the tariff talk has turned out to be much more bluster than actual policy, and businesses have seemed to tune out the noise. The outlook continues to look incrementally positive</t>
  </si>
  <si>
    <t>Retail results are solid — a little soft before and during Fourth of July week, but then a rebound. We see no reason to believe this won’t continue for the near term</t>
  </si>
  <si>
    <t>Our business activity is flat. We are not trending up or down. Tariffs are now starting to show up in pricing, and we are seeing increases across the board</t>
  </si>
  <si>
    <t>A 50-percent tariff on imports from Brazil, combined with the U.S. Department of Agriculture’s elimination of the specialty sugar quota, means certified organic cane sugar — and everything made with it — is about to get significantly more expensive</t>
  </si>
  <si>
    <t>Orders across most product lines have decreased. Financial expectations for the rest of 2025 have been reduced. Too much uncertainty for us and our customers regarding tariffs and the U.S./global economy</t>
  </si>
  <si>
    <t>Tariffs continue to be unstable, with suppliers adding surcharges ranging between 2.6 percent to 50 percent</t>
  </si>
  <si>
    <t>Tariffs continue to wreak havoc on planning/scheduling activities. New product development costs continue to increase as unexpected tariff increases are announced — for example, 50-percent duties on imports from India, and increases to all countries up from original 10 percent. Our materials/supplies are now rising in price, so our sell pricing is again being reviewed to ensure we keep a sustainable margin. Plans to bring production back into U.S. are impacted by higher material costs, making it more difficult to justify the return</t>
  </si>
  <si>
    <t>The construction industry, especially home building, is still at a lower level. With new construction at a low level, our new sales are impacted. We are mainly now relying on replacement business. Cost of goods sold is higher due to tariff-impacted goods</t>
  </si>
  <si>
    <t>Domestic sales remain flat but are down four percent from plan by unit volume [tariff pricing]. Export demand is falling as customers do not accept tariff impacts, which likely will require some production transfers out of the U.S. Supplier deliveries remain consistent with ocean shipping costs dropping significantly. Tariff costs have biggest financial impact but also costs of copper and of steel products</t>
  </si>
  <si>
    <t>The trucking industry continues to contract. Our backlog continues to shrink as customers continue to hold off on buying new equipment. This current environment is much worse than the Great Recession of 2008-09. There is absolutely no activity in the transportation equipment industry. This is 100 percent attributable to current tariff policy and the uncertainty it has created. We are also in stagflation: Prices are up due to material tariffs, but volume is way off</t>
  </si>
  <si>
    <t>Very tentative domestic market, with home building and remodeling not very active at all. Inflation, among other factors, is starting to impact consumer buying power, leading to negative signs for our order files. International markets are upended due to the unpredictability of on-again, off-again tariff activity</t>
  </si>
  <si>
    <t>We’ve implemented our second price increase. ‘Made in the USA’ has become even more difficult due to tariffs on many components. Total price increases so far: 24 percent; that will only offset tariffs. No influence on margin percentage, which will actually drop. In two rounds of layoffs, we have let go of about 15 percent of our U.S. workforce. These are high-paying and high-skilled roles: engineers, marketing, design teams, finance, IT and operations. The administration wants manufacturing jobs in the U.S., but we are losing higher-skilled and higher-paying roles. With no stability in trade and economics, capital expenditures spending and hiring are frozen. It’s survival</t>
  </si>
  <si>
    <t>There is still uncertainty in the construction market. Large expansions or investment are hampered by the unknown of costing and the economy. The markets we operate in can be strong short term, but there is an underlying feeling that has you questioning for how long</t>
  </si>
  <si>
    <t>We are starting to see the impact of tariffs on the cost of imported goods. For our company, this is primarily for goods from Asia and South America. We expect to see the full effect of tariffs in our cost of goods sold by October</t>
  </si>
  <si>
    <t>Tariffs are starting to become a factor in our pricing to specific markets. We are an importer from Europe. The intention is not to pass on these costs, but it’s getting harder as this goes on</t>
  </si>
  <si>
    <t>Tariffs continue to loom, and providers are starting to include references to tariffs when requesting price increases</t>
  </si>
  <si>
    <t>While our overall spending approach is to remain cautious while waiting out the effects of the new tariff policies on commodity pricing, we expect fiscal year 2026 to be positive</t>
  </si>
  <si>
    <t>Business continues to remain flat</t>
  </si>
  <si>
    <t>Business growth continues to be strong as companies work to understand costs of expanding U.S. operations</t>
  </si>
  <si>
    <t>Locally, prices have and are continuing to rise on goods and services that do not appear to be directly impacted by tariffs</t>
  </si>
  <si>
    <t>Our company had the strongest quarter in its history since it became a public company in 2020. Revenue is increasing due to M&amp;A activity and in spite of a slow housing market and increasing tariffs</t>
  </si>
  <si>
    <t>It’s all about country specific tariff management. All decision making is currently dominated by tariff considerations</t>
  </si>
  <si>
    <t>Business overall is tightening. Most customers are extremely price conscious</t>
  </si>
  <si>
    <t>Business continues to be severely depressed. Profits are down and extreme taxes (tariffs) are being shouldered by all companies in our space. We have increased price pressures both to our inputs and customer outputs as companies are starting to pass on tariffs via surcharges, raising prices up to 20 percent. The addition of the derivative steel and aluminum tariffs in the middle of the month — with no announcement — was devastating. Interest-rate lowering or the ‘One Big Beautiful Bill’ will not impact our business, as all capital projects are on hold until there is some level of certainty and customers start to place orders for new equipment again. We believe we are in a stagflation period where prices are up but orders are down due to tariff policy, and again, customers are not willing to pay the higher prices, so they are just not buying. Continuing to find ways to reduce overhead, which means letting go of experienced workers</t>
  </si>
  <si>
    <t>The tariffs are still causing issues with imported goods into the U.S. In addition to the cost concerns, product is being held up at borders due to documentation issues. The inflation issues continue; low volumes are a constant concern. The European region is not improving as we had expected, causing further concern for long-term business viability</t>
  </si>
  <si>
    <t>Ongoing macroeconomic conditions highlighted by interest-rate management and tariffs continue to impact customer purchasing decisions, resulting in subdued production rates and growing cost concerns on direct material and operations</t>
  </si>
  <si>
    <t>Lead times have slightly normalized, but tariffs continue to drive additional spend</t>
  </si>
  <si>
    <t>Customer orders are depressed for heavy machinery because tariffs are so impactful to high-end capital equipment. Revenue expectations are flat for the rest of 2025, with no outlook to improve in 2026</t>
  </si>
  <si>
    <t>Current business conditions remain volatile, with geopolitical tensions, weather disruptions and shifting trade policies driving uncertainty in agricultural commodities. Oils remain sensitive to biofuel demand and global production. Inflation and evolving consumer trends add further complexity. To manage this, we are emphasizing supplier diversification, long-term contracts and formula-based pricing to balance cost stability with flexi</t>
  </si>
  <si>
    <t>The semiconductor industry is being impacted by high tariff prices on parts from Korea, China and Europe. Our industry is at a low point right now as we race to get new nanotechnology in the U.S.</t>
  </si>
  <si>
    <t>Business is slowing down. Order books are softening as customers push orders out. Seems to be stemming from concerns about the direction of the U.S. economy</t>
  </si>
  <si>
    <t>Tariffs still affecting vast amounts of increases in hardware, Al (artificial intelligence) and stainless steel. MRO (maintenance, repair and operating) products have continually increased, and the slowdown in agriculture has had stark impacts on bottom lines for raw materials</t>
  </si>
  <si>
    <t>Steel tariffs are killing us.</t>
  </si>
  <si>
    <t>We are beginning to see the impact of the tariffs impact our business, particularly for food products from India, China, and Southeast Asia, coffee from South America, and apparel and electronics from Asia. Our year-over-year cost increases are getting progressively greater</t>
  </si>
  <si>
    <t>New residential construction continues to struggle in a tough market. Housing values remain high, and tariffs are beginning to be passed through on materials that are metal based. The pace of housing starts has been stagnant to slightly declining, as we head out of the summer building season</t>
  </si>
  <si>
    <t>Pharmacy costs continue to rise, and medical devices are being held at bay mainly due to contracts and continued negotiations where we have two to three sources for a given product</t>
  </si>
  <si>
    <t>Demand for artificial intelligence (AI) and cloud infrastructure remains very strong. Our primary focus this month was on increasing production throughput to begin clearing the significant order backlog built up over the summer. While new order intake has stabilized at a high level, the overall business outlook remains positive. We are still facing significant supply chain challenges, especially for advanced semiconductors and power components, with lead times remaining extended. Price pressures are still present but have not worsened compared to the previous month</t>
  </si>
  <si>
    <t>Client demand in professional services remains steady, though decision-making timelines are lengthening due to continued economic uncertainty and interest-rate concerns. We are also seeing modest upward pressure on labor costs, which impacts both our internal resourcing and supplier pricing</t>
  </si>
  <si>
    <t>Growing apprehension regarding state efforts to reduce or eliminate property taxes that are a major revenue source for local governments. And continuing concern about future economic conditions, inflation, tariffs and their impact on increased prices</t>
  </si>
  <si>
    <t>The overall housing market remains stagnant, which has forced our company to be hyper-vigilant about costs. However, we are growing and increasing our market share despite the headwinds. Tariffs continue to inject an unnecessary level of uncertainty across the broader economy, and costs are now beginning to increase with the full effect of the tariffs now coming into play</t>
  </si>
  <si>
    <t>Costs overall have stabilized, and we’ve not seen any interruptions in sourcing or shipments</t>
  </si>
  <si>
    <t>We’ve had more tariff charges last month than in previous months</t>
  </si>
  <si>
    <t>Business conditions continue to soften, even in markets that have historically been more resilient. Demand is simply weak</t>
  </si>
  <si>
    <t>Business continues to remain difficult, as customers are cancelling and reducing orders due to uncertainty in the global economic environment and regarding the ever-changing tariff landscape</t>
  </si>
  <si>
    <t>Decrease in domestic demand for finished products has resulted in slower manufacturing and an increase of raw material in inventory</t>
  </si>
  <si>
    <t>In general, business is really strained. Money is sitting tighter, and geopolitical changes add to the uncertainty/risk factor. Even medical fields are feeling the pressure</t>
  </si>
  <si>
    <t>Sales continue to underperform in our automotive OEM and industrial divisions. Our aerospace and automotive aftermarket are the only areas performing slightly above budget. This is the third month of lower-than-expected sales, and the remainder of the year outlook is not looking better. Sales are expected to be slightly less than in 2024</t>
  </si>
  <si>
    <t>Tariffs continue to be a large impact to our business. The products we import are not readily manufactured in the U.S., so attempts to reshore have been unsuccessful. Overall, prices on all products have gone up, some significantly. We are trying to keep up with the wild fluctuations and pass along what costs we can to our customers</t>
  </si>
  <si>
    <t>The commercial vehicle (CV) market remains depressed as customers continue to delay vehicle purchases. Uncertainty in price and transportation demand remains the center of attention. U.S. trade policy and reciprocal actions by China in the form of export controls on rare earths and semiconductors, as well as ocean freight carrier restrictions, have once again caused a lot of stress in supply lines. The CV industry is now bracing for the next round of tariffs focused on commercials vehicles, scheduled to begin on November 1</t>
  </si>
  <si>
    <t>The tariff trade war has negatively impacted agricultural export markets, driving down demand and price. This negatively impacts farmer revenue and the likelihood of farmers investing in new equipment</t>
  </si>
  <si>
    <t>The unpredictability of the tariff situation continues to cause havoc and uncertainty on future pricing/cost. But even with the tariffs, the cost to import in many cases is still more attractive than sourcing within the U.S. Challenges with tariffs on production equipment necessary for internal production makes it difficult to justify expansion of capacity</t>
  </si>
  <si>
    <t>Volatility in some of our highly exposed commodity markets has tempered a bit, thanks to improved weather conditions and overall downward pressure on pricing. Tariffs continue to remain difficult to quantify, manage and deal with in general, since they continue to impact us day-to-day and our bottom line</t>
  </si>
  <si>
    <t>Wonder has turned to concern regarding how the tariff threats are affecting our business. Orders are down across most divisions, and we’ve lowered our financial expectations for 2025</t>
  </si>
  <si>
    <t>Activity is generally flat month-over-month; we are closely monitoring effects of the new tariff announcement</t>
  </si>
  <si>
    <t>Uncertainty due to the federal government shutdown has shuttered many non-essential functions. This will lead to project delays and likely hurt our overall fiscal year 2026 expectations. Our sites are funded through the next couple of months, but if the shutdown continues beyond that time, we will expect mass furloughs of our employees</t>
  </si>
  <si>
    <t>Relatively flat activity levels for oil and gas</t>
  </si>
  <si>
    <t>Client demand for advisory and compliance services remains solid, particularly as businesses navigate evolving tax legislation and increased regulatory scrutiny. However, we are seeing extended approval cycles on discretionary projects and tighter controls on consulting spend, which is putting pressure on procurement to be more agile and cost-efficient</t>
  </si>
  <si>
    <t>Heightened business activity due to new fiscal year budget. Items made with or utilizing precious metals are up, basic labor is down — though maintaining employees has been more difficult since a return-to-office order was implemented</t>
  </si>
  <si>
    <t>The overall economy continues to provide mixed signals, which makes it difficult to determine how to move forward as a business given the uncertainty</t>
  </si>
  <si>
    <t>Business very strong, no supply chain or logistical issues</t>
  </si>
  <si>
    <t>General business has been steady, with minimum fluctuation</t>
  </si>
  <si>
    <t>Tariffs continue to cause disruption in contracts and contracting, driving up pricing on goods, particularly engineered and manufactured equipment. The backlog of existing orders with delays continues to persist for equipment and manufactured equipment</t>
  </si>
  <si>
    <t>Business seems to be picking up. Multifamily is a big driver. I think most projects that have been postponed are finally coming to fruition as lumber prices have found a bottom. The outlook is better with the Fed’s plan to continue with rate cuts. Home prices coupled with elevated interest rates continue to keep a lid on sales. Home affordability is still a bit out of reach for a large portion of potential buyers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</si>
</sst>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x14ac:knownFonts="1">
    <font>
      <sz val="11"/>
      <color theme="1"/>
      <name val="Calibri"/>
      <family val="2"/>
      <scheme val="minor"/>
    </font>
    <font>
      <b/>
      <sz val="11"/>
      <color theme="1"/>
      <name val="Calibri"/>
      <family val="2"/>
      <scheme val="minor"/>
    </font>
    <font>
      <sz val="11"/>
      <name val="Arial"/>
      <family val="2"/>
    </font>
    <font>
      <sz val="11"/>
      <color theme="1"/>
      <name val="Arial"/>
      <family val="2"/>
    </font>
    <font>
      <sz val="9"/>
      <color indexed="81"/>
      <name val="Tahoma"/>
      <family val="2"/>
    </font>
    <font>
      <b/>
      <sz val="9"/>
      <color indexed="81"/>
      <name val="Tahoma"/>
      <family val="2"/>
    </font>
    <font>
      <u/>
      <sz val="11"/>
      <color theme="10"/>
      <name val="Calibri"/>
      <family val="2"/>
      <scheme val="minor"/>
    </font>
    <font>
      <u/>
      <sz val="11"/>
      <color theme="10"/>
      <name val="Calibri"/>
      <family val="2"/>
    </font>
    <font>
      <u/>
      <sz val="8"/>
      <name val="Calibri"/>
      <family val="2"/>
    </font>
    <font>
      <sz val="8"/>
      <name val="Calibri"/>
      <family val="2"/>
      <scheme val="minor"/>
    </font>
    <font>
      <sz val="8"/>
      <name val="Arial"/>
      <family val="2"/>
    </font>
    <font>
      <b/>
      <sz val="14"/>
      <name val="Calibri"/>
      <family val="2"/>
      <scheme val="minor"/>
    </font>
    <font>
      <b/>
      <sz val="11"/>
      <color theme="0"/>
      <name val="Arial"/>
      <family val="2"/>
    </font>
    <font>
      <b/>
      <sz val="11"/>
      <color theme="1"/>
      <name val="Arial"/>
      <family val="2"/>
    </font>
    <font>
      <sz val="11"/>
      <color rgb="FFFF0000"/>
      <name val="Arial"/>
      <family val="2"/>
    </font>
    <font>
      <sz val="10"/>
      <color theme="1"/>
      <name val="Arial"/>
      <family val="2"/>
    </font>
    <font>
      <b/>
      <sz val="10"/>
      <color theme="1"/>
      <name val="Arial"/>
      <family val="2"/>
    </font>
    <font>
      <sz val="10"/>
      <color rgb="FF222222"/>
      <name val="Arial"/>
      <family val="2"/>
    </font>
    <font>
      <u/>
      <sz val="13"/>
      <color theme="10"/>
      <name val="Calibri"/>
      <family val="2"/>
      <scheme val="minor"/>
    </font>
    <font>
      <b/>
      <sz val="11"/>
      <color rgb="FFFF0000"/>
      <name val="Arial"/>
      <family val="2"/>
    </font>
    <font>
      <sz val="11"/>
      <color theme="1"/>
      <name val="Calibri"/>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8" tint="0.79998168889431442"/>
        <bgColor indexed="64"/>
      </patternFill>
    </fill>
  </fills>
  <borders count="1">
    <border>
      <left/>
      <right/>
      <top/>
      <bottom/>
      <diagonal/>
    </border>
  </borders>
  <cellStyleXfs count="4">
    <xf numFmtId="0" fontId="0" fillId="0" borderId="0"/>
    <xf numFmtId="0" fontId="6" fillId="0" borderId="0" applyNumberFormat="0" applyFill="0" applyBorder="0" applyAlignment="0" applyProtection="0"/>
    <xf numFmtId="0" fontId="7" fillId="0" borderId="0" applyNumberFormat="0" applyFill="0" applyBorder="0" applyAlignment="0" applyProtection="0">
      <alignment vertical="top"/>
      <protection locked="0"/>
    </xf>
    <xf numFmtId="9" fontId="20" fillId="0" borderId="0" applyFont="0" applyFill="0" applyBorder="0" applyAlignment="0" applyProtection="0"/>
  </cellStyleXfs>
  <cellXfs count="53">
    <xf numFmtId="0" fontId="0" fillId="0" borderId="0" xfId="0"/>
    <xf numFmtId="0" fontId="0" fillId="0" borderId="0" xfId="0" applyAlignment="1">
      <alignment horizontal="center" vertical="center"/>
    </xf>
    <xf numFmtId="0" fontId="2" fillId="3" borderId="0" xfId="0" applyFont="1" applyFill="1" applyAlignment="1">
      <alignment horizontal="center" textRotation="90"/>
    </xf>
    <xf numFmtId="0" fontId="1" fillId="0" borderId="0" xfId="0" applyFont="1" applyAlignment="1">
      <alignment horizontal="center"/>
    </xf>
    <xf numFmtId="1" fontId="3" fillId="3" borderId="0" xfId="0" applyNumberFormat="1" applyFont="1" applyFill="1" applyAlignment="1">
      <alignment horizontal="center" vertical="center"/>
    </xf>
    <xf numFmtId="17" fontId="3" fillId="2" borderId="0" xfId="0" applyNumberFormat="1" applyFont="1" applyFill="1" applyAlignment="1">
      <alignment horizontal="center" vertical="center"/>
    </xf>
    <xf numFmtId="1" fontId="0" fillId="0" borderId="0" xfId="0" applyNumberFormat="1" applyAlignment="1">
      <alignment horizontal="center" vertical="center"/>
    </xf>
    <xf numFmtId="164" fontId="3" fillId="3" borderId="0" xfId="0" applyNumberFormat="1" applyFont="1" applyFill="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center"/>
    </xf>
    <xf numFmtId="17" fontId="0" fillId="0" borderId="0" xfId="0" applyNumberFormat="1" applyAlignment="1">
      <alignment horizontal="center" vertical="center"/>
    </xf>
    <xf numFmtId="0" fontId="8" fillId="3" borderId="0" xfId="2" applyFont="1" applyFill="1" applyAlignment="1" applyProtection="1"/>
    <xf numFmtId="0" fontId="9" fillId="3" borderId="0" xfId="0" applyFont="1" applyFill="1"/>
    <xf numFmtId="0" fontId="8" fillId="0" borderId="0" xfId="2" applyFont="1" applyAlignment="1" applyProtection="1"/>
    <xf numFmtId="0" fontId="9" fillId="3" borderId="0" xfId="0" applyFont="1" applyFill="1" applyAlignment="1">
      <alignment horizontal="center"/>
    </xf>
    <xf numFmtId="0" fontId="10" fillId="3" borderId="0" xfId="0" applyFont="1" applyFill="1" applyAlignment="1">
      <alignment wrapText="1"/>
    </xf>
    <xf numFmtId="0" fontId="9" fillId="0" borderId="0" xfId="0" applyFont="1"/>
    <xf numFmtId="0" fontId="10" fillId="3" borderId="0" xfId="0" applyFont="1" applyFill="1"/>
    <xf numFmtId="0" fontId="11" fillId="4" borderId="0" xfId="0" applyFont="1" applyFill="1"/>
    <xf numFmtId="0" fontId="9" fillId="4" borderId="0" xfId="0" applyFont="1" applyFill="1"/>
    <xf numFmtId="0" fontId="3" fillId="2" borderId="0" xfId="0" applyFont="1" applyFill="1" applyAlignment="1">
      <alignment horizontal="center" vertical="center"/>
    </xf>
    <xf numFmtId="0" fontId="6" fillId="2" borderId="0" xfId="1" applyFill="1" applyAlignment="1">
      <alignment horizontal="left" vertical="center"/>
    </xf>
    <xf numFmtId="0" fontId="6" fillId="2" borderId="0" xfId="1" applyFill="1" applyAlignment="1">
      <alignment horizontal="center" vertical="center"/>
    </xf>
    <xf numFmtId="0" fontId="6" fillId="5" borderId="0" xfId="1" applyFill="1" applyAlignment="1">
      <alignment horizontal="center" vertical="center"/>
    </xf>
    <xf numFmtId="0" fontId="12" fillId="2" borderId="0" xfId="0" applyFont="1" applyFill="1" applyAlignment="1">
      <alignment horizontal="center" vertical="center"/>
    </xf>
    <xf numFmtId="0" fontId="13" fillId="2" borderId="0" xfId="0" applyFont="1" applyFill="1" applyAlignment="1">
      <alignment horizontal="center" vertical="center"/>
    </xf>
    <xf numFmtId="17" fontId="14" fillId="6" borderId="0" xfId="0" applyNumberFormat="1" applyFont="1" applyFill="1" applyAlignment="1">
      <alignment horizontal="center" vertical="center"/>
    </xf>
    <xf numFmtId="17" fontId="2" fillId="6" borderId="0" xfId="0" applyNumberFormat="1" applyFont="1" applyFill="1" applyAlignment="1">
      <alignment horizontal="center" vertical="center"/>
    </xf>
    <xf numFmtId="17" fontId="3" fillId="6" borderId="0" xfId="0" applyNumberFormat="1" applyFont="1" applyFill="1" applyAlignment="1">
      <alignment horizontal="center" vertical="center"/>
    </xf>
    <xf numFmtId="17" fontId="3" fillId="7" borderId="0" xfId="0" applyNumberFormat="1" applyFont="1" applyFill="1" applyAlignment="1">
      <alignment horizontal="center" vertical="center"/>
    </xf>
    <xf numFmtId="17" fontId="3" fillId="8" borderId="0" xfId="0" applyNumberFormat="1" applyFont="1" applyFill="1" applyAlignment="1">
      <alignment horizontal="center" vertical="center"/>
    </xf>
    <xf numFmtId="0" fontId="2" fillId="2" borderId="0" xfId="0" applyFont="1" applyFill="1" applyAlignment="1">
      <alignment horizontal="left" vertical="center"/>
    </xf>
    <xf numFmtId="1" fontId="3" fillId="2" borderId="0" xfId="0" applyNumberFormat="1" applyFont="1" applyFill="1" applyAlignment="1">
      <alignment horizontal="center" vertical="center"/>
    </xf>
    <xf numFmtId="0" fontId="15" fillId="2" borderId="0" xfId="0" applyFont="1" applyFill="1" applyAlignment="1">
      <alignment horizontal="center" vertical="center"/>
    </xf>
    <xf numFmtId="0" fontId="3" fillId="2" borderId="0" xfId="0" applyFont="1" applyFill="1" applyAlignment="1">
      <alignment horizontal="left" vertical="center"/>
    </xf>
    <xf numFmtId="0" fontId="16" fillId="6" borderId="0" xfId="0" applyFont="1" applyFill="1" applyAlignment="1">
      <alignment horizontal="center" vertical="center"/>
    </xf>
    <xf numFmtId="1" fontId="16" fillId="2" borderId="0" xfId="0" applyNumberFormat="1" applyFont="1" applyFill="1" applyAlignment="1">
      <alignment horizontal="center" vertical="center"/>
    </xf>
    <xf numFmtId="0" fontId="14" fillId="2" borderId="0" xfId="0" applyFont="1" applyFill="1" applyAlignment="1">
      <alignment horizontal="left" vertical="center"/>
    </xf>
    <xf numFmtId="0" fontId="3" fillId="10" borderId="0" xfId="0" applyFont="1" applyFill="1" applyAlignment="1">
      <alignment horizontal="center" vertical="center"/>
    </xf>
    <xf numFmtId="0" fontId="17" fillId="10" borderId="0" xfId="0" applyFont="1" applyFill="1" applyAlignment="1">
      <alignment horizontal="center" vertical="center" wrapText="1"/>
    </xf>
    <xf numFmtId="0" fontId="17" fillId="2" borderId="0" xfId="0" applyFont="1" applyFill="1" applyAlignment="1">
      <alignment horizontal="center" vertical="center" wrapText="1"/>
    </xf>
    <xf numFmtId="0" fontId="6" fillId="2" borderId="0" xfId="1" applyFill="1"/>
    <xf numFmtId="0" fontId="18" fillId="2" borderId="0" xfId="1" applyFont="1" applyFill="1" applyAlignment="1">
      <alignment horizontal="left" vertical="center"/>
    </xf>
    <xf numFmtId="0" fontId="13" fillId="10" borderId="0" xfId="0" applyFont="1" applyFill="1" applyAlignment="1">
      <alignment horizontal="center" vertical="center"/>
    </xf>
    <xf numFmtId="1" fontId="17" fillId="10" borderId="0" xfId="0" applyNumberFormat="1" applyFont="1" applyFill="1" applyAlignment="1">
      <alignment horizontal="center" vertical="center" wrapText="1"/>
    </xf>
    <xf numFmtId="0" fontId="0" fillId="0" borderId="0" xfId="0" applyAlignment="1">
      <alignment horizontal="left" vertical="center" wrapText="1"/>
    </xf>
    <xf numFmtId="0" fontId="1" fillId="0" borderId="0" xfId="0" applyFont="1" applyAlignment="1">
      <alignment horizontal="left" vertical="center" wrapText="1"/>
    </xf>
    <xf numFmtId="17" fontId="3" fillId="11" borderId="0" xfId="0" applyNumberFormat="1" applyFont="1" applyFill="1" applyAlignment="1">
      <alignment horizontal="center" vertical="center"/>
    </xf>
    <xf numFmtId="17" fontId="3" fillId="9" borderId="0" xfId="0" applyNumberFormat="1" applyFont="1" applyFill="1" applyAlignment="1">
      <alignment horizontal="center" vertical="center"/>
    </xf>
    <xf numFmtId="10" fontId="0" fillId="0" borderId="0" xfId="3" applyNumberFormat="1" applyFont="1" applyAlignment="1">
      <alignment horizontal="center" vertical="center"/>
    </xf>
    <xf numFmtId="0" fontId="13" fillId="9" borderId="0" xfId="0" applyFont="1" applyFill="1" applyAlignment="1">
      <alignment horizontal="center" vertical="center" textRotation="90" wrapText="1"/>
    </xf>
    <xf numFmtId="0" fontId="19" fillId="9" borderId="0" xfId="0" applyFont="1" applyFill="1" applyAlignment="1">
      <alignment horizontal="center" vertical="center" textRotation="90" wrapText="1"/>
    </xf>
  </cellXfs>
  <cellStyles count="4">
    <cellStyle name="Hyperlink" xfId="1" builtinId="8"/>
    <cellStyle name="Hyperlink 2" xfId="2" xr:uid="{69729C64-BC70-4FC3-8669-0FCDAA7D4A88}"/>
    <cellStyle name="Normal" xfId="0" builtinId="0"/>
    <cellStyle name="Percent" xfId="3" builtinId="5"/>
  </cellStyles>
  <dxfs count="115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0000"/>
      </font>
    </dxf>
    <dxf>
      <font>
        <color rgb="FFFF0000"/>
      </font>
    </dxf>
    <dxf>
      <font>
        <color rgb="FFFF00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994800458036428E-2"/>
          <c:y val="5.4972038062087905E-2"/>
          <c:w val="0.91595837782339784"/>
          <c:h val="0.80294735138153706"/>
        </c:manualLayout>
      </c:layout>
      <c:lineChart>
        <c:grouping val="standard"/>
        <c:varyColors val="0"/>
        <c:ser>
          <c:idx val="0"/>
          <c:order val="0"/>
          <c:tx>
            <c:strRef>
              <c:f>'ISM Manu'!$B$18</c:f>
              <c:strCache>
                <c:ptCount val="1"/>
                <c:pt idx="0">
                  <c:v>Petroleum &amp; Coal Products</c:v>
                </c:pt>
              </c:strCache>
            </c:strRef>
          </c:tx>
          <c:spPr>
            <a:ln w="28575" cap="rnd">
              <a:solidFill>
                <a:schemeClr val="accent1"/>
              </a:solidFill>
              <a:round/>
            </a:ln>
            <a:effectLst/>
          </c:spPr>
          <c:marker>
            <c:symbol val="none"/>
          </c:marker>
          <c:cat>
            <c:numRef>
              <c:f>'ISM Manu'!$AN$5:$CD$5</c:f>
              <c:numCache>
                <c:formatCode>mmm\-yy</c:formatCode>
                <c:ptCount val="43"/>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pt idx="17">
                  <c:v>45139</c:v>
                </c:pt>
                <c:pt idx="18">
                  <c:v>45170</c:v>
                </c:pt>
                <c:pt idx="19">
                  <c:v>45200</c:v>
                </c:pt>
                <c:pt idx="20">
                  <c:v>45231</c:v>
                </c:pt>
                <c:pt idx="21">
                  <c:v>45261</c:v>
                </c:pt>
                <c:pt idx="22">
                  <c:v>45292</c:v>
                </c:pt>
                <c:pt idx="23">
                  <c:v>45323</c:v>
                </c:pt>
                <c:pt idx="24">
                  <c:v>45352</c:v>
                </c:pt>
                <c:pt idx="25">
                  <c:v>45383</c:v>
                </c:pt>
                <c:pt idx="26">
                  <c:v>45413</c:v>
                </c:pt>
                <c:pt idx="27">
                  <c:v>45444</c:v>
                </c:pt>
                <c:pt idx="28">
                  <c:v>45474</c:v>
                </c:pt>
                <c:pt idx="29">
                  <c:v>45505</c:v>
                </c:pt>
                <c:pt idx="30">
                  <c:v>45536</c:v>
                </c:pt>
                <c:pt idx="31">
                  <c:v>45566</c:v>
                </c:pt>
                <c:pt idx="32">
                  <c:v>45597</c:v>
                </c:pt>
                <c:pt idx="33">
                  <c:v>45627</c:v>
                </c:pt>
                <c:pt idx="34">
                  <c:v>45658</c:v>
                </c:pt>
                <c:pt idx="35">
                  <c:v>45689</c:v>
                </c:pt>
                <c:pt idx="36">
                  <c:v>45717</c:v>
                </c:pt>
                <c:pt idx="37">
                  <c:v>45748</c:v>
                </c:pt>
                <c:pt idx="38">
                  <c:v>45778</c:v>
                </c:pt>
                <c:pt idx="39">
                  <c:v>45809</c:v>
                </c:pt>
                <c:pt idx="40">
                  <c:v>45839</c:v>
                </c:pt>
                <c:pt idx="41">
                  <c:v>45870</c:v>
                </c:pt>
                <c:pt idx="42">
                  <c:v>45901</c:v>
                </c:pt>
              </c:numCache>
            </c:numRef>
          </c:cat>
          <c:val>
            <c:numRef>
              <c:f>'ISM Manu'!$AN$18:$CD$18</c:f>
              <c:numCache>
                <c:formatCode>0</c:formatCode>
                <c:ptCount val="43"/>
                <c:pt idx="0">
                  <c:v>-1</c:v>
                </c:pt>
                <c:pt idx="1">
                  <c:v>-1</c:v>
                </c:pt>
                <c:pt idx="2">
                  <c:v>7</c:v>
                </c:pt>
                <c:pt idx="3">
                  <c:v>3</c:v>
                </c:pt>
                <c:pt idx="4">
                  <c:v>9</c:v>
                </c:pt>
                <c:pt idx="5">
                  <c:v>9</c:v>
                </c:pt>
                <c:pt idx="6">
                  <c:v>0</c:v>
                </c:pt>
                <c:pt idx="7">
                  <c:v>5</c:v>
                </c:pt>
                <c:pt idx="8">
                  <c:v>2</c:v>
                </c:pt>
                <c:pt idx="9">
                  <c:v>1</c:v>
                </c:pt>
                <c:pt idx="10">
                  <c:v>-2</c:v>
                </c:pt>
                <c:pt idx="11">
                  <c:v>2</c:v>
                </c:pt>
                <c:pt idx="12">
                  <c:v>3</c:v>
                </c:pt>
                <c:pt idx="13">
                  <c:v>3</c:v>
                </c:pt>
                <c:pt idx="14">
                  <c:v>-8</c:v>
                </c:pt>
                <c:pt idx="15">
                  <c:v>0</c:v>
                </c:pt>
                <c:pt idx="16">
                  <c:v>2</c:v>
                </c:pt>
                <c:pt idx="17">
                  <c:v>2</c:v>
                </c:pt>
                <c:pt idx="18">
                  <c:v>1</c:v>
                </c:pt>
                <c:pt idx="19">
                  <c:v>0</c:v>
                </c:pt>
                <c:pt idx="20">
                  <c:v>0</c:v>
                </c:pt>
                <c:pt idx="21">
                  <c:v>-10</c:v>
                </c:pt>
                <c:pt idx="22">
                  <c:v>-6</c:v>
                </c:pt>
                <c:pt idx="23">
                  <c:v>0</c:v>
                </c:pt>
                <c:pt idx="24">
                  <c:v>6</c:v>
                </c:pt>
                <c:pt idx="25">
                  <c:v>4</c:v>
                </c:pt>
                <c:pt idx="26">
                  <c:v>6</c:v>
                </c:pt>
                <c:pt idx="27">
                  <c:v>7</c:v>
                </c:pt>
                <c:pt idx="28">
                  <c:v>4</c:v>
                </c:pt>
                <c:pt idx="29">
                  <c:v>4</c:v>
                </c:pt>
                <c:pt idx="30">
                  <c:v>5</c:v>
                </c:pt>
                <c:pt idx="31">
                  <c:v>3</c:v>
                </c:pt>
                <c:pt idx="32">
                  <c:v>0</c:v>
                </c:pt>
                <c:pt idx="33">
                  <c:v>0</c:v>
                </c:pt>
                <c:pt idx="34">
                  <c:v>6</c:v>
                </c:pt>
                <c:pt idx="35">
                  <c:v>10</c:v>
                </c:pt>
                <c:pt idx="36">
                  <c:v>8</c:v>
                </c:pt>
                <c:pt idx="37">
                  <c:v>10</c:v>
                </c:pt>
                <c:pt idx="38">
                  <c:v>5</c:v>
                </c:pt>
                <c:pt idx="39">
                  <c:v>8</c:v>
                </c:pt>
                <c:pt idx="40">
                  <c:v>0</c:v>
                </c:pt>
                <c:pt idx="41">
                  <c:v>3</c:v>
                </c:pt>
                <c:pt idx="42">
                  <c:v>5</c:v>
                </c:pt>
              </c:numCache>
            </c:numRef>
          </c:val>
          <c:smooth val="0"/>
          <c:extLst>
            <c:ext xmlns:c16="http://schemas.microsoft.com/office/drawing/2014/chart" uri="{C3380CC4-5D6E-409C-BE32-E72D297353CC}">
              <c16:uniqueId val="{00000000-C609-4D5A-AB7F-AF1C871CEFA0}"/>
            </c:ext>
          </c:extLst>
        </c:ser>
        <c:ser>
          <c:idx val="1"/>
          <c:order val="1"/>
          <c:tx>
            <c:strRef>
              <c:f>'ISM Manu'!$B$17</c:f>
              <c:strCache>
                <c:ptCount val="1"/>
                <c:pt idx="0">
                  <c:v>Paper Products</c:v>
                </c:pt>
              </c:strCache>
            </c:strRef>
          </c:tx>
          <c:spPr>
            <a:ln w="28575" cap="rnd">
              <a:solidFill>
                <a:schemeClr val="accent2"/>
              </a:solidFill>
              <a:round/>
            </a:ln>
            <a:effectLst/>
          </c:spPr>
          <c:marker>
            <c:symbol val="none"/>
          </c:marker>
          <c:cat>
            <c:numRef>
              <c:f>'ISM Manu'!$AN$5:$CD$5</c:f>
              <c:numCache>
                <c:formatCode>mmm\-yy</c:formatCode>
                <c:ptCount val="43"/>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pt idx="17">
                  <c:v>45139</c:v>
                </c:pt>
                <c:pt idx="18">
                  <c:v>45170</c:v>
                </c:pt>
                <c:pt idx="19">
                  <c:v>45200</c:v>
                </c:pt>
                <c:pt idx="20">
                  <c:v>45231</c:v>
                </c:pt>
                <c:pt idx="21">
                  <c:v>45261</c:v>
                </c:pt>
                <c:pt idx="22">
                  <c:v>45292</c:v>
                </c:pt>
                <c:pt idx="23">
                  <c:v>45323</c:v>
                </c:pt>
                <c:pt idx="24">
                  <c:v>45352</c:v>
                </c:pt>
                <c:pt idx="25">
                  <c:v>45383</c:v>
                </c:pt>
                <c:pt idx="26">
                  <c:v>45413</c:v>
                </c:pt>
                <c:pt idx="27">
                  <c:v>45444</c:v>
                </c:pt>
                <c:pt idx="28">
                  <c:v>45474</c:v>
                </c:pt>
                <c:pt idx="29">
                  <c:v>45505</c:v>
                </c:pt>
                <c:pt idx="30">
                  <c:v>45536</c:v>
                </c:pt>
                <c:pt idx="31">
                  <c:v>45566</c:v>
                </c:pt>
                <c:pt idx="32">
                  <c:v>45597</c:v>
                </c:pt>
                <c:pt idx="33">
                  <c:v>45627</c:v>
                </c:pt>
                <c:pt idx="34">
                  <c:v>45658</c:v>
                </c:pt>
                <c:pt idx="35">
                  <c:v>45689</c:v>
                </c:pt>
                <c:pt idx="36">
                  <c:v>45717</c:v>
                </c:pt>
                <c:pt idx="37">
                  <c:v>45748</c:v>
                </c:pt>
                <c:pt idx="38">
                  <c:v>45778</c:v>
                </c:pt>
                <c:pt idx="39">
                  <c:v>45809</c:v>
                </c:pt>
                <c:pt idx="40">
                  <c:v>45839</c:v>
                </c:pt>
                <c:pt idx="41">
                  <c:v>45870</c:v>
                </c:pt>
                <c:pt idx="42">
                  <c:v>45901</c:v>
                </c:pt>
              </c:numCache>
            </c:numRef>
          </c:cat>
          <c:val>
            <c:numRef>
              <c:f>'ISM Manu'!$AN$17:$CD$17</c:f>
              <c:numCache>
                <c:formatCode>0</c:formatCode>
                <c:ptCount val="43"/>
                <c:pt idx="0">
                  <c:v>6</c:v>
                </c:pt>
                <c:pt idx="1">
                  <c:v>8</c:v>
                </c:pt>
                <c:pt idx="2">
                  <c:v>8</c:v>
                </c:pt>
                <c:pt idx="3">
                  <c:v>-3</c:v>
                </c:pt>
                <c:pt idx="4">
                  <c:v>-5</c:v>
                </c:pt>
                <c:pt idx="5">
                  <c:v>-4</c:v>
                </c:pt>
                <c:pt idx="6">
                  <c:v>-3</c:v>
                </c:pt>
                <c:pt idx="7">
                  <c:v>-8</c:v>
                </c:pt>
                <c:pt idx="8">
                  <c:v>-10</c:v>
                </c:pt>
                <c:pt idx="9">
                  <c:v>-10</c:v>
                </c:pt>
                <c:pt idx="10">
                  <c:v>-13</c:v>
                </c:pt>
                <c:pt idx="11">
                  <c:v>-13</c:v>
                </c:pt>
                <c:pt idx="12">
                  <c:v>-8</c:v>
                </c:pt>
                <c:pt idx="13">
                  <c:v>0</c:v>
                </c:pt>
                <c:pt idx="14">
                  <c:v>-10</c:v>
                </c:pt>
                <c:pt idx="15">
                  <c:v>-4</c:v>
                </c:pt>
                <c:pt idx="16">
                  <c:v>-14</c:v>
                </c:pt>
                <c:pt idx="17">
                  <c:v>-4</c:v>
                </c:pt>
                <c:pt idx="18">
                  <c:v>-8</c:v>
                </c:pt>
                <c:pt idx="19">
                  <c:v>-5</c:v>
                </c:pt>
                <c:pt idx="20">
                  <c:v>-14</c:v>
                </c:pt>
                <c:pt idx="21">
                  <c:v>-9</c:v>
                </c:pt>
                <c:pt idx="22">
                  <c:v>-3</c:v>
                </c:pt>
                <c:pt idx="23">
                  <c:v>-2</c:v>
                </c:pt>
                <c:pt idx="24">
                  <c:v>7</c:v>
                </c:pt>
                <c:pt idx="25">
                  <c:v>-1</c:v>
                </c:pt>
                <c:pt idx="26">
                  <c:v>5</c:v>
                </c:pt>
                <c:pt idx="27">
                  <c:v>4</c:v>
                </c:pt>
                <c:pt idx="28">
                  <c:v>-3</c:v>
                </c:pt>
                <c:pt idx="29">
                  <c:v>-3</c:v>
                </c:pt>
                <c:pt idx="30">
                  <c:v>-5</c:v>
                </c:pt>
                <c:pt idx="31">
                  <c:v>-1</c:v>
                </c:pt>
                <c:pt idx="32">
                  <c:v>-8</c:v>
                </c:pt>
                <c:pt idx="33">
                  <c:v>3</c:v>
                </c:pt>
                <c:pt idx="34">
                  <c:v>-2</c:v>
                </c:pt>
                <c:pt idx="35">
                  <c:v>0</c:v>
                </c:pt>
                <c:pt idx="36">
                  <c:v>-6</c:v>
                </c:pt>
                <c:pt idx="37">
                  <c:v>-4</c:v>
                </c:pt>
                <c:pt idx="38">
                  <c:v>-7</c:v>
                </c:pt>
                <c:pt idx="39">
                  <c:v>-4</c:v>
                </c:pt>
                <c:pt idx="40">
                  <c:v>-9</c:v>
                </c:pt>
                <c:pt idx="41">
                  <c:v>-10</c:v>
                </c:pt>
                <c:pt idx="42">
                  <c:v>-8</c:v>
                </c:pt>
              </c:numCache>
            </c:numRef>
          </c:val>
          <c:smooth val="0"/>
          <c:extLst>
            <c:ext xmlns:c16="http://schemas.microsoft.com/office/drawing/2014/chart" uri="{C3380CC4-5D6E-409C-BE32-E72D297353CC}">
              <c16:uniqueId val="{00000001-C609-4D5A-AB7F-AF1C871CEFA0}"/>
            </c:ext>
          </c:extLst>
        </c:ser>
        <c:ser>
          <c:idx val="2"/>
          <c:order val="2"/>
          <c:tx>
            <c:strRef>
              <c:f>'ISM Manu'!$A$6</c:f>
              <c:strCache>
                <c:ptCount val="1"/>
                <c:pt idx="0">
                  <c:v>AVERAGE</c:v>
                </c:pt>
              </c:strCache>
            </c:strRef>
          </c:tx>
          <c:spPr>
            <a:ln w="28575" cap="rnd">
              <a:solidFill>
                <a:schemeClr val="tx1"/>
              </a:solidFill>
              <a:prstDash val="sysDot"/>
              <a:round/>
            </a:ln>
            <a:effectLst/>
          </c:spPr>
          <c:marker>
            <c:symbol val="none"/>
          </c:marker>
          <c:cat>
            <c:numRef>
              <c:f>'ISM Manu'!$AN$5:$CD$5</c:f>
              <c:numCache>
                <c:formatCode>mmm\-yy</c:formatCode>
                <c:ptCount val="43"/>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pt idx="17">
                  <c:v>45139</c:v>
                </c:pt>
                <c:pt idx="18">
                  <c:v>45170</c:v>
                </c:pt>
                <c:pt idx="19">
                  <c:v>45200</c:v>
                </c:pt>
                <c:pt idx="20">
                  <c:v>45231</c:v>
                </c:pt>
                <c:pt idx="21">
                  <c:v>45261</c:v>
                </c:pt>
                <c:pt idx="22">
                  <c:v>45292</c:v>
                </c:pt>
                <c:pt idx="23">
                  <c:v>45323</c:v>
                </c:pt>
                <c:pt idx="24">
                  <c:v>45352</c:v>
                </c:pt>
                <c:pt idx="25">
                  <c:v>45383</c:v>
                </c:pt>
                <c:pt idx="26">
                  <c:v>45413</c:v>
                </c:pt>
                <c:pt idx="27">
                  <c:v>45444</c:v>
                </c:pt>
                <c:pt idx="28">
                  <c:v>45474</c:v>
                </c:pt>
                <c:pt idx="29">
                  <c:v>45505</c:v>
                </c:pt>
                <c:pt idx="30">
                  <c:v>45536</c:v>
                </c:pt>
                <c:pt idx="31">
                  <c:v>45566</c:v>
                </c:pt>
                <c:pt idx="32">
                  <c:v>45597</c:v>
                </c:pt>
                <c:pt idx="33">
                  <c:v>45627</c:v>
                </c:pt>
                <c:pt idx="34">
                  <c:v>45658</c:v>
                </c:pt>
                <c:pt idx="35">
                  <c:v>45689</c:v>
                </c:pt>
                <c:pt idx="36">
                  <c:v>45717</c:v>
                </c:pt>
                <c:pt idx="37">
                  <c:v>45748</c:v>
                </c:pt>
                <c:pt idx="38">
                  <c:v>45778</c:v>
                </c:pt>
                <c:pt idx="39">
                  <c:v>45809</c:v>
                </c:pt>
                <c:pt idx="40">
                  <c:v>45839</c:v>
                </c:pt>
                <c:pt idx="41">
                  <c:v>45870</c:v>
                </c:pt>
                <c:pt idx="42">
                  <c:v>45901</c:v>
                </c:pt>
              </c:numCache>
            </c:numRef>
          </c:cat>
          <c:val>
            <c:numRef>
              <c:f>'ISM Manu'!$AM$6:$CC$6</c:f>
              <c:numCache>
                <c:formatCode>0</c:formatCode>
                <c:ptCount val="43"/>
                <c:pt idx="0">
                  <c:v>7.5</c:v>
                </c:pt>
                <c:pt idx="1">
                  <c:v>6.5</c:v>
                </c:pt>
                <c:pt idx="2">
                  <c:v>8.4444444444444446</c:v>
                </c:pt>
                <c:pt idx="3">
                  <c:v>6.6111111111111107</c:v>
                </c:pt>
                <c:pt idx="4">
                  <c:v>6.333333333333333</c:v>
                </c:pt>
                <c:pt idx="5">
                  <c:v>2.1111111111111112</c:v>
                </c:pt>
                <c:pt idx="6">
                  <c:v>1.5</c:v>
                </c:pt>
                <c:pt idx="7">
                  <c:v>0.94444444444444442</c:v>
                </c:pt>
                <c:pt idx="8">
                  <c:v>-1.0555555555555556</c:v>
                </c:pt>
                <c:pt idx="9">
                  <c:v>-3.1666666666666665</c:v>
                </c:pt>
                <c:pt idx="10">
                  <c:v>-4.8888888888888893</c:v>
                </c:pt>
                <c:pt idx="11">
                  <c:v>-6.5</c:v>
                </c:pt>
                <c:pt idx="12">
                  <c:v>-5.2777777777777777</c:v>
                </c:pt>
                <c:pt idx="13">
                  <c:v>-3.1666666666666665</c:v>
                </c:pt>
                <c:pt idx="14">
                  <c:v>-2.8333333333333335</c:v>
                </c:pt>
                <c:pt idx="15">
                  <c:v>-5.2777777777777777</c:v>
                </c:pt>
                <c:pt idx="16">
                  <c:v>-3.1111111111111112</c:v>
                </c:pt>
                <c:pt idx="17">
                  <c:v>-7.3888888888888893</c:v>
                </c:pt>
                <c:pt idx="18">
                  <c:v>-4.2222222222222223</c:v>
                </c:pt>
                <c:pt idx="19">
                  <c:v>-2.8333333333333335</c:v>
                </c:pt>
                <c:pt idx="20">
                  <c:v>-4.8888888888888893</c:v>
                </c:pt>
                <c:pt idx="21">
                  <c:v>-5.5</c:v>
                </c:pt>
                <c:pt idx="22">
                  <c:v>-7.5</c:v>
                </c:pt>
                <c:pt idx="23">
                  <c:v>-4.5</c:v>
                </c:pt>
                <c:pt idx="24">
                  <c:v>0.44444444444444442</c:v>
                </c:pt>
                <c:pt idx="25">
                  <c:v>1.3333333333333333</c:v>
                </c:pt>
                <c:pt idx="26">
                  <c:v>0.94444444444444442</c:v>
                </c:pt>
                <c:pt idx="27">
                  <c:v>0</c:v>
                </c:pt>
                <c:pt idx="28">
                  <c:v>-0.5</c:v>
                </c:pt>
                <c:pt idx="29">
                  <c:v>-2.8333333333333335</c:v>
                </c:pt>
                <c:pt idx="30">
                  <c:v>-3.5</c:v>
                </c:pt>
                <c:pt idx="31">
                  <c:v>-4.2222222222222223</c:v>
                </c:pt>
                <c:pt idx="32">
                  <c:v>-2.8333333333333335</c:v>
                </c:pt>
                <c:pt idx="33">
                  <c:v>-3.3333333333333335</c:v>
                </c:pt>
                <c:pt idx="34">
                  <c:v>0</c:v>
                </c:pt>
                <c:pt idx="35">
                  <c:v>0</c:v>
                </c:pt>
                <c:pt idx="36">
                  <c:v>2.2222222222222223</c:v>
                </c:pt>
                <c:pt idx="37">
                  <c:v>0.94444444444444442</c:v>
                </c:pt>
                <c:pt idx="38">
                  <c:v>2.5</c:v>
                </c:pt>
                <c:pt idx="39">
                  <c:v>0</c:v>
                </c:pt>
                <c:pt idx="40">
                  <c:v>1.3333333333333333</c:v>
                </c:pt>
                <c:pt idx="41">
                  <c:v>-1.5</c:v>
                </c:pt>
                <c:pt idx="42">
                  <c:v>-1.5</c:v>
                </c:pt>
              </c:numCache>
            </c:numRef>
          </c:val>
          <c:smooth val="0"/>
          <c:extLst>
            <c:ext xmlns:c16="http://schemas.microsoft.com/office/drawing/2014/chart" uri="{C3380CC4-5D6E-409C-BE32-E72D297353CC}">
              <c16:uniqueId val="{00000002-C609-4D5A-AB7F-AF1C871CEFA0}"/>
            </c:ext>
          </c:extLst>
        </c:ser>
        <c:dLbls>
          <c:showLegendKey val="0"/>
          <c:showVal val="0"/>
          <c:showCatName val="0"/>
          <c:showSerName val="0"/>
          <c:showPercent val="0"/>
          <c:showBubbleSize val="0"/>
        </c:dLbls>
        <c:smooth val="0"/>
        <c:axId val="311600783"/>
        <c:axId val="103220607"/>
      </c:lineChart>
      <c:dateAx>
        <c:axId val="31160078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20607"/>
        <c:crosses val="autoZero"/>
        <c:auto val="1"/>
        <c:lblOffset val="100"/>
        <c:baseTimeUnit val="months"/>
      </c:dateAx>
      <c:valAx>
        <c:axId val="103220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0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994800458036428E-2"/>
          <c:y val="5.4972038062087905E-2"/>
          <c:w val="0.91595837782339784"/>
          <c:h val="0.79494344581149234"/>
        </c:manualLayout>
      </c:layout>
      <c:lineChart>
        <c:grouping val="standard"/>
        <c:varyColors val="0"/>
        <c:ser>
          <c:idx val="0"/>
          <c:order val="0"/>
          <c:tx>
            <c:strRef>
              <c:f>'ISM Manu'!$B$49</c:f>
              <c:strCache>
                <c:ptCount val="1"/>
                <c:pt idx="0">
                  <c:v>Fabricated Metal Products</c:v>
                </c:pt>
              </c:strCache>
            </c:strRef>
          </c:tx>
          <c:spPr>
            <a:ln w="28575" cap="rnd">
              <a:solidFill>
                <a:schemeClr val="accent1"/>
              </a:solidFill>
              <a:round/>
            </a:ln>
            <a:effectLst/>
          </c:spPr>
          <c:marker>
            <c:symbol val="none"/>
          </c:marker>
          <c:cat>
            <c:numRef>
              <c:f>'ISM Manu'!$AN$5:$CD$5</c:f>
              <c:numCache>
                <c:formatCode>mmm\-yy</c:formatCode>
                <c:ptCount val="43"/>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pt idx="17">
                  <c:v>45139</c:v>
                </c:pt>
                <c:pt idx="18">
                  <c:v>45170</c:v>
                </c:pt>
                <c:pt idx="19">
                  <c:v>45200</c:v>
                </c:pt>
                <c:pt idx="20">
                  <c:v>45231</c:v>
                </c:pt>
                <c:pt idx="21">
                  <c:v>45261</c:v>
                </c:pt>
                <c:pt idx="22">
                  <c:v>45292</c:v>
                </c:pt>
                <c:pt idx="23">
                  <c:v>45323</c:v>
                </c:pt>
                <c:pt idx="24">
                  <c:v>45352</c:v>
                </c:pt>
                <c:pt idx="25">
                  <c:v>45383</c:v>
                </c:pt>
                <c:pt idx="26">
                  <c:v>45413</c:v>
                </c:pt>
                <c:pt idx="27">
                  <c:v>45444</c:v>
                </c:pt>
                <c:pt idx="28">
                  <c:v>45474</c:v>
                </c:pt>
                <c:pt idx="29">
                  <c:v>45505</c:v>
                </c:pt>
                <c:pt idx="30">
                  <c:v>45536</c:v>
                </c:pt>
                <c:pt idx="31">
                  <c:v>45566</c:v>
                </c:pt>
                <c:pt idx="32">
                  <c:v>45597</c:v>
                </c:pt>
                <c:pt idx="33">
                  <c:v>45627</c:v>
                </c:pt>
                <c:pt idx="34">
                  <c:v>45658</c:v>
                </c:pt>
                <c:pt idx="35">
                  <c:v>45689</c:v>
                </c:pt>
                <c:pt idx="36">
                  <c:v>45717</c:v>
                </c:pt>
                <c:pt idx="37">
                  <c:v>45748</c:v>
                </c:pt>
                <c:pt idx="38">
                  <c:v>45778</c:v>
                </c:pt>
                <c:pt idx="39">
                  <c:v>45809</c:v>
                </c:pt>
                <c:pt idx="40">
                  <c:v>45839</c:v>
                </c:pt>
                <c:pt idx="41">
                  <c:v>45870</c:v>
                </c:pt>
                <c:pt idx="42">
                  <c:v>45901</c:v>
                </c:pt>
              </c:numCache>
            </c:numRef>
          </c:cat>
          <c:val>
            <c:numRef>
              <c:f>'ISM Manu'!$AN$49:$CD$49</c:f>
              <c:numCache>
                <c:formatCode>0</c:formatCode>
                <c:ptCount val="43"/>
                <c:pt idx="0">
                  <c:v>5</c:v>
                </c:pt>
                <c:pt idx="1">
                  <c:v>5</c:v>
                </c:pt>
                <c:pt idx="2">
                  <c:v>1</c:v>
                </c:pt>
                <c:pt idx="3">
                  <c:v>0</c:v>
                </c:pt>
                <c:pt idx="4">
                  <c:v>-5</c:v>
                </c:pt>
                <c:pt idx="5">
                  <c:v>-4</c:v>
                </c:pt>
                <c:pt idx="6">
                  <c:v>-5</c:v>
                </c:pt>
                <c:pt idx="7">
                  <c:v>-7</c:v>
                </c:pt>
                <c:pt idx="8">
                  <c:v>-8</c:v>
                </c:pt>
                <c:pt idx="9">
                  <c:v>-9</c:v>
                </c:pt>
                <c:pt idx="10">
                  <c:v>-8</c:v>
                </c:pt>
                <c:pt idx="11">
                  <c:v>-3</c:v>
                </c:pt>
                <c:pt idx="12">
                  <c:v>1</c:v>
                </c:pt>
                <c:pt idx="13">
                  <c:v>6</c:v>
                </c:pt>
                <c:pt idx="14">
                  <c:v>-2</c:v>
                </c:pt>
                <c:pt idx="15">
                  <c:v>-1</c:v>
                </c:pt>
                <c:pt idx="16">
                  <c:v>-5</c:v>
                </c:pt>
                <c:pt idx="17">
                  <c:v>-6</c:v>
                </c:pt>
                <c:pt idx="18">
                  <c:v>2</c:v>
                </c:pt>
                <c:pt idx="19">
                  <c:v>-2</c:v>
                </c:pt>
                <c:pt idx="20">
                  <c:v>-5</c:v>
                </c:pt>
                <c:pt idx="21">
                  <c:v>-4</c:v>
                </c:pt>
                <c:pt idx="22">
                  <c:v>1</c:v>
                </c:pt>
                <c:pt idx="23">
                  <c:v>7</c:v>
                </c:pt>
                <c:pt idx="24">
                  <c:v>4</c:v>
                </c:pt>
                <c:pt idx="25">
                  <c:v>1</c:v>
                </c:pt>
                <c:pt idx="26">
                  <c:v>-3</c:v>
                </c:pt>
                <c:pt idx="27">
                  <c:v>-6</c:v>
                </c:pt>
                <c:pt idx="28">
                  <c:v>-6</c:v>
                </c:pt>
                <c:pt idx="29">
                  <c:v>-8</c:v>
                </c:pt>
                <c:pt idx="30">
                  <c:v>0</c:v>
                </c:pt>
                <c:pt idx="31">
                  <c:v>-1</c:v>
                </c:pt>
                <c:pt idx="32">
                  <c:v>-7</c:v>
                </c:pt>
                <c:pt idx="33">
                  <c:v>-3</c:v>
                </c:pt>
                <c:pt idx="34">
                  <c:v>2</c:v>
                </c:pt>
                <c:pt idx="35">
                  <c:v>3</c:v>
                </c:pt>
                <c:pt idx="36">
                  <c:v>3</c:v>
                </c:pt>
                <c:pt idx="37">
                  <c:v>2</c:v>
                </c:pt>
                <c:pt idx="38">
                  <c:v>2</c:v>
                </c:pt>
                <c:pt idx="39">
                  <c:v>-1</c:v>
                </c:pt>
                <c:pt idx="40">
                  <c:v>-4</c:v>
                </c:pt>
                <c:pt idx="41">
                  <c:v>-3</c:v>
                </c:pt>
                <c:pt idx="42">
                  <c:v>4</c:v>
                </c:pt>
              </c:numCache>
            </c:numRef>
          </c:val>
          <c:smooth val="0"/>
          <c:extLst>
            <c:ext xmlns:c16="http://schemas.microsoft.com/office/drawing/2014/chart" uri="{C3380CC4-5D6E-409C-BE32-E72D297353CC}">
              <c16:uniqueId val="{00000000-229F-4F1F-BE34-D35864551E5C}"/>
            </c:ext>
          </c:extLst>
        </c:ser>
        <c:ser>
          <c:idx val="1"/>
          <c:order val="1"/>
          <c:tx>
            <c:strRef>
              <c:f>'ISM Manu'!$B$55</c:f>
              <c:strCache>
                <c:ptCount val="1"/>
                <c:pt idx="0">
                  <c:v>Paper Products</c:v>
                </c:pt>
              </c:strCache>
            </c:strRef>
          </c:tx>
          <c:spPr>
            <a:ln w="28575" cap="rnd">
              <a:solidFill>
                <a:schemeClr val="accent2"/>
              </a:solidFill>
              <a:round/>
            </a:ln>
            <a:effectLst/>
          </c:spPr>
          <c:marker>
            <c:symbol val="none"/>
          </c:marker>
          <c:cat>
            <c:numRef>
              <c:f>'ISM Manu'!$AN$5:$CD$5</c:f>
              <c:numCache>
                <c:formatCode>mmm\-yy</c:formatCode>
                <c:ptCount val="43"/>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pt idx="17">
                  <c:v>45139</c:v>
                </c:pt>
                <c:pt idx="18">
                  <c:v>45170</c:v>
                </c:pt>
                <c:pt idx="19">
                  <c:v>45200</c:v>
                </c:pt>
                <c:pt idx="20">
                  <c:v>45231</c:v>
                </c:pt>
                <c:pt idx="21">
                  <c:v>45261</c:v>
                </c:pt>
                <c:pt idx="22">
                  <c:v>45292</c:v>
                </c:pt>
                <c:pt idx="23">
                  <c:v>45323</c:v>
                </c:pt>
                <c:pt idx="24">
                  <c:v>45352</c:v>
                </c:pt>
                <c:pt idx="25">
                  <c:v>45383</c:v>
                </c:pt>
                <c:pt idx="26">
                  <c:v>45413</c:v>
                </c:pt>
                <c:pt idx="27">
                  <c:v>45444</c:v>
                </c:pt>
                <c:pt idx="28">
                  <c:v>45474</c:v>
                </c:pt>
                <c:pt idx="29">
                  <c:v>45505</c:v>
                </c:pt>
                <c:pt idx="30">
                  <c:v>45536</c:v>
                </c:pt>
                <c:pt idx="31">
                  <c:v>45566</c:v>
                </c:pt>
                <c:pt idx="32">
                  <c:v>45597</c:v>
                </c:pt>
                <c:pt idx="33">
                  <c:v>45627</c:v>
                </c:pt>
                <c:pt idx="34">
                  <c:v>45658</c:v>
                </c:pt>
                <c:pt idx="35">
                  <c:v>45689</c:v>
                </c:pt>
                <c:pt idx="36">
                  <c:v>45717</c:v>
                </c:pt>
                <c:pt idx="37">
                  <c:v>45748</c:v>
                </c:pt>
                <c:pt idx="38">
                  <c:v>45778</c:v>
                </c:pt>
                <c:pt idx="39">
                  <c:v>45809</c:v>
                </c:pt>
                <c:pt idx="40">
                  <c:v>45839</c:v>
                </c:pt>
                <c:pt idx="41">
                  <c:v>45870</c:v>
                </c:pt>
                <c:pt idx="42">
                  <c:v>45901</c:v>
                </c:pt>
              </c:numCache>
            </c:numRef>
          </c:cat>
          <c:val>
            <c:numRef>
              <c:f>'ISM Manu'!$AN$55:$CD$55</c:f>
              <c:numCache>
                <c:formatCode>0</c:formatCode>
                <c:ptCount val="43"/>
                <c:pt idx="0">
                  <c:v>7</c:v>
                </c:pt>
                <c:pt idx="1">
                  <c:v>6</c:v>
                </c:pt>
                <c:pt idx="2">
                  <c:v>0</c:v>
                </c:pt>
                <c:pt idx="3">
                  <c:v>-5</c:v>
                </c:pt>
                <c:pt idx="4">
                  <c:v>0</c:v>
                </c:pt>
                <c:pt idx="5">
                  <c:v>0</c:v>
                </c:pt>
                <c:pt idx="6">
                  <c:v>-6</c:v>
                </c:pt>
                <c:pt idx="7">
                  <c:v>-9</c:v>
                </c:pt>
                <c:pt idx="8">
                  <c:v>-12</c:v>
                </c:pt>
                <c:pt idx="9">
                  <c:v>0</c:v>
                </c:pt>
                <c:pt idx="10">
                  <c:v>-14</c:v>
                </c:pt>
                <c:pt idx="11">
                  <c:v>-12</c:v>
                </c:pt>
                <c:pt idx="12">
                  <c:v>-11</c:v>
                </c:pt>
                <c:pt idx="13">
                  <c:v>7</c:v>
                </c:pt>
                <c:pt idx="14">
                  <c:v>-5</c:v>
                </c:pt>
                <c:pt idx="15">
                  <c:v>1</c:v>
                </c:pt>
                <c:pt idx="16">
                  <c:v>-10</c:v>
                </c:pt>
                <c:pt idx="17">
                  <c:v>2</c:v>
                </c:pt>
                <c:pt idx="18">
                  <c:v>0</c:v>
                </c:pt>
                <c:pt idx="19">
                  <c:v>0</c:v>
                </c:pt>
                <c:pt idx="20">
                  <c:v>-9</c:v>
                </c:pt>
                <c:pt idx="21">
                  <c:v>-6</c:v>
                </c:pt>
                <c:pt idx="22">
                  <c:v>0</c:v>
                </c:pt>
                <c:pt idx="23">
                  <c:v>10</c:v>
                </c:pt>
                <c:pt idx="24">
                  <c:v>11</c:v>
                </c:pt>
                <c:pt idx="25">
                  <c:v>5</c:v>
                </c:pt>
                <c:pt idx="26">
                  <c:v>0</c:v>
                </c:pt>
                <c:pt idx="27">
                  <c:v>0</c:v>
                </c:pt>
                <c:pt idx="28">
                  <c:v>5</c:v>
                </c:pt>
                <c:pt idx="29">
                  <c:v>4</c:v>
                </c:pt>
                <c:pt idx="30">
                  <c:v>-9</c:v>
                </c:pt>
                <c:pt idx="31">
                  <c:v>-9</c:v>
                </c:pt>
                <c:pt idx="32">
                  <c:v>-5</c:v>
                </c:pt>
                <c:pt idx="33">
                  <c:v>5</c:v>
                </c:pt>
                <c:pt idx="34">
                  <c:v>0</c:v>
                </c:pt>
                <c:pt idx="35">
                  <c:v>-5</c:v>
                </c:pt>
                <c:pt idx="36">
                  <c:v>-8</c:v>
                </c:pt>
                <c:pt idx="37">
                  <c:v>-5</c:v>
                </c:pt>
                <c:pt idx="38">
                  <c:v>-7</c:v>
                </c:pt>
                <c:pt idx="39">
                  <c:v>-7</c:v>
                </c:pt>
                <c:pt idx="40">
                  <c:v>-8</c:v>
                </c:pt>
                <c:pt idx="41">
                  <c:v>-6</c:v>
                </c:pt>
                <c:pt idx="42">
                  <c:v>-6</c:v>
                </c:pt>
              </c:numCache>
            </c:numRef>
          </c:val>
          <c:smooth val="0"/>
          <c:extLst>
            <c:ext xmlns:c16="http://schemas.microsoft.com/office/drawing/2014/chart" uri="{C3380CC4-5D6E-409C-BE32-E72D297353CC}">
              <c16:uniqueId val="{00000001-229F-4F1F-BE34-D35864551E5C}"/>
            </c:ext>
          </c:extLst>
        </c:ser>
        <c:ser>
          <c:idx val="2"/>
          <c:order val="2"/>
          <c:tx>
            <c:strRef>
              <c:f>'ISM Manu'!$A$6</c:f>
              <c:strCache>
                <c:ptCount val="1"/>
                <c:pt idx="0">
                  <c:v>AVERAGE</c:v>
                </c:pt>
              </c:strCache>
            </c:strRef>
          </c:tx>
          <c:spPr>
            <a:ln w="28575" cap="rnd">
              <a:solidFill>
                <a:schemeClr val="tx1"/>
              </a:solidFill>
              <a:prstDash val="sysDot"/>
              <a:round/>
            </a:ln>
            <a:effectLst/>
          </c:spPr>
          <c:marker>
            <c:symbol val="none"/>
          </c:marker>
          <c:cat>
            <c:numRef>
              <c:f>'ISM Manu'!$AN$5:$CD$5</c:f>
              <c:numCache>
                <c:formatCode>mmm\-yy</c:formatCode>
                <c:ptCount val="43"/>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pt idx="17">
                  <c:v>45139</c:v>
                </c:pt>
                <c:pt idx="18">
                  <c:v>45170</c:v>
                </c:pt>
                <c:pt idx="19">
                  <c:v>45200</c:v>
                </c:pt>
                <c:pt idx="20">
                  <c:v>45231</c:v>
                </c:pt>
                <c:pt idx="21">
                  <c:v>45261</c:v>
                </c:pt>
                <c:pt idx="22">
                  <c:v>45292</c:v>
                </c:pt>
                <c:pt idx="23">
                  <c:v>45323</c:v>
                </c:pt>
                <c:pt idx="24">
                  <c:v>45352</c:v>
                </c:pt>
                <c:pt idx="25">
                  <c:v>45383</c:v>
                </c:pt>
                <c:pt idx="26">
                  <c:v>45413</c:v>
                </c:pt>
                <c:pt idx="27">
                  <c:v>45444</c:v>
                </c:pt>
                <c:pt idx="28">
                  <c:v>45474</c:v>
                </c:pt>
                <c:pt idx="29">
                  <c:v>45505</c:v>
                </c:pt>
                <c:pt idx="30">
                  <c:v>45536</c:v>
                </c:pt>
                <c:pt idx="31">
                  <c:v>45566</c:v>
                </c:pt>
                <c:pt idx="32">
                  <c:v>45597</c:v>
                </c:pt>
                <c:pt idx="33">
                  <c:v>45627</c:v>
                </c:pt>
                <c:pt idx="34">
                  <c:v>45658</c:v>
                </c:pt>
                <c:pt idx="35">
                  <c:v>45689</c:v>
                </c:pt>
                <c:pt idx="36">
                  <c:v>45717</c:v>
                </c:pt>
                <c:pt idx="37">
                  <c:v>45748</c:v>
                </c:pt>
                <c:pt idx="38">
                  <c:v>45778</c:v>
                </c:pt>
                <c:pt idx="39">
                  <c:v>45809</c:v>
                </c:pt>
                <c:pt idx="40">
                  <c:v>45839</c:v>
                </c:pt>
                <c:pt idx="41">
                  <c:v>45870</c:v>
                </c:pt>
                <c:pt idx="42">
                  <c:v>45901</c:v>
                </c:pt>
              </c:numCache>
            </c:numRef>
          </c:cat>
          <c:val>
            <c:numRef>
              <c:f>'ISM Manu'!$AM$6:$CC$6</c:f>
              <c:numCache>
                <c:formatCode>0</c:formatCode>
                <c:ptCount val="43"/>
                <c:pt idx="0">
                  <c:v>7.5</c:v>
                </c:pt>
                <c:pt idx="1">
                  <c:v>6.5</c:v>
                </c:pt>
                <c:pt idx="2">
                  <c:v>8.4444444444444446</c:v>
                </c:pt>
                <c:pt idx="3">
                  <c:v>6.6111111111111107</c:v>
                </c:pt>
                <c:pt idx="4">
                  <c:v>6.333333333333333</c:v>
                </c:pt>
                <c:pt idx="5">
                  <c:v>2.1111111111111112</c:v>
                </c:pt>
                <c:pt idx="6">
                  <c:v>1.5</c:v>
                </c:pt>
                <c:pt idx="7">
                  <c:v>0.94444444444444442</c:v>
                </c:pt>
                <c:pt idx="8">
                  <c:v>-1.0555555555555556</c:v>
                </c:pt>
                <c:pt idx="9">
                  <c:v>-3.1666666666666665</c:v>
                </c:pt>
                <c:pt idx="10">
                  <c:v>-4.8888888888888893</c:v>
                </c:pt>
                <c:pt idx="11">
                  <c:v>-6.5</c:v>
                </c:pt>
                <c:pt idx="12">
                  <c:v>-5.2777777777777777</c:v>
                </c:pt>
                <c:pt idx="13">
                  <c:v>-3.1666666666666665</c:v>
                </c:pt>
                <c:pt idx="14">
                  <c:v>-2.8333333333333335</c:v>
                </c:pt>
                <c:pt idx="15">
                  <c:v>-5.2777777777777777</c:v>
                </c:pt>
                <c:pt idx="16">
                  <c:v>-3.1111111111111112</c:v>
                </c:pt>
                <c:pt idx="17">
                  <c:v>-7.3888888888888893</c:v>
                </c:pt>
                <c:pt idx="18">
                  <c:v>-4.2222222222222223</c:v>
                </c:pt>
                <c:pt idx="19">
                  <c:v>-2.8333333333333335</c:v>
                </c:pt>
                <c:pt idx="20">
                  <c:v>-4.8888888888888893</c:v>
                </c:pt>
                <c:pt idx="21">
                  <c:v>-5.5</c:v>
                </c:pt>
                <c:pt idx="22">
                  <c:v>-7.5</c:v>
                </c:pt>
                <c:pt idx="23">
                  <c:v>-4.5</c:v>
                </c:pt>
                <c:pt idx="24">
                  <c:v>0.44444444444444442</c:v>
                </c:pt>
                <c:pt idx="25">
                  <c:v>1.3333333333333333</c:v>
                </c:pt>
                <c:pt idx="26">
                  <c:v>0.94444444444444442</c:v>
                </c:pt>
                <c:pt idx="27">
                  <c:v>0</c:v>
                </c:pt>
                <c:pt idx="28">
                  <c:v>-0.5</c:v>
                </c:pt>
                <c:pt idx="29">
                  <c:v>-2.8333333333333335</c:v>
                </c:pt>
                <c:pt idx="30">
                  <c:v>-3.5</c:v>
                </c:pt>
                <c:pt idx="31">
                  <c:v>-4.2222222222222223</c:v>
                </c:pt>
                <c:pt idx="32">
                  <c:v>-2.8333333333333335</c:v>
                </c:pt>
                <c:pt idx="33">
                  <c:v>-3.3333333333333335</c:v>
                </c:pt>
                <c:pt idx="34">
                  <c:v>0</c:v>
                </c:pt>
                <c:pt idx="35">
                  <c:v>0</c:v>
                </c:pt>
                <c:pt idx="36">
                  <c:v>2.2222222222222223</c:v>
                </c:pt>
                <c:pt idx="37">
                  <c:v>0.94444444444444442</c:v>
                </c:pt>
                <c:pt idx="38">
                  <c:v>2.5</c:v>
                </c:pt>
                <c:pt idx="39">
                  <c:v>0</c:v>
                </c:pt>
                <c:pt idx="40">
                  <c:v>1.3333333333333333</c:v>
                </c:pt>
                <c:pt idx="41">
                  <c:v>-1.5</c:v>
                </c:pt>
                <c:pt idx="42">
                  <c:v>-1.5</c:v>
                </c:pt>
              </c:numCache>
            </c:numRef>
          </c:val>
          <c:smooth val="0"/>
          <c:extLst>
            <c:ext xmlns:c16="http://schemas.microsoft.com/office/drawing/2014/chart" uri="{C3380CC4-5D6E-409C-BE32-E72D297353CC}">
              <c16:uniqueId val="{00000002-229F-4F1F-BE34-D35864551E5C}"/>
            </c:ext>
          </c:extLst>
        </c:ser>
        <c:dLbls>
          <c:showLegendKey val="0"/>
          <c:showVal val="0"/>
          <c:showCatName val="0"/>
          <c:showSerName val="0"/>
          <c:showPercent val="0"/>
          <c:showBubbleSize val="0"/>
        </c:dLbls>
        <c:smooth val="0"/>
        <c:axId val="311600783"/>
        <c:axId val="103220607"/>
      </c:lineChart>
      <c:dateAx>
        <c:axId val="31160078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20607"/>
        <c:crosses val="autoZero"/>
        <c:auto val="1"/>
        <c:lblOffset val="100"/>
        <c:baseTimeUnit val="months"/>
      </c:dateAx>
      <c:valAx>
        <c:axId val="103220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00783"/>
        <c:crosses val="autoZero"/>
        <c:crossBetween val="between"/>
      </c:valAx>
      <c:spPr>
        <a:noFill/>
        <a:ln>
          <a:noFill/>
        </a:ln>
        <a:effectLst/>
      </c:spPr>
    </c:plotArea>
    <c:legend>
      <c:legendPos val="b"/>
      <c:layout>
        <c:manualLayout>
          <c:xMode val="edge"/>
          <c:yMode val="edge"/>
          <c:x val="7.2132509087409246E-3"/>
          <c:y val="0.88140904142265408"/>
          <c:w val="0.98557349818251816"/>
          <c:h val="9.4579652466279404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994800458036428E-2"/>
          <c:y val="5.4972038062087905E-2"/>
          <c:w val="0.91595837782339784"/>
          <c:h val="0.67322745527925698"/>
        </c:manualLayout>
      </c:layout>
      <c:lineChart>
        <c:grouping val="standard"/>
        <c:varyColors val="0"/>
        <c:ser>
          <c:idx val="0"/>
          <c:order val="0"/>
          <c:tx>
            <c:strRef>
              <c:f>'ISM Manu'!$B$7</c:f>
              <c:strCache>
                <c:ptCount val="1"/>
                <c:pt idx="0">
                  <c:v>Apparel, Leather &amp; Allied Products</c:v>
                </c:pt>
              </c:strCache>
            </c:strRef>
          </c:tx>
          <c:spPr>
            <a:ln w="28575" cap="rnd">
              <a:solidFill>
                <a:schemeClr val="accent1"/>
              </a:solidFill>
              <a:round/>
            </a:ln>
            <a:effectLst/>
          </c:spPr>
          <c:marker>
            <c:symbol val="none"/>
          </c:marker>
          <c:cat>
            <c:numRef>
              <c:f>'ISM Manu'!$AM$5:$CC$5</c:f>
              <c:numCache>
                <c:formatCode>mmm\-yy</c:formatCode>
                <c:ptCount val="43"/>
                <c:pt idx="0">
                  <c:v>44593</c:v>
                </c:pt>
                <c:pt idx="1">
                  <c:v>44621</c:v>
                </c:pt>
                <c:pt idx="2">
                  <c:v>44652</c:v>
                </c:pt>
                <c:pt idx="3">
                  <c:v>44682</c:v>
                </c:pt>
                <c:pt idx="4">
                  <c:v>44713</c:v>
                </c:pt>
                <c:pt idx="5">
                  <c:v>44743</c:v>
                </c:pt>
                <c:pt idx="6">
                  <c:v>44774</c:v>
                </c:pt>
                <c:pt idx="7">
                  <c:v>44805</c:v>
                </c:pt>
                <c:pt idx="8">
                  <c:v>44835</c:v>
                </c:pt>
                <c:pt idx="9">
                  <c:v>44866</c:v>
                </c:pt>
                <c:pt idx="10">
                  <c:v>44896</c:v>
                </c:pt>
                <c:pt idx="11">
                  <c:v>44927</c:v>
                </c:pt>
                <c:pt idx="12">
                  <c:v>44958</c:v>
                </c:pt>
                <c:pt idx="13">
                  <c:v>44986</c:v>
                </c:pt>
                <c:pt idx="14">
                  <c:v>45017</c:v>
                </c:pt>
                <c:pt idx="15">
                  <c:v>45047</c:v>
                </c:pt>
                <c:pt idx="16">
                  <c:v>45078</c:v>
                </c:pt>
                <c:pt idx="17">
                  <c:v>45108</c:v>
                </c:pt>
                <c:pt idx="18">
                  <c:v>45139</c:v>
                </c:pt>
                <c:pt idx="19">
                  <c:v>45170</c:v>
                </c:pt>
                <c:pt idx="20">
                  <c:v>45200</c:v>
                </c:pt>
                <c:pt idx="21">
                  <c:v>45231</c:v>
                </c:pt>
                <c:pt idx="22">
                  <c:v>45261</c:v>
                </c:pt>
                <c:pt idx="23">
                  <c:v>45292</c:v>
                </c:pt>
                <c:pt idx="24">
                  <c:v>45323</c:v>
                </c:pt>
                <c:pt idx="25">
                  <c:v>45352</c:v>
                </c:pt>
                <c:pt idx="26">
                  <c:v>45383</c:v>
                </c:pt>
                <c:pt idx="27">
                  <c:v>45413</c:v>
                </c:pt>
                <c:pt idx="28">
                  <c:v>45444</c:v>
                </c:pt>
                <c:pt idx="29">
                  <c:v>45474</c:v>
                </c:pt>
                <c:pt idx="30">
                  <c:v>45505</c:v>
                </c:pt>
                <c:pt idx="31">
                  <c:v>45536</c:v>
                </c:pt>
                <c:pt idx="32">
                  <c:v>45566</c:v>
                </c:pt>
                <c:pt idx="33">
                  <c:v>45597</c:v>
                </c:pt>
                <c:pt idx="34">
                  <c:v>45627</c:v>
                </c:pt>
                <c:pt idx="35">
                  <c:v>45658</c:v>
                </c:pt>
                <c:pt idx="36">
                  <c:v>45689</c:v>
                </c:pt>
                <c:pt idx="37">
                  <c:v>45717</c:v>
                </c:pt>
                <c:pt idx="38">
                  <c:v>45748</c:v>
                </c:pt>
                <c:pt idx="39">
                  <c:v>45778</c:v>
                </c:pt>
                <c:pt idx="40">
                  <c:v>45809</c:v>
                </c:pt>
                <c:pt idx="41">
                  <c:v>45839</c:v>
                </c:pt>
                <c:pt idx="42">
                  <c:v>45870</c:v>
                </c:pt>
              </c:numCache>
            </c:numRef>
          </c:cat>
          <c:val>
            <c:numRef>
              <c:f>'ISM Manu'!$AM$26:$CC$26</c:f>
              <c:numCache>
                <c:formatCode>0</c:formatCode>
                <c:ptCount val="43"/>
                <c:pt idx="0">
                  <c:v>18</c:v>
                </c:pt>
                <c:pt idx="1">
                  <c:v>18</c:v>
                </c:pt>
                <c:pt idx="2">
                  <c:v>18</c:v>
                </c:pt>
                <c:pt idx="3">
                  <c:v>18</c:v>
                </c:pt>
                <c:pt idx="4">
                  <c:v>18</c:v>
                </c:pt>
                <c:pt idx="5">
                  <c:v>18</c:v>
                </c:pt>
                <c:pt idx="6">
                  <c:v>2</c:v>
                </c:pt>
                <c:pt idx="7">
                  <c:v>14</c:v>
                </c:pt>
                <c:pt idx="8">
                  <c:v>18</c:v>
                </c:pt>
                <c:pt idx="9">
                  <c:v>18</c:v>
                </c:pt>
                <c:pt idx="10">
                  <c:v>8</c:v>
                </c:pt>
                <c:pt idx="11">
                  <c:v>5</c:v>
                </c:pt>
                <c:pt idx="12">
                  <c:v>18</c:v>
                </c:pt>
                <c:pt idx="13">
                  <c:v>8</c:v>
                </c:pt>
                <c:pt idx="14">
                  <c:v>17</c:v>
                </c:pt>
                <c:pt idx="15">
                  <c:v>3</c:v>
                </c:pt>
                <c:pt idx="16">
                  <c:v>13</c:v>
                </c:pt>
                <c:pt idx="17">
                  <c:v>1</c:v>
                </c:pt>
                <c:pt idx="18">
                  <c:v>1</c:v>
                </c:pt>
                <c:pt idx="19">
                  <c:v>12.5</c:v>
                </c:pt>
                <c:pt idx="20">
                  <c:v>15</c:v>
                </c:pt>
                <c:pt idx="21">
                  <c:v>5</c:v>
                </c:pt>
                <c:pt idx="22">
                  <c:v>2</c:v>
                </c:pt>
                <c:pt idx="23">
                  <c:v>18</c:v>
                </c:pt>
                <c:pt idx="24">
                  <c:v>18</c:v>
                </c:pt>
                <c:pt idx="25">
                  <c:v>8</c:v>
                </c:pt>
                <c:pt idx="26">
                  <c:v>8.5</c:v>
                </c:pt>
                <c:pt idx="27">
                  <c:v>9.5</c:v>
                </c:pt>
                <c:pt idx="28">
                  <c:v>10</c:v>
                </c:pt>
                <c:pt idx="29">
                  <c:v>12.5</c:v>
                </c:pt>
                <c:pt idx="30">
                  <c:v>13</c:v>
                </c:pt>
                <c:pt idx="31">
                  <c:v>4</c:v>
                </c:pt>
                <c:pt idx="32">
                  <c:v>18</c:v>
                </c:pt>
                <c:pt idx="33">
                  <c:v>13.5</c:v>
                </c:pt>
                <c:pt idx="34">
                  <c:v>9.5</c:v>
                </c:pt>
                <c:pt idx="35">
                  <c:v>9.5</c:v>
                </c:pt>
                <c:pt idx="36">
                  <c:v>7</c:v>
                </c:pt>
                <c:pt idx="37">
                  <c:v>8.5</c:v>
                </c:pt>
                <c:pt idx="38">
                  <c:v>18</c:v>
                </c:pt>
                <c:pt idx="39">
                  <c:v>9.5</c:v>
                </c:pt>
                <c:pt idx="40">
                  <c:v>18</c:v>
                </c:pt>
                <c:pt idx="41">
                  <c:v>18</c:v>
                </c:pt>
                <c:pt idx="42">
                  <c:v>17</c:v>
                </c:pt>
              </c:numCache>
            </c:numRef>
          </c:val>
          <c:smooth val="0"/>
          <c:extLst>
            <c:ext xmlns:c16="http://schemas.microsoft.com/office/drawing/2014/chart" uri="{C3380CC4-5D6E-409C-BE32-E72D297353CC}">
              <c16:uniqueId val="{00000000-2875-496F-8C4F-4F4690B73E23}"/>
            </c:ext>
          </c:extLst>
        </c:ser>
        <c:ser>
          <c:idx val="1"/>
          <c:order val="1"/>
          <c:tx>
            <c:strRef>
              <c:f>'ISM Manu'!$B$42</c:f>
              <c:strCache>
                <c:ptCount val="1"/>
                <c:pt idx="0">
                  <c:v>Transportation Equipment</c:v>
                </c:pt>
              </c:strCache>
            </c:strRef>
          </c:tx>
          <c:spPr>
            <a:ln w="28575" cap="rnd">
              <a:solidFill>
                <a:schemeClr val="accent2"/>
              </a:solidFill>
              <a:round/>
            </a:ln>
            <a:effectLst/>
          </c:spPr>
          <c:marker>
            <c:symbol val="none"/>
          </c:marker>
          <c:cat>
            <c:numRef>
              <c:f>'ISM Manu'!$AM$5:$CC$5</c:f>
              <c:numCache>
                <c:formatCode>mmm\-yy</c:formatCode>
                <c:ptCount val="43"/>
                <c:pt idx="0">
                  <c:v>44593</c:v>
                </c:pt>
                <c:pt idx="1">
                  <c:v>44621</c:v>
                </c:pt>
                <c:pt idx="2">
                  <c:v>44652</c:v>
                </c:pt>
                <c:pt idx="3">
                  <c:v>44682</c:v>
                </c:pt>
                <c:pt idx="4">
                  <c:v>44713</c:v>
                </c:pt>
                <c:pt idx="5">
                  <c:v>44743</c:v>
                </c:pt>
                <c:pt idx="6">
                  <c:v>44774</c:v>
                </c:pt>
                <c:pt idx="7">
                  <c:v>44805</c:v>
                </c:pt>
                <c:pt idx="8">
                  <c:v>44835</c:v>
                </c:pt>
                <c:pt idx="9">
                  <c:v>44866</c:v>
                </c:pt>
                <c:pt idx="10">
                  <c:v>44896</c:v>
                </c:pt>
                <c:pt idx="11">
                  <c:v>44927</c:v>
                </c:pt>
                <c:pt idx="12">
                  <c:v>44958</c:v>
                </c:pt>
                <c:pt idx="13">
                  <c:v>44986</c:v>
                </c:pt>
                <c:pt idx="14">
                  <c:v>45017</c:v>
                </c:pt>
                <c:pt idx="15">
                  <c:v>45047</c:v>
                </c:pt>
                <c:pt idx="16">
                  <c:v>45078</c:v>
                </c:pt>
                <c:pt idx="17">
                  <c:v>45108</c:v>
                </c:pt>
                <c:pt idx="18">
                  <c:v>45139</c:v>
                </c:pt>
                <c:pt idx="19">
                  <c:v>45170</c:v>
                </c:pt>
                <c:pt idx="20">
                  <c:v>45200</c:v>
                </c:pt>
                <c:pt idx="21">
                  <c:v>45231</c:v>
                </c:pt>
                <c:pt idx="22">
                  <c:v>45261</c:v>
                </c:pt>
                <c:pt idx="23">
                  <c:v>45292</c:v>
                </c:pt>
                <c:pt idx="24">
                  <c:v>45323</c:v>
                </c:pt>
                <c:pt idx="25">
                  <c:v>45352</c:v>
                </c:pt>
                <c:pt idx="26">
                  <c:v>45383</c:v>
                </c:pt>
                <c:pt idx="27">
                  <c:v>45413</c:v>
                </c:pt>
                <c:pt idx="28">
                  <c:v>45444</c:v>
                </c:pt>
                <c:pt idx="29">
                  <c:v>45474</c:v>
                </c:pt>
                <c:pt idx="30">
                  <c:v>45505</c:v>
                </c:pt>
                <c:pt idx="31">
                  <c:v>45536</c:v>
                </c:pt>
                <c:pt idx="32">
                  <c:v>45566</c:v>
                </c:pt>
                <c:pt idx="33">
                  <c:v>45597</c:v>
                </c:pt>
                <c:pt idx="34">
                  <c:v>45627</c:v>
                </c:pt>
                <c:pt idx="35">
                  <c:v>45658</c:v>
                </c:pt>
                <c:pt idx="36">
                  <c:v>45689</c:v>
                </c:pt>
                <c:pt idx="37">
                  <c:v>45717</c:v>
                </c:pt>
                <c:pt idx="38">
                  <c:v>45748</c:v>
                </c:pt>
                <c:pt idx="39">
                  <c:v>45778</c:v>
                </c:pt>
                <c:pt idx="40">
                  <c:v>45809</c:v>
                </c:pt>
                <c:pt idx="41">
                  <c:v>45839</c:v>
                </c:pt>
                <c:pt idx="42">
                  <c:v>45870</c:v>
                </c:pt>
              </c:numCache>
            </c:numRef>
          </c:cat>
          <c:val>
            <c:numRef>
              <c:f>'ISM Manu'!$AM$42:$CC$42</c:f>
              <c:numCache>
                <c:formatCode>0</c:formatCode>
                <c:ptCount val="43"/>
                <c:pt idx="0">
                  <c:v>15</c:v>
                </c:pt>
                <c:pt idx="1">
                  <c:v>11</c:v>
                </c:pt>
                <c:pt idx="2">
                  <c:v>12</c:v>
                </c:pt>
                <c:pt idx="3">
                  <c:v>12</c:v>
                </c:pt>
                <c:pt idx="4">
                  <c:v>9</c:v>
                </c:pt>
                <c:pt idx="5">
                  <c:v>13</c:v>
                </c:pt>
                <c:pt idx="6">
                  <c:v>16</c:v>
                </c:pt>
                <c:pt idx="7">
                  <c:v>13</c:v>
                </c:pt>
                <c:pt idx="8">
                  <c:v>14</c:v>
                </c:pt>
                <c:pt idx="9">
                  <c:v>13</c:v>
                </c:pt>
                <c:pt idx="10">
                  <c:v>12</c:v>
                </c:pt>
                <c:pt idx="11">
                  <c:v>17</c:v>
                </c:pt>
                <c:pt idx="12">
                  <c:v>17</c:v>
                </c:pt>
                <c:pt idx="13">
                  <c:v>12</c:v>
                </c:pt>
                <c:pt idx="14">
                  <c:v>14</c:v>
                </c:pt>
                <c:pt idx="15">
                  <c:v>16</c:v>
                </c:pt>
                <c:pt idx="16">
                  <c:v>15</c:v>
                </c:pt>
                <c:pt idx="17">
                  <c:v>14</c:v>
                </c:pt>
                <c:pt idx="18">
                  <c:v>17</c:v>
                </c:pt>
                <c:pt idx="19">
                  <c:v>11</c:v>
                </c:pt>
                <c:pt idx="20">
                  <c:v>13</c:v>
                </c:pt>
                <c:pt idx="21">
                  <c:v>16</c:v>
                </c:pt>
                <c:pt idx="22">
                  <c:v>15</c:v>
                </c:pt>
                <c:pt idx="23">
                  <c:v>16</c:v>
                </c:pt>
                <c:pt idx="24">
                  <c:v>11</c:v>
                </c:pt>
                <c:pt idx="25">
                  <c:v>10</c:v>
                </c:pt>
                <c:pt idx="26">
                  <c:v>12</c:v>
                </c:pt>
                <c:pt idx="27">
                  <c:v>6</c:v>
                </c:pt>
                <c:pt idx="28">
                  <c:v>5</c:v>
                </c:pt>
                <c:pt idx="29">
                  <c:v>5</c:v>
                </c:pt>
                <c:pt idx="30">
                  <c:v>7</c:v>
                </c:pt>
                <c:pt idx="31">
                  <c:v>6</c:v>
                </c:pt>
                <c:pt idx="32">
                  <c:v>3</c:v>
                </c:pt>
                <c:pt idx="33">
                  <c:v>5</c:v>
                </c:pt>
                <c:pt idx="34">
                  <c:v>6</c:v>
                </c:pt>
                <c:pt idx="35">
                  <c:v>13</c:v>
                </c:pt>
                <c:pt idx="36">
                  <c:v>9</c:v>
                </c:pt>
                <c:pt idx="37">
                  <c:v>12</c:v>
                </c:pt>
                <c:pt idx="38">
                  <c:v>5</c:v>
                </c:pt>
                <c:pt idx="39">
                  <c:v>5</c:v>
                </c:pt>
                <c:pt idx="40">
                  <c:v>5</c:v>
                </c:pt>
                <c:pt idx="41">
                  <c:v>8</c:v>
                </c:pt>
                <c:pt idx="42">
                  <c:v>4</c:v>
                </c:pt>
              </c:numCache>
            </c:numRef>
          </c:val>
          <c:smooth val="0"/>
          <c:extLst>
            <c:ext xmlns:c16="http://schemas.microsoft.com/office/drawing/2014/chart" uri="{C3380CC4-5D6E-409C-BE32-E72D297353CC}">
              <c16:uniqueId val="{00000001-2875-496F-8C4F-4F4690B73E23}"/>
            </c:ext>
          </c:extLst>
        </c:ser>
        <c:dLbls>
          <c:showLegendKey val="0"/>
          <c:showVal val="0"/>
          <c:showCatName val="0"/>
          <c:showSerName val="0"/>
          <c:showPercent val="0"/>
          <c:showBubbleSize val="0"/>
        </c:dLbls>
        <c:smooth val="0"/>
        <c:axId val="311600783"/>
        <c:axId val="103220607"/>
      </c:lineChart>
      <c:dateAx>
        <c:axId val="31160078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20607"/>
        <c:crosses val="autoZero"/>
        <c:auto val="1"/>
        <c:lblOffset val="100"/>
        <c:baseTimeUnit val="months"/>
      </c:dateAx>
      <c:valAx>
        <c:axId val="103220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60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'ISM Non-Manu'!$B$14</c:f>
              <c:strCache>
                <c:ptCount val="1"/>
                <c:pt idx="0">
                  <c:v>Information</c:v>
                </c:pt>
              </c:strCache>
            </c:strRef>
          </c:tx>
          <c:spPr>
            <a:ln w="28575" cap="rnd">
              <a:solidFill>
                <a:schemeClr val="accent1"/>
              </a:solidFill>
              <a:round/>
            </a:ln>
            <a:effectLst/>
          </c:spPr>
          <c:marker>
            <c:symbol val="none"/>
          </c:marker>
          <c:cat>
            <c:numRef>
              <c:f>'ISM Non-Manu'!$AY$5:$CD$5</c:f>
              <c:numCache>
                <c:formatCode>mmm\-yy</c:formatCode>
                <c:ptCount val="32"/>
                <c:pt idx="0">
                  <c:v>44958</c:v>
                </c:pt>
                <c:pt idx="1">
                  <c:v>44986</c:v>
                </c:pt>
                <c:pt idx="2">
                  <c:v>45017</c:v>
                </c:pt>
                <c:pt idx="3">
                  <c:v>45047</c:v>
                </c:pt>
                <c:pt idx="4">
                  <c:v>45078</c:v>
                </c:pt>
                <c:pt idx="5">
                  <c:v>45108</c:v>
                </c:pt>
                <c:pt idx="6">
                  <c:v>45139</c:v>
                </c:pt>
                <c:pt idx="7">
                  <c:v>45170</c:v>
                </c:pt>
                <c:pt idx="8">
                  <c:v>45200</c:v>
                </c:pt>
                <c:pt idx="9">
                  <c:v>45231</c:v>
                </c:pt>
                <c:pt idx="10">
                  <c:v>45261</c:v>
                </c:pt>
                <c:pt idx="11">
                  <c:v>45292</c:v>
                </c:pt>
                <c:pt idx="12">
                  <c:v>45323</c:v>
                </c:pt>
                <c:pt idx="13">
                  <c:v>45352</c:v>
                </c:pt>
                <c:pt idx="14">
                  <c:v>45383</c:v>
                </c:pt>
                <c:pt idx="15">
                  <c:v>45413</c:v>
                </c:pt>
                <c:pt idx="16">
                  <c:v>45444</c:v>
                </c:pt>
                <c:pt idx="17">
                  <c:v>45474</c:v>
                </c:pt>
                <c:pt idx="18">
                  <c:v>45505</c:v>
                </c:pt>
                <c:pt idx="19">
                  <c:v>45536</c:v>
                </c:pt>
                <c:pt idx="20">
                  <c:v>45566</c:v>
                </c:pt>
                <c:pt idx="21">
                  <c:v>45597</c:v>
                </c:pt>
                <c:pt idx="22">
                  <c:v>45627</c:v>
                </c:pt>
                <c:pt idx="23">
                  <c:v>45658</c:v>
                </c:pt>
                <c:pt idx="24">
                  <c:v>45689</c:v>
                </c:pt>
                <c:pt idx="25">
                  <c:v>45717</c:v>
                </c:pt>
                <c:pt idx="26">
                  <c:v>45748</c:v>
                </c:pt>
                <c:pt idx="27">
                  <c:v>45778</c:v>
                </c:pt>
                <c:pt idx="28">
                  <c:v>45809</c:v>
                </c:pt>
                <c:pt idx="29">
                  <c:v>45839</c:v>
                </c:pt>
                <c:pt idx="30">
                  <c:v>45870</c:v>
                </c:pt>
                <c:pt idx="31">
                  <c:v>45901</c:v>
                </c:pt>
              </c:numCache>
            </c:numRef>
          </c:cat>
          <c:val>
            <c:numRef>
              <c:f>'ISM Non-Manu'!$AY$14:$CD$14</c:f>
              <c:numCache>
                <c:formatCode>0</c:formatCode>
                <c:ptCount val="32"/>
                <c:pt idx="0">
                  <c:v>-2</c:v>
                </c:pt>
                <c:pt idx="1">
                  <c:v>1</c:v>
                </c:pt>
                <c:pt idx="2">
                  <c:v>1</c:v>
                </c:pt>
                <c:pt idx="3">
                  <c:v>-3</c:v>
                </c:pt>
                <c:pt idx="4">
                  <c:v>-1</c:v>
                </c:pt>
                <c:pt idx="5">
                  <c:v>2</c:v>
                </c:pt>
                <c:pt idx="6">
                  <c:v>6</c:v>
                </c:pt>
                <c:pt idx="7">
                  <c:v>3</c:v>
                </c:pt>
                <c:pt idx="8">
                  <c:v>1</c:v>
                </c:pt>
                <c:pt idx="9">
                  <c:v>-3</c:v>
                </c:pt>
                <c:pt idx="10">
                  <c:v>-5</c:v>
                </c:pt>
                <c:pt idx="11">
                  <c:v>-7</c:v>
                </c:pt>
                <c:pt idx="12">
                  <c:v>3</c:v>
                </c:pt>
                <c:pt idx="13">
                  <c:v>-1</c:v>
                </c:pt>
                <c:pt idx="14">
                  <c:v>-5</c:v>
                </c:pt>
                <c:pt idx="15">
                  <c:v>2</c:v>
                </c:pt>
                <c:pt idx="16">
                  <c:v>-1</c:v>
                </c:pt>
                <c:pt idx="17">
                  <c:v>-3</c:v>
                </c:pt>
                <c:pt idx="18">
                  <c:v>6</c:v>
                </c:pt>
                <c:pt idx="19">
                  <c:v>3</c:v>
                </c:pt>
                <c:pt idx="20">
                  <c:v>13</c:v>
                </c:pt>
                <c:pt idx="21">
                  <c:v>4</c:v>
                </c:pt>
                <c:pt idx="22">
                  <c:v>-2</c:v>
                </c:pt>
                <c:pt idx="23">
                  <c:v>5</c:v>
                </c:pt>
                <c:pt idx="24">
                  <c:v>2</c:v>
                </c:pt>
                <c:pt idx="25">
                  <c:v>-1</c:v>
                </c:pt>
                <c:pt idx="26">
                  <c:v>3</c:v>
                </c:pt>
                <c:pt idx="27">
                  <c:v>3</c:v>
                </c:pt>
                <c:pt idx="28">
                  <c:v>2</c:v>
                </c:pt>
                <c:pt idx="29">
                  <c:v>3</c:v>
                </c:pt>
                <c:pt idx="30">
                  <c:v>12</c:v>
                </c:pt>
                <c:pt idx="31">
                  <c:v>7</c:v>
                </c:pt>
              </c:numCache>
            </c:numRef>
          </c:val>
          <c:smooth val="0"/>
          <c:extLst>
            <c:ext xmlns:c16="http://schemas.microsoft.com/office/drawing/2014/chart" uri="{C3380CC4-5D6E-409C-BE32-E72D297353CC}">
              <c16:uniqueId val="{00000000-883A-433C-ADE4-0505581040DE}"/>
            </c:ext>
          </c:extLst>
        </c:ser>
        <c:ser>
          <c:idx val="1"/>
          <c:order val="1"/>
          <c:tx>
            <c:strRef>
              <c:f>'ISM Non-Manu'!$B$10</c:f>
              <c:strCache>
                <c:ptCount val="1"/>
                <c:pt idx="0">
                  <c:v>Construction</c:v>
                </c:pt>
              </c:strCache>
            </c:strRef>
          </c:tx>
          <c:spPr>
            <a:ln w="28575" cap="rnd">
              <a:solidFill>
                <a:schemeClr val="accent2"/>
              </a:solidFill>
              <a:round/>
            </a:ln>
            <a:effectLst/>
          </c:spPr>
          <c:marker>
            <c:symbol val="none"/>
          </c:marker>
          <c:cat>
            <c:numRef>
              <c:f>'ISM Non-Manu'!$AY$5:$CD$5</c:f>
              <c:numCache>
                <c:formatCode>mmm\-yy</c:formatCode>
                <c:ptCount val="32"/>
                <c:pt idx="0">
                  <c:v>44958</c:v>
                </c:pt>
                <c:pt idx="1">
                  <c:v>44986</c:v>
                </c:pt>
                <c:pt idx="2">
                  <c:v>45017</c:v>
                </c:pt>
                <c:pt idx="3">
                  <c:v>45047</c:v>
                </c:pt>
                <c:pt idx="4">
                  <c:v>45078</c:v>
                </c:pt>
                <c:pt idx="5">
                  <c:v>45108</c:v>
                </c:pt>
                <c:pt idx="6">
                  <c:v>45139</c:v>
                </c:pt>
                <c:pt idx="7">
                  <c:v>45170</c:v>
                </c:pt>
                <c:pt idx="8">
                  <c:v>45200</c:v>
                </c:pt>
                <c:pt idx="9">
                  <c:v>45231</c:v>
                </c:pt>
                <c:pt idx="10">
                  <c:v>45261</c:v>
                </c:pt>
                <c:pt idx="11">
                  <c:v>45292</c:v>
                </c:pt>
                <c:pt idx="12">
                  <c:v>45323</c:v>
                </c:pt>
                <c:pt idx="13">
                  <c:v>45352</c:v>
                </c:pt>
                <c:pt idx="14">
                  <c:v>45383</c:v>
                </c:pt>
                <c:pt idx="15">
                  <c:v>45413</c:v>
                </c:pt>
                <c:pt idx="16">
                  <c:v>45444</c:v>
                </c:pt>
                <c:pt idx="17">
                  <c:v>45474</c:v>
                </c:pt>
                <c:pt idx="18">
                  <c:v>45505</c:v>
                </c:pt>
                <c:pt idx="19">
                  <c:v>45536</c:v>
                </c:pt>
                <c:pt idx="20">
                  <c:v>45566</c:v>
                </c:pt>
                <c:pt idx="21">
                  <c:v>45597</c:v>
                </c:pt>
                <c:pt idx="22">
                  <c:v>45627</c:v>
                </c:pt>
                <c:pt idx="23">
                  <c:v>45658</c:v>
                </c:pt>
                <c:pt idx="24">
                  <c:v>45689</c:v>
                </c:pt>
                <c:pt idx="25">
                  <c:v>45717</c:v>
                </c:pt>
                <c:pt idx="26">
                  <c:v>45748</c:v>
                </c:pt>
                <c:pt idx="27">
                  <c:v>45778</c:v>
                </c:pt>
                <c:pt idx="28">
                  <c:v>45809</c:v>
                </c:pt>
                <c:pt idx="29">
                  <c:v>45839</c:v>
                </c:pt>
                <c:pt idx="30">
                  <c:v>45870</c:v>
                </c:pt>
                <c:pt idx="31">
                  <c:v>45901</c:v>
                </c:pt>
              </c:numCache>
            </c:numRef>
          </c:cat>
          <c:val>
            <c:numRef>
              <c:f>'ISM Non-Manu'!$AY$10:$CD$10</c:f>
              <c:numCache>
                <c:formatCode>0</c:formatCode>
                <c:ptCount val="32"/>
                <c:pt idx="0">
                  <c:v>11</c:v>
                </c:pt>
                <c:pt idx="1">
                  <c:v>2</c:v>
                </c:pt>
                <c:pt idx="2">
                  <c:v>3</c:v>
                </c:pt>
                <c:pt idx="3">
                  <c:v>5</c:v>
                </c:pt>
                <c:pt idx="4">
                  <c:v>4</c:v>
                </c:pt>
                <c:pt idx="5">
                  <c:v>13</c:v>
                </c:pt>
                <c:pt idx="6">
                  <c:v>4</c:v>
                </c:pt>
                <c:pt idx="7">
                  <c:v>6</c:v>
                </c:pt>
                <c:pt idx="8">
                  <c:v>9</c:v>
                </c:pt>
                <c:pt idx="9">
                  <c:v>3</c:v>
                </c:pt>
                <c:pt idx="10">
                  <c:v>-2</c:v>
                </c:pt>
                <c:pt idx="11">
                  <c:v>4</c:v>
                </c:pt>
                <c:pt idx="12">
                  <c:v>14</c:v>
                </c:pt>
                <c:pt idx="13">
                  <c:v>8</c:v>
                </c:pt>
                <c:pt idx="14">
                  <c:v>11</c:v>
                </c:pt>
                <c:pt idx="15">
                  <c:v>7</c:v>
                </c:pt>
                <c:pt idx="16">
                  <c:v>5</c:v>
                </c:pt>
                <c:pt idx="17">
                  <c:v>7</c:v>
                </c:pt>
                <c:pt idx="18">
                  <c:v>-5</c:v>
                </c:pt>
                <c:pt idx="19">
                  <c:v>5</c:v>
                </c:pt>
                <c:pt idx="20">
                  <c:v>9</c:v>
                </c:pt>
                <c:pt idx="21">
                  <c:v>2</c:v>
                </c:pt>
                <c:pt idx="22">
                  <c:v>0</c:v>
                </c:pt>
                <c:pt idx="23">
                  <c:v>4</c:v>
                </c:pt>
                <c:pt idx="24">
                  <c:v>6</c:v>
                </c:pt>
                <c:pt idx="25">
                  <c:v>3</c:v>
                </c:pt>
                <c:pt idx="26">
                  <c:v>-1</c:v>
                </c:pt>
                <c:pt idx="27">
                  <c:v>-3</c:v>
                </c:pt>
                <c:pt idx="28">
                  <c:v>-5</c:v>
                </c:pt>
                <c:pt idx="29">
                  <c:v>-6</c:v>
                </c:pt>
                <c:pt idx="30">
                  <c:v>-1</c:v>
                </c:pt>
                <c:pt idx="31">
                  <c:v>-5</c:v>
                </c:pt>
              </c:numCache>
            </c:numRef>
          </c:val>
          <c:smooth val="0"/>
          <c:extLst>
            <c:ext xmlns:c16="http://schemas.microsoft.com/office/drawing/2014/chart" uri="{C3380CC4-5D6E-409C-BE32-E72D297353CC}">
              <c16:uniqueId val="{00000001-883A-433C-ADE4-0505581040DE}"/>
            </c:ext>
          </c:extLst>
        </c:ser>
        <c:ser>
          <c:idx val="2"/>
          <c:order val="2"/>
          <c:tx>
            <c:strRef>
              <c:f>'ISM Non-Manu'!$A$6</c:f>
              <c:strCache>
                <c:ptCount val="1"/>
                <c:pt idx="0">
                  <c:v>AVERAGE</c:v>
                </c:pt>
              </c:strCache>
            </c:strRef>
          </c:tx>
          <c:spPr>
            <a:ln w="28575" cap="rnd">
              <a:solidFill>
                <a:schemeClr val="tx1"/>
              </a:solidFill>
              <a:prstDash val="sysDot"/>
              <a:round/>
            </a:ln>
            <a:effectLst/>
          </c:spPr>
          <c:marker>
            <c:symbol val="none"/>
          </c:marker>
          <c:cat>
            <c:numRef>
              <c:f>'ISM Non-Manu'!$AY$5:$CD$5</c:f>
              <c:numCache>
                <c:formatCode>mmm\-yy</c:formatCode>
                <c:ptCount val="32"/>
                <c:pt idx="0">
                  <c:v>44958</c:v>
                </c:pt>
                <c:pt idx="1">
                  <c:v>44986</c:v>
                </c:pt>
                <c:pt idx="2">
                  <c:v>45017</c:v>
                </c:pt>
                <c:pt idx="3">
                  <c:v>45047</c:v>
                </c:pt>
                <c:pt idx="4">
                  <c:v>45078</c:v>
                </c:pt>
                <c:pt idx="5">
                  <c:v>45108</c:v>
                </c:pt>
                <c:pt idx="6">
                  <c:v>45139</c:v>
                </c:pt>
                <c:pt idx="7">
                  <c:v>45170</c:v>
                </c:pt>
                <c:pt idx="8">
                  <c:v>45200</c:v>
                </c:pt>
                <c:pt idx="9">
                  <c:v>45231</c:v>
                </c:pt>
                <c:pt idx="10">
                  <c:v>45261</c:v>
                </c:pt>
                <c:pt idx="11">
                  <c:v>45292</c:v>
                </c:pt>
                <c:pt idx="12">
                  <c:v>45323</c:v>
                </c:pt>
                <c:pt idx="13">
                  <c:v>45352</c:v>
                </c:pt>
                <c:pt idx="14">
                  <c:v>45383</c:v>
                </c:pt>
                <c:pt idx="15">
                  <c:v>45413</c:v>
                </c:pt>
                <c:pt idx="16">
                  <c:v>45444</c:v>
                </c:pt>
                <c:pt idx="17">
                  <c:v>45474</c:v>
                </c:pt>
                <c:pt idx="18">
                  <c:v>45505</c:v>
                </c:pt>
                <c:pt idx="19">
                  <c:v>45536</c:v>
                </c:pt>
                <c:pt idx="20">
                  <c:v>45566</c:v>
                </c:pt>
                <c:pt idx="21">
                  <c:v>45597</c:v>
                </c:pt>
                <c:pt idx="22">
                  <c:v>45627</c:v>
                </c:pt>
                <c:pt idx="23">
                  <c:v>45658</c:v>
                </c:pt>
                <c:pt idx="24">
                  <c:v>45689</c:v>
                </c:pt>
                <c:pt idx="25">
                  <c:v>45717</c:v>
                </c:pt>
                <c:pt idx="26">
                  <c:v>45748</c:v>
                </c:pt>
                <c:pt idx="27">
                  <c:v>45778</c:v>
                </c:pt>
                <c:pt idx="28">
                  <c:v>45809</c:v>
                </c:pt>
                <c:pt idx="29">
                  <c:v>45839</c:v>
                </c:pt>
                <c:pt idx="30">
                  <c:v>45870</c:v>
                </c:pt>
                <c:pt idx="31">
                  <c:v>45901</c:v>
                </c:pt>
              </c:numCache>
            </c:numRef>
          </c:cat>
          <c:val>
            <c:numRef>
              <c:f>'ISM Non-Manu'!$AX$6:$CC$6</c:f>
              <c:numCache>
                <c:formatCode>0</c:formatCode>
                <c:ptCount val="32"/>
                <c:pt idx="0">
                  <c:v>1.0555555555555556</c:v>
                </c:pt>
                <c:pt idx="1">
                  <c:v>4.5</c:v>
                </c:pt>
                <c:pt idx="2">
                  <c:v>4.3888888888888893</c:v>
                </c:pt>
                <c:pt idx="3">
                  <c:v>5.5</c:v>
                </c:pt>
                <c:pt idx="4">
                  <c:v>2.1111111111111112</c:v>
                </c:pt>
                <c:pt idx="5">
                  <c:v>6.333333333333333</c:v>
                </c:pt>
                <c:pt idx="6">
                  <c:v>5.2777777777777777</c:v>
                </c:pt>
                <c:pt idx="7">
                  <c:v>4.2222222222222223</c:v>
                </c:pt>
                <c:pt idx="8">
                  <c:v>4.2222222222222223</c:v>
                </c:pt>
                <c:pt idx="9">
                  <c:v>3.5</c:v>
                </c:pt>
                <c:pt idx="10">
                  <c:v>6.333333333333333</c:v>
                </c:pt>
                <c:pt idx="11">
                  <c:v>0</c:v>
                </c:pt>
                <c:pt idx="12">
                  <c:v>1.5</c:v>
                </c:pt>
                <c:pt idx="13">
                  <c:v>5.5</c:v>
                </c:pt>
                <c:pt idx="14">
                  <c:v>3.7777777777777777</c:v>
                </c:pt>
                <c:pt idx="15">
                  <c:v>3.1666666666666665</c:v>
                </c:pt>
                <c:pt idx="16">
                  <c:v>4.2222222222222223</c:v>
                </c:pt>
                <c:pt idx="17">
                  <c:v>-0.22222222222222221</c:v>
                </c:pt>
                <c:pt idx="18">
                  <c:v>1.0555555555555556</c:v>
                </c:pt>
                <c:pt idx="19">
                  <c:v>1.5</c:v>
                </c:pt>
                <c:pt idx="20">
                  <c:v>3.5</c:v>
                </c:pt>
                <c:pt idx="21">
                  <c:v>5.666666666666667</c:v>
                </c:pt>
                <c:pt idx="22">
                  <c:v>5.5</c:v>
                </c:pt>
                <c:pt idx="23">
                  <c:v>1.3333333333333333</c:v>
                </c:pt>
                <c:pt idx="24">
                  <c:v>5.5</c:v>
                </c:pt>
                <c:pt idx="25">
                  <c:v>5.5</c:v>
                </c:pt>
                <c:pt idx="26">
                  <c:v>1.5</c:v>
                </c:pt>
                <c:pt idx="27">
                  <c:v>2.5</c:v>
                </c:pt>
                <c:pt idx="28">
                  <c:v>1.0555555555555556</c:v>
                </c:pt>
                <c:pt idx="29">
                  <c:v>1.8888888888888888</c:v>
                </c:pt>
                <c:pt idx="30">
                  <c:v>2.1111111111111112</c:v>
                </c:pt>
                <c:pt idx="31">
                  <c:v>3.7777777777777777</c:v>
                </c:pt>
              </c:numCache>
            </c:numRef>
          </c:val>
          <c:smooth val="0"/>
          <c:extLst>
            <c:ext xmlns:c16="http://schemas.microsoft.com/office/drawing/2014/chart" uri="{C3380CC4-5D6E-409C-BE32-E72D297353CC}">
              <c16:uniqueId val="{00000002-883A-433C-ADE4-0505581040DE}"/>
            </c:ext>
          </c:extLst>
        </c:ser>
        <c:dLbls>
          <c:showLegendKey val="0"/>
          <c:showVal val="0"/>
          <c:showCatName val="0"/>
          <c:showSerName val="0"/>
          <c:showPercent val="0"/>
          <c:showBubbleSize val="0"/>
        </c:dLbls>
        <c:smooth val="0"/>
        <c:axId val="312668207"/>
        <c:axId val="279978383"/>
      </c:lineChart>
      <c:dateAx>
        <c:axId val="31266820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978383"/>
        <c:crosses val="autoZero"/>
        <c:auto val="1"/>
        <c:lblOffset val="100"/>
        <c:baseTimeUnit val="months"/>
      </c:dateAx>
      <c:valAx>
        <c:axId val="279978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668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New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'ISM Non-Manu'!$B$68</c:f>
              <c:strCache>
                <c:ptCount val="1"/>
                <c:pt idx="0">
                  <c:v>Construction</c:v>
                </c:pt>
              </c:strCache>
            </c:strRef>
          </c:tx>
          <c:spPr>
            <a:ln w="28575" cap="rnd">
              <a:solidFill>
                <a:schemeClr val="accent1"/>
              </a:solidFill>
              <a:round/>
            </a:ln>
            <a:effectLst/>
          </c:spPr>
          <c:marker>
            <c:symbol val="none"/>
          </c:marker>
          <c:cat>
            <c:numRef>
              <c:f>'ISM Non-Manu'!$AN$5:$CE$5</c:f>
              <c:numCache>
                <c:formatCode>mmm\-yy</c:formatCode>
                <c:ptCount val="44"/>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pt idx="17">
                  <c:v>45139</c:v>
                </c:pt>
                <c:pt idx="18">
                  <c:v>45170</c:v>
                </c:pt>
                <c:pt idx="19">
                  <c:v>45200</c:v>
                </c:pt>
                <c:pt idx="20">
                  <c:v>45231</c:v>
                </c:pt>
                <c:pt idx="21">
                  <c:v>45261</c:v>
                </c:pt>
                <c:pt idx="22">
                  <c:v>45292</c:v>
                </c:pt>
                <c:pt idx="23">
                  <c:v>45323</c:v>
                </c:pt>
                <c:pt idx="24">
                  <c:v>45352</c:v>
                </c:pt>
                <c:pt idx="25">
                  <c:v>45383</c:v>
                </c:pt>
                <c:pt idx="26">
                  <c:v>45413</c:v>
                </c:pt>
                <c:pt idx="27">
                  <c:v>45444</c:v>
                </c:pt>
                <c:pt idx="28">
                  <c:v>45474</c:v>
                </c:pt>
                <c:pt idx="29">
                  <c:v>45505</c:v>
                </c:pt>
                <c:pt idx="30">
                  <c:v>45536</c:v>
                </c:pt>
                <c:pt idx="31">
                  <c:v>45566</c:v>
                </c:pt>
                <c:pt idx="32">
                  <c:v>45597</c:v>
                </c:pt>
                <c:pt idx="33">
                  <c:v>45627</c:v>
                </c:pt>
                <c:pt idx="34">
                  <c:v>45658</c:v>
                </c:pt>
                <c:pt idx="35">
                  <c:v>45689</c:v>
                </c:pt>
                <c:pt idx="36">
                  <c:v>45717</c:v>
                </c:pt>
                <c:pt idx="37">
                  <c:v>45748</c:v>
                </c:pt>
                <c:pt idx="38">
                  <c:v>45778</c:v>
                </c:pt>
                <c:pt idx="39">
                  <c:v>45809</c:v>
                </c:pt>
                <c:pt idx="40">
                  <c:v>45839</c:v>
                </c:pt>
                <c:pt idx="41">
                  <c:v>45870</c:v>
                </c:pt>
                <c:pt idx="42">
                  <c:v>45901</c:v>
                </c:pt>
                <c:pt idx="43">
                  <c:v>45931</c:v>
                </c:pt>
              </c:numCache>
            </c:numRef>
          </c:cat>
          <c:val>
            <c:numRef>
              <c:f>'ISM Non-Manu'!$AN$68:$CE$68</c:f>
              <c:numCache>
                <c:formatCode>0</c:formatCode>
                <c:ptCount val="44"/>
                <c:pt idx="0">
                  <c:v>7</c:v>
                </c:pt>
                <c:pt idx="1">
                  <c:v>5</c:v>
                </c:pt>
                <c:pt idx="2">
                  <c:v>15</c:v>
                </c:pt>
                <c:pt idx="3">
                  <c:v>-2</c:v>
                </c:pt>
                <c:pt idx="4">
                  <c:v>3</c:v>
                </c:pt>
                <c:pt idx="5">
                  <c:v>0</c:v>
                </c:pt>
                <c:pt idx="6">
                  <c:v>0</c:v>
                </c:pt>
                <c:pt idx="7">
                  <c:v>5</c:v>
                </c:pt>
                <c:pt idx="8">
                  <c:v>3</c:v>
                </c:pt>
                <c:pt idx="9">
                  <c:v>-2</c:v>
                </c:pt>
                <c:pt idx="10">
                  <c:v>0</c:v>
                </c:pt>
                <c:pt idx="11">
                  <c:v>12</c:v>
                </c:pt>
                <c:pt idx="12">
                  <c:v>7</c:v>
                </c:pt>
                <c:pt idx="13">
                  <c:v>1</c:v>
                </c:pt>
                <c:pt idx="14">
                  <c:v>4</c:v>
                </c:pt>
                <c:pt idx="15">
                  <c:v>4</c:v>
                </c:pt>
                <c:pt idx="16">
                  <c:v>8</c:v>
                </c:pt>
                <c:pt idx="17">
                  <c:v>-2</c:v>
                </c:pt>
                <c:pt idx="18">
                  <c:v>1</c:v>
                </c:pt>
                <c:pt idx="19">
                  <c:v>-2</c:v>
                </c:pt>
                <c:pt idx="20">
                  <c:v>3</c:v>
                </c:pt>
                <c:pt idx="21">
                  <c:v>-2</c:v>
                </c:pt>
                <c:pt idx="22">
                  <c:v>0</c:v>
                </c:pt>
                <c:pt idx="23">
                  <c:v>8</c:v>
                </c:pt>
                <c:pt idx="24">
                  <c:v>2</c:v>
                </c:pt>
                <c:pt idx="25">
                  <c:v>9</c:v>
                </c:pt>
                <c:pt idx="26">
                  <c:v>1</c:v>
                </c:pt>
                <c:pt idx="27">
                  <c:v>5</c:v>
                </c:pt>
                <c:pt idx="28">
                  <c:v>7</c:v>
                </c:pt>
                <c:pt idx="29">
                  <c:v>-4</c:v>
                </c:pt>
                <c:pt idx="30">
                  <c:v>1</c:v>
                </c:pt>
                <c:pt idx="31">
                  <c:v>4</c:v>
                </c:pt>
                <c:pt idx="32">
                  <c:v>0</c:v>
                </c:pt>
                <c:pt idx="33">
                  <c:v>-3</c:v>
                </c:pt>
                <c:pt idx="34">
                  <c:v>2</c:v>
                </c:pt>
                <c:pt idx="35">
                  <c:v>10</c:v>
                </c:pt>
                <c:pt idx="36">
                  <c:v>0</c:v>
                </c:pt>
                <c:pt idx="37">
                  <c:v>-3</c:v>
                </c:pt>
                <c:pt idx="38">
                  <c:v>-1</c:v>
                </c:pt>
                <c:pt idx="39">
                  <c:v>-1</c:v>
                </c:pt>
                <c:pt idx="40">
                  <c:v>-6</c:v>
                </c:pt>
                <c:pt idx="41">
                  <c:v>-2</c:v>
                </c:pt>
                <c:pt idx="42">
                  <c:v>-5</c:v>
                </c:pt>
                <c:pt idx="43">
                  <c:v>-4</c:v>
                </c:pt>
              </c:numCache>
            </c:numRef>
          </c:val>
          <c:smooth val="0"/>
          <c:extLst>
            <c:ext xmlns:c16="http://schemas.microsoft.com/office/drawing/2014/chart" uri="{C3380CC4-5D6E-409C-BE32-E72D297353CC}">
              <c16:uniqueId val="{00000000-D620-41E3-9FA7-1B3C0765495B}"/>
            </c:ext>
          </c:extLst>
        </c:ser>
        <c:ser>
          <c:idx val="1"/>
          <c:order val="1"/>
          <c:tx>
            <c:strRef>
              <c:f>'ISM Non-Manu'!$B$65</c:f>
              <c:strCache>
                <c:ptCount val="1"/>
                <c:pt idx="0">
                  <c:v>Accommodation &amp; Food Services</c:v>
                </c:pt>
              </c:strCache>
            </c:strRef>
          </c:tx>
          <c:spPr>
            <a:ln w="28575" cap="rnd">
              <a:solidFill>
                <a:schemeClr val="accent2"/>
              </a:solidFill>
              <a:round/>
            </a:ln>
            <a:effectLst/>
          </c:spPr>
          <c:marker>
            <c:symbol val="none"/>
          </c:marker>
          <c:cat>
            <c:numRef>
              <c:f>'ISM Non-Manu'!$AN$5:$CE$5</c:f>
              <c:numCache>
                <c:formatCode>mmm\-yy</c:formatCode>
                <c:ptCount val="44"/>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pt idx="17">
                  <c:v>45139</c:v>
                </c:pt>
                <c:pt idx="18">
                  <c:v>45170</c:v>
                </c:pt>
                <c:pt idx="19">
                  <c:v>45200</c:v>
                </c:pt>
                <c:pt idx="20">
                  <c:v>45231</c:v>
                </c:pt>
                <c:pt idx="21">
                  <c:v>45261</c:v>
                </c:pt>
                <c:pt idx="22">
                  <c:v>45292</c:v>
                </c:pt>
                <c:pt idx="23">
                  <c:v>45323</c:v>
                </c:pt>
                <c:pt idx="24">
                  <c:v>45352</c:v>
                </c:pt>
                <c:pt idx="25">
                  <c:v>45383</c:v>
                </c:pt>
                <c:pt idx="26">
                  <c:v>45413</c:v>
                </c:pt>
                <c:pt idx="27">
                  <c:v>45444</c:v>
                </c:pt>
                <c:pt idx="28">
                  <c:v>45474</c:v>
                </c:pt>
                <c:pt idx="29">
                  <c:v>45505</c:v>
                </c:pt>
                <c:pt idx="30">
                  <c:v>45536</c:v>
                </c:pt>
                <c:pt idx="31">
                  <c:v>45566</c:v>
                </c:pt>
                <c:pt idx="32">
                  <c:v>45597</c:v>
                </c:pt>
                <c:pt idx="33">
                  <c:v>45627</c:v>
                </c:pt>
                <c:pt idx="34">
                  <c:v>45658</c:v>
                </c:pt>
                <c:pt idx="35">
                  <c:v>45689</c:v>
                </c:pt>
                <c:pt idx="36">
                  <c:v>45717</c:v>
                </c:pt>
                <c:pt idx="37">
                  <c:v>45748</c:v>
                </c:pt>
                <c:pt idx="38">
                  <c:v>45778</c:v>
                </c:pt>
                <c:pt idx="39">
                  <c:v>45809</c:v>
                </c:pt>
                <c:pt idx="40">
                  <c:v>45839</c:v>
                </c:pt>
                <c:pt idx="41">
                  <c:v>45870</c:v>
                </c:pt>
                <c:pt idx="42">
                  <c:v>45901</c:v>
                </c:pt>
                <c:pt idx="43">
                  <c:v>45931</c:v>
                </c:pt>
              </c:numCache>
            </c:numRef>
          </c:cat>
          <c:val>
            <c:numRef>
              <c:f>'ISM Non-Manu'!$AN$65:$CE$65</c:f>
              <c:numCache>
                <c:formatCode>0</c:formatCode>
                <c:ptCount val="44"/>
                <c:pt idx="0">
                  <c:v>5</c:v>
                </c:pt>
                <c:pt idx="1">
                  <c:v>10</c:v>
                </c:pt>
                <c:pt idx="2">
                  <c:v>5</c:v>
                </c:pt>
                <c:pt idx="3">
                  <c:v>13</c:v>
                </c:pt>
                <c:pt idx="4">
                  <c:v>-4</c:v>
                </c:pt>
                <c:pt idx="5">
                  <c:v>0</c:v>
                </c:pt>
                <c:pt idx="6">
                  <c:v>0</c:v>
                </c:pt>
                <c:pt idx="7">
                  <c:v>7</c:v>
                </c:pt>
                <c:pt idx="8">
                  <c:v>9</c:v>
                </c:pt>
                <c:pt idx="9">
                  <c:v>0</c:v>
                </c:pt>
                <c:pt idx="10">
                  <c:v>10</c:v>
                </c:pt>
                <c:pt idx="11">
                  <c:v>5</c:v>
                </c:pt>
                <c:pt idx="12">
                  <c:v>12</c:v>
                </c:pt>
                <c:pt idx="13">
                  <c:v>14</c:v>
                </c:pt>
                <c:pt idx="14">
                  <c:v>11</c:v>
                </c:pt>
                <c:pt idx="15">
                  <c:v>13</c:v>
                </c:pt>
                <c:pt idx="16">
                  <c:v>12</c:v>
                </c:pt>
                <c:pt idx="17">
                  <c:v>12</c:v>
                </c:pt>
                <c:pt idx="18">
                  <c:v>-2</c:v>
                </c:pt>
                <c:pt idx="19">
                  <c:v>5</c:v>
                </c:pt>
                <c:pt idx="20">
                  <c:v>0</c:v>
                </c:pt>
                <c:pt idx="21">
                  <c:v>8</c:v>
                </c:pt>
                <c:pt idx="22">
                  <c:v>0</c:v>
                </c:pt>
                <c:pt idx="23">
                  <c:v>11</c:v>
                </c:pt>
                <c:pt idx="24">
                  <c:v>8</c:v>
                </c:pt>
                <c:pt idx="25">
                  <c:v>12</c:v>
                </c:pt>
                <c:pt idx="26">
                  <c:v>0</c:v>
                </c:pt>
                <c:pt idx="27">
                  <c:v>-5</c:v>
                </c:pt>
                <c:pt idx="28">
                  <c:v>8</c:v>
                </c:pt>
                <c:pt idx="29">
                  <c:v>-3</c:v>
                </c:pt>
                <c:pt idx="30">
                  <c:v>8</c:v>
                </c:pt>
                <c:pt idx="31">
                  <c:v>12</c:v>
                </c:pt>
                <c:pt idx="32">
                  <c:v>12</c:v>
                </c:pt>
                <c:pt idx="33">
                  <c:v>0</c:v>
                </c:pt>
                <c:pt idx="34">
                  <c:v>10</c:v>
                </c:pt>
                <c:pt idx="35">
                  <c:v>-3</c:v>
                </c:pt>
                <c:pt idx="36">
                  <c:v>6</c:v>
                </c:pt>
                <c:pt idx="37">
                  <c:v>8</c:v>
                </c:pt>
                <c:pt idx="38">
                  <c:v>6</c:v>
                </c:pt>
                <c:pt idx="39">
                  <c:v>0</c:v>
                </c:pt>
                <c:pt idx="40">
                  <c:v>-7</c:v>
                </c:pt>
                <c:pt idx="41">
                  <c:v>-1</c:v>
                </c:pt>
                <c:pt idx="42">
                  <c:v>9</c:v>
                </c:pt>
                <c:pt idx="43">
                  <c:v>12</c:v>
                </c:pt>
              </c:numCache>
            </c:numRef>
          </c:val>
          <c:smooth val="0"/>
          <c:extLst>
            <c:ext xmlns:c16="http://schemas.microsoft.com/office/drawing/2014/chart" uri="{C3380CC4-5D6E-409C-BE32-E72D297353CC}">
              <c16:uniqueId val="{00000001-D620-41E3-9FA7-1B3C0765495B}"/>
            </c:ext>
          </c:extLst>
        </c:ser>
        <c:ser>
          <c:idx val="2"/>
          <c:order val="2"/>
          <c:tx>
            <c:strRef>
              <c:f>'ISM Non-Manu'!$A$64</c:f>
              <c:strCache>
                <c:ptCount val="1"/>
                <c:pt idx="0">
                  <c:v>Average</c:v>
                </c:pt>
              </c:strCache>
            </c:strRef>
          </c:tx>
          <c:spPr>
            <a:ln w="28575" cap="rnd">
              <a:solidFill>
                <a:schemeClr val="tx1"/>
              </a:solidFill>
              <a:prstDash val="sysDot"/>
              <a:round/>
            </a:ln>
            <a:effectLst/>
          </c:spPr>
          <c:marker>
            <c:symbol val="none"/>
          </c:marker>
          <c:cat>
            <c:numRef>
              <c:f>'ISM Non-Manu'!$AN$5:$CE$5</c:f>
              <c:numCache>
                <c:formatCode>mmm\-yy</c:formatCode>
                <c:ptCount val="44"/>
                <c:pt idx="0">
                  <c:v>44621</c:v>
                </c:pt>
                <c:pt idx="1">
                  <c:v>44652</c:v>
                </c:pt>
                <c:pt idx="2">
                  <c:v>44682</c:v>
                </c:pt>
                <c:pt idx="3">
                  <c:v>44713</c:v>
                </c:pt>
                <c:pt idx="4">
                  <c:v>44743</c:v>
                </c:pt>
                <c:pt idx="5">
                  <c:v>44774</c:v>
                </c:pt>
                <c:pt idx="6">
                  <c:v>44805</c:v>
                </c:pt>
                <c:pt idx="7">
                  <c:v>44835</c:v>
                </c:pt>
                <c:pt idx="8">
                  <c:v>44866</c:v>
                </c:pt>
                <c:pt idx="9">
                  <c:v>44896</c:v>
                </c:pt>
                <c:pt idx="10">
                  <c:v>44927</c:v>
                </c:pt>
                <c:pt idx="11">
                  <c:v>44958</c:v>
                </c:pt>
                <c:pt idx="12">
                  <c:v>44986</c:v>
                </c:pt>
                <c:pt idx="13">
                  <c:v>45017</c:v>
                </c:pt>
                <c:pt idx="14">
                  <c:v>45047</c:v>
                </c:pt>
                <c:pt idx="15">
                  <c:v>45078</c:v>
                </c:pt>
                <c:pt idx="16">
                  <c:v>45108</c:v>
                </c:pt>
                <c:pt idx="17">
                  <c:v>45139</c:v>
                </c:pt>
                <c:pt idx="18">
                  <c:v>45170</c:v>
                </c:pt>
                <c:pt idx="19">
                  <c:v>45200</c:v>
                </c:pt>
                <c:pt idx="20">
                  <c:v>45231</c:v>
                </c:pt>
                <c:pt idx="21">
                  <c:v>45261</c:v>
                </c:pt>
                <c:pt idx="22">
                  <c:v>45292</c:v>
                </c:pt>
                <c:pt idx="23">
                  <c:v>45323</c:v>
                </c:pt>
                <c:pt idx="24">
                  <c:v>45352</c:v>
                </c:pt>
                <c:pt idx="25">
                  <c:v>45383</c:v>
                </c:pt>
                <c:pt idx="26">
                  <c:v>45413</c:v>
                </c:pt>
                <c:pt idx="27">
                  <c:v>45444</c:v>
                </c:pt>
                <c:pt idx="28">
                  <c:v>45474</c:v>
                </c:pt>
                <c:pt idx="29">
                  <c:v>45505</c:v>
                </c:pt>
                <c:pt idx="30">
                  <c:v>45536</c:v>
                </c:pt>
                <c:pt idx="31">
                  <c:v>45566</c:v>
                </c:pt>
                <c:pt idx="32">
                  <c:v>45597</c:v>
                </c:pt>
                <c:pt idx="33">
                  <c:v>45627</c:v>
                </c:pt>
                <c:pt idx="34">
                  <c:v>45658</c:v>
                </c:pt>
                <c:pt idx="35">
                  <c:v>45689</c:v>
                </c:pt>
                <c:pt idx="36">
                  <c:v>45717</c:v>
                </c:pt>
                <c:pt idx="37">
                  <c:v>45748</c:v>
                </c:pt>
                <c:pt idx="38">
                  <c:v>45778</c:v>
                </c:pt>
                <c:pt idx="39">
                  <c:v>45809</c:v>
                </c:pt>
                <c:pt idx="40">
                  <c:v>45839</c:v>
                </c:pt>
                <c:pt idx="41">
                  <c:v>45870</c:v>
                </c:pt>
                <c:pt idx="42">
                  <c:v>45901</c:v>
                </c:pt>
                <c:pt idx="43">
                  <c:v>45931</c:v>
                </c:pt>
              </c:numCache>
            </c:numRef>
          </c:cat>
          <c:val>
            <c:numRef>
              <c:f>'ISM Non-Manu'!$AM$64:$BZ$64</c:f>
              <c:numCache>
                <c:formatCode>0</c:formatCode>
                <c:ptCount val="40"/>
                <c:pt idx="0">
                  <c:v>3.3333333333333335</c:v>
                </c:pt>
                <c:pt idx="1">
                  <c:v>6.5</c:v>
                </c:pt>
                <c:pt idx="2">
                  <c:v>5</c:v>
                </c:pt>
                <c:pt idx="3">
                  <c:v>6.5</c:v>
                </c:pt>
                <c:pt idx="4">
                  <c:v>4.8888888888888893</c:v>
                </c:pt>
                <c:pt idx="5">
                  <c:v>2.8333333333333335</c:v>
                </c:pt>
                <c:pt idx="6">
                  <c:v>4.2777777777777777</c:v>
                </c:pt>
                <c:pt idx="7">
                  <c:v>4.8888888888888893</c:v>
                </c:pt>
                <c:pt idx="8">
                  <c:v>4.8888888888888893</c:v>
                </c:pt>
                <c:pt idx="9">
                  <c:v>3.7777777777777777</c:v>
                </c:pt>
                <c:pt idx="10">
                  <c:v>-1.1666666666666667</c:v>
                </c:pt>
                <c:pt idx="11">
                  <c:v>3.1111111111111112</c:v>
                </c:pt>
                <c:pt idx="12">
                  <c:v>5.5</c:v>
                </c:pt>
                <c:pt idx="13">
                  <c:v>3.7777777777777777</c:v>
                </c:pt>
                <c:pt idx="14">
                  <c:v>7.5</c:v>
                </c:pt>
                <c:pt idx="15">
                  <c:v>3.6111111111111112</c:v>
                </c:pt>
                <c:pt idx="16">
                  <c:v>4.5</c:v>
                </c:pt>
                <c:pt idx="17">
                  <c:v>4.7222222222222223</c:v>
                </c:pt>
                <c:pt idx="18">
                  <c:v>4</c:v>
                </c:pt>
                <c:pt idx="19">
                  <c:v>3.7777777777777777</c:v>
                </c:pt>
                <c:pt idx="20">
                  <c:v>3.7777777777777777</c:v>
                </c:pt>
                <c:pt idx="21">
                  <c:v>3.5</c:v>
                </c:pt>
                <c:pt idx="22">
                  <c:v>1.3333333333333333</c:v>
                </c:pt>
                <c:pt idx="23">
                  <c:v>0.83333333333333337</c:v>
                </c:pt>
                <c:pt idx="24">
                  <c:v>5</c:v>
                </c:pt>
                <c:pt idx="25">
                  <c:v>3.5</c:v>
                </c:pt>
                <c:pt idx="26">
                  <c:v>4</c:v>
                </c:pt>
                <c:pt idx="27">
                  <c:v>2.7222222222222223</c:v>
                </c:pt>
                <c:pt idx="28">
                  <c:v>-0.72222222222222221</c:v>
                </c:pt>
                <c:pt idx="29">
                  <c:v>1.8888888888888888</c:v>
                </c:pt>
                <c:pt idx="30">
                  <c:v>1.1666666666666667</c:v>
                </c:pt>
                <c:pt idx="31">
                  <c:v>3.3333333333333335</c:v>
                </c:pt>
                <c:pt idx="32">
                  <c:v>4</c:v>
                </c:pt>
                <c:pt idx="33">
                  <c:v>4.7222222222222223</c:v>
                </c:pt>
                <c:pt idx="34">
                  <c:v>0.66666666666666663</c:v>
                </c:pt>
                <c:pt idx="35">
                  <c:v>2.3529411764705883</c:v>
                </c:pt>
                <c:pt idx="36">
                  <c:v>3.1111111111111112</c:v>
                </c:pt>
                <c:pt idx="37">
                  <c:v>1.9444444444444444</c:v>
                </c:pt>
                <c:pt idx="38">
                  <c:v>1.1666666666666667</c:v>
                </c:pt>
                <c:pt idx="39">
                  <c:v>-0.3888888888888889</c:v>
                </c:pt>
              </c:numCache>
            </c:numRef>
          </c:val>
          <c:smooth val="0"/>
          <c:extLst>
            <c:ext xmlns:c16="http://schemas.microsoft.com/office/drawing/2014/chart" uri="{C3380CC4-5D6E-409C-BE32-E72D297353CC}">
              <c16:uniqueId val="{00000002-D620-41E3-9FA7-1B3C0765495B}"/>
            </c:ext>
          </c:extLst>
        </c:ser>
        <c:dLbls>
          <c:showLegendKey val="0"/>
          <c:showVal val="0"/>
          <c:showCatName val="0"/>
          <c:showSerName val="0"/>
          <c:showPercent val="0"/>
          <c:showBubbleSize val="0"/>
        </c:dLbls>
        <c:smooth val="0"/>
        <c:axId val="739832975"/>
        <c:axId val="739842959"/>
      </c:lineChart>
      <c:dateAx>
        <c:axId val="73983297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842959"/>
        <c:crosses val="autoZero"/>
        <c:auto val="1"/>
        <c:lblOffset val="100"/>
        <c:baseTimeUnit val="days"/>
      </c:dateAx>
      <c:valAx>
        <c:axId val="7398429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832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83</xdr:col>
      <xdr:colOff>66675</xdr:colOff>
      <xdr:row>5</xdr:row>
      <xdr:rowOff>49531</xdr:rowOff>
    </xdr:from>
    <xdr:to>
      <xdr:col>91</xdr:col>
      <xdr:colOff>322967</xdr:colOff>
      <xdr:row>23</xdr:row>
      <xdr:rowOff>74632</xdr:rowOff>
    </xdr:to>
    <xdr:graphicFrame macro="">
      <xdr:nvGraphicFramePr>
        <xdr:cNvPr id="2" name="Chart 1">
          <a:extLst>
            <a:ext uri="{FF2B5EF4-FFF2-40B4-BE49-F238E27FC236}">
              <a16:creationId xmlns:a16="http://schemas.microsoft.com/office/drawing/2014/main" id="{A95606F2-1757-41E4-B0A9-23928E3E1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83</xdr:col>
      <xdr:colOff>62864</xdr:colOff>
      <xdr:row>44</xdr:row>
      <xdr:rowOff>63775</xdr:rowOff>
    </xdr:from>
    <xdr:to>
      <xdr:col>91</xdr:col>
      <xdr:colOff>368648</xdr:colOff>
      <xdr:row>61</xdr:row>
      <xdr:rowOff>156895</xdr:rowOff>
    </xdr:to>
    <xdr:graphicFrame macro="">
      <xdr:nvGraphicFramePr>
        <xdr:cNvPr id="3" name="Chart 2">
          <a:extLst>
            <a:ext uri="{FF2B5EF4-FFF2-40B4-BE49-F238E27FC236}">
              <a16:creationId xmlns:a16="http://schemas.microsoft.com/office/drawing/2014/main" id="{F8CEB20D-F769-43B4-9730-F10062BBF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83</xdr:col>
      <xdr:colOff>66675</xdr:colOff>
      <xdr:row>25</xdr:row>
      <xdr:rowOff>114299</xdr:rowOff>
    </xdr:from>
    <xdr:to>
      <xdr:col>91</xdr:col>
      <xdr:colOff>322967</xdr:colOff>
      <xdr:row>42</xdr:row>
      <xdr:rowOff>72725</xdr:rowOff>
    </xdr:to>
    <xdr:graphicFrame macro="">
      <xdr:nvGraphicFramePr>
        <xdr:cNvPr id="4" name="Chart 3">
          <a:extLst>
            <a:ext uri="{FF2B5EF4-FFF2-40B4-BE49-F238E27FC236}">
              <a16:creationId xmlns:a16="http://schemas.microsoft.com/office/drawing/2014/main" id="{65948972-90D6-48A3-9F1F-51FD350AE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84</xdr:col>
      <xdr:colOff>192628</xdr:colOff>
      <xdr:row>5</xdr:row>
      <xdr:rowOff>48970</xdr:rowOff>
    </xdr:from>
    <xdr:to>
      <xdr:col>93</xdr:col>
      <xdr:colOff>332590</xdr:colOff>
      <xdr:row>22</xdr:row>
      <xdr:rowOff>145566</xdr:rowOff>
    </xdr:to>
    <xdr:graphicFrame macro="">
      <xdr:nvGraphicFramePr>
        <xdr:cNvPr id="2" name="Chart 1">
          <a:extLst>
            <a:ext uri="{FF2B5EF4-FFF2-40B4-BE49-F238E27FC236}">
              <a16:creationId xmlns:a16="http://schemas.microsoft.com/office/drawing/2014/main" id="{C7E92F69-E9A3-48AE-91C6-35813B861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84</xdr:col>
      <xdr:colOff>85725</xdr:colOff>
      <xdr:row>63</xdr:row>
      <xdr:rowOff>110063</xdr:rowOff>
    </xdr:from>
    <xdr:to>
      <xdr:col>93</xdr:col>
      <xdr:colOff>561755</xdr:colOff>
      <xdr:row>220</xdr:row>
      <xdr:rowOff>85725</xdr:rowOff>
    </xdr:to>
    <xdr:graphicFrame macro="">
      <xdr:nvGraphicFramePr>
        <xdr:cNvPr id="3" name="Chart 2">
          <a:extLst>
            <a:ext uri="{FF2B5EF4-FFF2-40B4-BE49-F238E27FC236}">
              <a16:creationId xmlns:a16="http://schemas.microsoft.com/office/drawing/2014/main" id="{907FAD71-931A-484B-8865-DC636F865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oney.usnews.com/investing/stocks/metal-fabrication" TargetMode="External"/><Relationship Id="rId13" Type="http://schemas.openxmlformats.org/officeDocument/2006/relationships/hyperlink" Target="https://en.wikipedia.org/wiki/ISM_Report_On_Business" TargetMode="External"/><Relationship Id="rId18" Type="http://schemas.openxmlformats.org/officeDocument/2006/relationships/vmlDrawing" Target="../drawings/vmlDrawing1.vml"/><Relationship Id="rId3" Type="http://schemas.openxmlformats.org/officeDocument/2006/relationships/hyperlink" Target="https://etfdb.com/etf/XLV/" TargetMode="External"/><Relationship Id="rId7" Type="http://schemas.openxmlformats.org/officeDocument/2006/relationships/hyperlink" Target="https://www.instituteforsupplymanagement.org/news/content.cfm?ItemNumber=28859" TargetMode="External"/><Relationship Id="rId12" Type="http://schemas.openxmlformats.org/officeDocument/2006/relationships/hyperlink" Target="https://www.instituteforsupplymanagement.org/about/MediaRoom/newsreleasedetail.cfm?ItemNumber=31138&amp;SSO=1" TargetMode="External"/><Relationship Id="rId17" Type="http://schemas.openxmlformats.org/officeDocument/2006/relationships/drawing" Target="../drawings/drawing1.xml"/><Relationship Id="rId2" Type="http://schemas.openxmlformats.org/officeDocument/2006/relationships/hyperlink" Target="https://www.barchart.com/stocks/sectors/rankings" TargetMode="External"/><Relationship Id="rId16" Type="http://schemas.openxmlformats.org/officeDocument/2006/relationships/hyperlink" Target="https://www.instituteforsupplymanagement.org/about/MediaRoom/newsreleasedetail.cfm?ItemNumber=31133&amp;SSO=1" TargetMode="External"/><Relationship Id="rId1" Type="http://schemas.openxmlformats.org/officeDocument/2006/relationships/hyperlink" Target="https://www.nasdaq.com/markets/barchart-sectors.aspx" TargetMode="External"/><Relationship Id="rId6" Type="http://schemas.openxmlformats.org/officeDocument/2006/relationships/hyperlink" Target="https://etfdb.com/etfs/" TargetMode="External"/><Relationship Id="rId11" Type="http://schemas.openxmlformats.org/officeDocument/2006/relationships/hyperlink" Target="https://www.instituteforsupplymanagement.org/about/MediaRoom/newsreleasedetail.cfm?ItemNumber=31142&amp;SSO=1" TargetMode="External"/><Relationship Id="rId5" Type="http://schemas.openxmlformats.org/officeDocument/2006/relationships/hyperlink" Target="https://www.macrotrends.net/stocks/sector/2/consumer-discretionary" TargetMode="External"/><Relationship Id="rId15" Type="http://schemas.openxmlformats.org/officeDocument/2006/relationships/hyperlink" Target="https://www.instituteforsupplymanagement.org/about/MediaRoom/newsreleasedetail.cfm?ItemNumber=31135&amp;SSO=1" TargetMode="External"/><Relationship Id="rId10" Type="http://schemas.openxmlformats.org/officeDocument/2006/relationships/hyperlink" Target="https://www.instituteforsupplymanagement.org/about/MediaRoom/newsreleasedetail.cfm?ItemNumber=31147&amp;SSO=1" TargetMode="External"/><Relationship Id="rId19" Type="http://schemas.openxmlformats.org/officeDocument/2006/relationships/comments" Target="../comments1.xml"/><Relationship Id="rId4" Type="http://schemas.openxmlformats.org/officeDocument/2006/relationships/hyperlink" Target="https://etfdb.com/etfs/" TargetMode="External"/><Relationship Id="rId9" Type="http://schemas.openxmlformats.org/officeDocument/2006/relationships/hyperlink" Target="https://www.instituteforsupplymanagement.org/news/NewsReleaseDetail.cfm?ItemNumber=31150" TargetMode="External"/><Relationship Id="rId14" Type="http://schemas.openxmlformats.org/officeDocument/2006/relationships/hyperlink" Target="https://finance.yahoo.com/screener/new"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biz.yahoo.com/p/631conameu.html" TargetMode="External"/><Relationship Id="rId21" Type="http://schemas.openxmlformats.org/officeDocument/2006/relationships/hyperlink" Target="http://biz.yahoo.com/p/3conameu.html" TargetMode="External"/><Relationship Id="rId42" Type="http://schemas.openxmlformats.org/officeDocument/2006/relationships/hyperlink" Target="http://biz.yahoo.com/p/323conameu.html" TargetMode="External"/><Relationship Id="rId63" Type="http://schemas.openxmlformats.org/officeDocument/2006/relationships/hyperlink" Target="http://biz.yahoo.com/p/434conameu.html" TargetMode="External"/><Relationship Id="rId84" Type="http://schemas.openxmlformats.org/officeDocument/2006/relationships/hyperlink" Target="http://biz.yahoo.com/p/446conameu.html" TargetMode="External"/><Relationship Id="rId138" Type="http://schemas.openxmlformats.org/officeDocument/2006/relationships/hyperlink" Target="http://biz.yahoo.com/p/725conameu.html" TargetMode="External"/><Relationship Id="rId159" Type="http://schemas.openxmlformats.org/officeDocument/2006/relationships/hyperlink" Target="http://biz.yahoo.com/p/769conameu.html" TargetMode="External"/><Relationship Id="rId170" Type="http://schemas.openxmlformats.org/officeDocument/2006/relationships/hyperlink" Target="http://biz.yahoo.com/p/761conameu.html" TargetMode="External"/><Relationship Id="rId191" Type="http://schemas.openxmlformats.org/officeDocument/2006/relationships/hyperlink" Target="http://biz.yahoo.com/p/815conameu.html" TargetMode="External"/><Relationship Id="rId205" Type="http://schemas.openxmlformats.org/officeDocument/2006/relationships/hyperlink" Target="http://biz.yahoo.com/p/811conameu.html" TargetMode="External"/><Relationship Id="rId107" Type="http://schemas.openxmlformats.org/officeDocument/2006/relationships/hyperlink" Target="http://biz.yahoo.com/p/633conameu.html" TargetMode="External"/><Relationship Id="rId11" Type="http://schemas.openxmlformats.org/officeDocument/2006/relationships/hyperlink" Target="http://biz.yahoo.com/p/123conameu.html" TargetMode="External"/><Relationship Id="rId32" Type="http://schemas.openxmlformats.org/officeDocument/2006/relationships/hyperlink" Target="http://biz.yahoo.com/p/344conameu.html" TargetMode="External"/><Relationship Id="rId53" Type="http://schemas.openxmlformats.org/officeDocument/2006/relationships/hyperlink" Target="http://biz.yahoo.com/p/331conameu.html" TargetMode="External"/><Relationship Id="rId74" Type="http://schemas.openxmlformats.org/officeDocument/2006/relationships/hyperlink" Target="http://biz.yahoo.com/p/411conameu.html" TargetMode="External"/><Relationship Id="rId128" Type="http://schemas.openxmlformats.org/officeDocument/2006/relationships/hyperlink" Target="http://biz.yahoo.com/p/730conameu.html" TargetMode="External"/><Relationship Id="rId149" Type="http://schemas.openxmlformats.org/officeDocument/2006/relationships/hyperlink" Target="http://biz.yahoo.com/p/757conameu.html" TargetMode="External"/><Relationship Id="rId5" Type="http://schemas.openxmlformats.org/officeDocument/2006/relationships/hyperlink" Target="http://biz.yahoo.com/p/131conameu.html" TargetMode="External"/><Relationship Id="rId95" Type="http://schemas.openxmlformats.org/officeDocument/2006/relationships/hyperlink" Target="http://biz.yahoo.com/p/512conameu.html" TargetMode="External"/><Relationship Id="rId160" Type="http://schemas.openxmlformats.org/officeDocument/2006/relationships/hyperlink" Target="http://biz.yahoo.com/p/721conameu.html" TargetMode="External"/><Relationship Id="rId181" Type="http://schemas.openxmlformats.org/officeDocument/2006/relationships/hyperlink" Target="http://biz.yahoo.com/p/767conameu.html" TargetMode="External"/><Relationship Id="rId216" Type="http://schemas.openxmlformats.org/officeDocument/2006/relationships/hyperlink" Target="http://biz.yahoo.com/p/844conameu.html" TargetMode="External"/><Relationship Id="rId22" Type="http://schemas.openxmlformats.org/officeDocument/2006/relationships/hyperlink" Target="http://biz.yahoo.com/p/310conameu.html" TargetMode="External"/><Relationship Id="rId43" Type="http://schemas.openxmlformats.org/officeDocument/2006/relationships/hyperlink" Target="http://biz.yahoo.com/p/318conameu.html" TargetMode="External"/><Relationship Id="rId64" Type="http://schemas.openxmlformats.org/officeDocument/2006/relationships/hyperlink" Target="http://biz.yahoo.com/p/420conameu.html" TargetMode="External"/><Relationship Id="rId118" Type="http://schemas.openxmlformats.org/officeDocument/2006/relationships/hyperlink" Target="http://biz.yahoo.com/p/626conameu.html" TargetMode="External"/><Relationship Id="rId139" Type="http://schemas.openxmlformats.org/officeDocument/2006/relationships/hyperlink" Target="http://biz.yahoo.com/p/755conameu.html" TargetMode="External"/><Relationship Id="rId85" Type="http://schemas.openxmlformats.org/officeDocument/2006/relationships/hyperlink" Target="http://biz.yahoo.com/p/419conameu.html" TargetMode="External"/><Relationship Id="rId150" Type="http://schemas.openxmlformats.org/officeDocument/2006/relationships/hyperlink" Target="http://biz.yahoo.com/p/714conameu.html" TargetMode="External"/><Relationship Id="rId171" Type="http://schemas.openxmlformats.org/officeDocument/2006/relationships/hyperlink" Target="http://biz.yahoo.com/p/768conameu.html" TargetMode="External"/><Relationship Id="rId192" Type="http://schemas.openxmlformats.org/officeDocument/2006/relationships/hyperlink" Target="http://biz.yahoo.com/p/813conameu.html" TargetMode="External"/><Relationship Id="rId206" Type="http://schemas.openxmlformats.org/officeDocument/2006/relationships/hyperlink" Target="http://biz.yahoo.com/p/835conameu.html" TargetMode="External"/><Relationship Id="rId12" Type="http://schemas.openxmlformats.org/officeDocument/2006/relationships/hyperlink" Target="http://biz.yahoo.com/p/124conameu.html" TargetMode="External"/><Relationship Id="rId33" Type="http://schemas.openxmlformats.org/officeDocument/2006/relationships/hyperlink" Target="http://biz.yahoo.com/p/314conameu.html" TargetMode="External"/><Relationship Id="rId108" Type="http://schemas.openxmlformats.org/officeDocument/2006/relationships/hyperlink" Target="http://biz.yahoo.com/p/622conameu.html" TargetMode="External"/><Relationship Id="rId129" Type="http://schemas.openxmlformats.org/officeDocument/2006/relationships/hyperlink" Target="http://biz.yahoo.com/p/744conameu.html" TargetMode="External"/><Relationship Id="rId54" Type="http://schemas.openxmlformats.org/officeDocument/2006/relationships/hyperlink" Target="http://biz.yahoo.com/p/431conameu.html" TargetMode="External"/><Relationship Id="rId75" Type="http://schemas.openxmlformats.org/officeDocument/2006/relationships/hyperlink" Target="http://biz.yahoo.com/p/416conameu.html" TargetMode="External"/><Relationship Id="rId96" Type="http://schemas.openxmlformats.org/officeDocument/2006/relationships/hyperlink" Target="http://biz.yahoo.com/p/522conameu.html" TargetMode="External"/><Relationship Id="rId140" Type="http://schemas.openxmlformats.org/officeDocument/2006/relationships/hyperlink" Target="http://biz.yahoo.com/p/763conameu.html" TargetMode="External"/><Relationship Id="rId161" Type="http://schemas.openxmlformats.org/officeDocument/2006/relationships/hyperlink" Target="http://biz.yahoo.com/p/754conameu.html" TargetMode="External"/><Relationship Id="rId182" Type="http://schemas.openxmlformats.org/officeDocument/2006/relationships/hyperlink" Target="http://biz.yahoo.com/p/741conameu.html" TargetMode="External"/><Relationship Id="rId217" Type="http://schemas.openxmlformats.org/officeDocument/2006/relationships/hyperlink" Target="http://biz.yahoo.com/p/845conameu.html" TargetMode="External"/><Relationship Id="rId6" Type="http://schemas.openxmlformats.org/officeDocument/2006/relationships/hyperlink" Target="http://biz.yahoo.com/p/134conameu.html" TargetMode="External"/><Relationship Id="rId23" Type="http://schemas.openxmlformats.org/officeDocument/2006/relationships/hyperlink" Target="http://biz.yahoo.com/p/330conameu.html" TargetMode="External"/><Relationship Id="rId119" Type="http://schemas.openxmlformats.org/officeDocument/2006/relationships/hyperlink" Target="http://biz.yahoo.com/p/623conameu.html" TargetMode="External"/><Relationship Id="rId44" Type="http://schemas.openxmlformats.org/officeDocument/2006/relationships/hyperlink" Target="http://biz.yahoo.com/p/342conameu.html" TargetMode="External"/><Relationship Id="rId65" Type="http://schemas.openxmlformats.org/officeDocument/2006/relationships/hyperlink" Target="http://biz.yahoo.com/p/421conameu.html" TargetMode="External"/><Relationship Id="rId86" Type="http://schemas.openxmlformats.org/officeDocument/2006/relationships/hyperlink" Target="http://biz.yahoo.com/p/433conameu.html" TargetMode="External"/><Relationship Id="rId130" Type="http://schemas.openxmlformats.org/officeDocument/2006/relationships/hyperlink" Target="http://biz.yahoo.com/p/738conameu.html" TargetMode="External"/><Relationship Id="rId151" Type="http://schemas.openxmlformats.org/officeDocument/2006/relationships/hyperlink" Target="http://biz.yahoo.com/p/716conameu.html" TargetMode="External"/><Relationship Id="rId172" Type="http://schemas.openxmlformats.org/officeDocument/2006/relationships/hyperlink" Target="http://biz.yahoo.com/p/711conameu.html" TargetMode="External"/><Relationship Id="rId193" Type="http://schemas.openxmlformats.org/officeDocument/2006/relationships/hyperlink" Target="http://biz.yahoo.com/p/846conameu.html" TargetMode="External"/><Relationship Id="rId207" Type="http://schemas.openxmlformats.org/officeDocument/2006/relationships/hyperlink" Target="http://biz.yahoo.com/p/842conameu.html" TargetMode="External"/><Relationship Id="rId13" Type="http://schemas.openxmlformats.org/officeDocument/2006/relationships/hyperlink" Target="http://biz.yahoo.com/p/125conameu.html" TargetMode="External"/><Relationship Id="rId109" Type="http://schemas.openxmlformats.org/officeDocument/2006/relationships/hyperlink" Target="http://biz.yahoo.com/p/620conameu.html" TargetMode="External"/><Relationship Id="rId34" Type="http://schemas.openxmlformats.org/officeDocument/2006/relationships/hyperlink" Target="http://biz.yahoo.com/p/341conameu.html" TargetMode="External"/><Relationship Id="rId55" Type="http://schemas.openxmlformats.org/officeDocument/2006/relationships/hyperlink" Target="http://biz.yahoo.com/p/422conameu.html" TargetMode="External"/><Relationship Id="rId76" Type="http://schemas.openxmlformats.org/officeDocument/2006/relationships/hyperlink" Target="http://biz.yahoo.com/p/413conameu.html" TargetMode="External"/><Relationship Id="rId97" Type="http://schemas.openxmlformats.org/officeDocument/2006/relationships/hyperlink" Target="http://biz.yahoo.com/p/526conameu.html" TargetMode="External"/><Relationship Id="rId120" Type="http://schemas.openxmlformats.org/officeDocument/2006/relationships/hyperlink" Target="http://biz.yahoo.com/p/630conameu.html" TargetMode="External"/><Relationship Id="rId141" Type="http://schemas.openxmlformats.org/officeDocument/2006/relationships/hyperlink" Target="http://biz.yahoo.com/p/731conameu.html" TargetMode="External"/><Relationship Id="rId7" Type="http://schemas.openxmlformats.org/officeDocument/2006/relationships/hyperlink" Target="http://biz.yahoo.com/p/121conameu.html" TargetMode="External"/><Relationship Id="rId162" Type="http://schemas.openxmlformats.org/officeDocument/2006/relationships/hyperlink" Target="http://biz.yahoo.com/p/726conameu.html" TargetMode="External"/><Relationship Id="rId183" Type="http://schemas.openxmlformats.org/officeDocument/2006/relationships/hyperlink" Target="http://biz.yahoo.com/p/774conameu.html" TargetMode="External"/><Relationship Id="rId218" Type="http://schemas.openxmlformats.org/officeDocument/2006/relationships/hyperlink" Target="http://biz.yahoo.com/p/840conameu.html" TargetMode="External"/><Relationship Id="rId24" Type="http://schemas.openxmlformats.org/officeDocument/2006/relationships/hyperlink" Target="http://biz.yahoo.com/p/333conameu.html" TargetMode="External"/><Relationship Id="rId45" Type="http://schemas.openxmlformats.org/officeDocument/2006/relationships/hyperlink" Target="http://biz.yahoo.com/p/317conameu.html" TargetMode="External"/><Relationship Id="rId66" Type="http://schemas.openxmlformats.org/officeDocument/2006/relationships/hyperlink" Target="http://biz.yahoo.com/p/430conameu.html" TargetMode="External"/><Relationship Id="rId87" Type="http://schemas.openxmlformats.org/officeDocument/2006/relationships/hyperlink" Target="http://biz.yahoo.com/p/4conameu.html" TargetMode="External"/><Relationship Id="rId110" Type="http://schemas.openxmlformats.org/officeDocument/2006/relationships/hyperlink" Target="http://biz.yahoo.com/p/634conameu.html" TargetMode="External"/><Relationship Id="rId131" Type="http://schemas.openxmlformats.org/officeDocument/2006/relationships/hyperlink" Target="http://biz.yahoo.com/p/750conameu.html" TargetMode="External"/><Relationship Id="rId152" Type="http://schemas.openxmlformats.org/officeDocument/2006/relationships/hyperlink" Target="http://biz.yahoo.com/p/734conameu.html" TargetMode="External"/><Relationship Id="rId173" Type="http://schemas.openxmlformats.org/officeDocument/2006/relationships/hyperlink" Target="http://biz.yahoo.com/p/712conameu.html" TargetMode="External"/><Relationship Id="rId194" Type="http://schemas.openxmlformats.org/officeDocument/2006/relationships/hyperlink" Target="http://biz.yahoo.com/p/810conameu.html" TargetMode="External"/><Relationship Id="rId208" Type="http://schemas.openxmlformats.org/officeDocument/2006/relationships/hyperlink" Target="http://biz.yahoo.com/p/837conameu.html" TargetMode="External"/><Relationship Id="rId14" Type="http://schemas.openxmlformats.org/officeDocument/2006/relationships/hyperlink" Target="http://biz.yahoo.com/p/122conameu.html" TargetMode="External"/><Relationship Id="rId35" Type="http://schemas.openxmlformats.org/officeDocument/2006/relationships/hyperlink" Target="http://biz.yahoo.com/p/340conameu.html" TargetMode="External"/><Relationship Id="rId56" Type="http://schemas.openxmlformats.org/officeDocument/2006/relationships/hyperlink" Target="http://biz.yahoo.com/p/425conameu.html" TargetMode="External"/><Relationship Id="rId77" Type="http://schemas.openxmlformats.org/officeDocument/2006/relationships/hyperlink" Target="http://biz.yahoo.com/p/415conameu.html" TargetMode="External"/><Relationship Id="rId100" Type="http://schemas.openxmlformats.org/officeDocument/2006/relationships/hyperlink" Target="http://biz.yahoo.com/p/521conameu.html" TargetMode="External"/><Relationship Id="rId8" Type="http://schemas.openxmlformats.org/officeDocument/2006/relationships/hyperlink" Target="http://biz.yahoo.com/p/133conameu.html" TargetMode="External"/><Relationship Id="rId51" Type="http://schemas.openxmlformats.org/officeDocument/2006/relationships/hyperlink" Target="http://biz.yahoo.com/p/351conameu.html" TargetMode="External"/><Relationship Id="rId72" Type="http://schemas.openxmlformats.org/officeDocument/2006/relationships/hyperlink" Target="http://biz.yahoo.com/p/412conameu.html" TargetMode="External"/><Relationship Id="rId93" Type="http://schemas.openxmlformats.org/officeDocument/2006/relationships/hyperlink" Target="http://biz.yahoo.com/p/511conameu.html" TargetMode="External"/><Relationship Id="rId98" Type="http://schemas.openxmlformats.org/officeDocument/2006/relationships/hyperlink" Target="http://biz.yahoo.com/p/524conameu.html" TargetMode="External"/><Relationship Id="rId121" Type="http://schemas.openxmlformats.org/officeDocument/2006/relationships/hyperlink" Target="http://biz.yahoo.com/p/625conameu.html" TargetMode="External"/><Relationship Id="rId142" Type="http://schemas.openxmlformats.org/officeDocument/2006/relationships/hyperlink" Target="http://biz.yahoo.com/p/732conameu.html" TargetMode="External"/><Relationship Id="rId163" Type="http://schemas.openxmlformats.org/officeDocument/2006/relationships/hyperlink" Target="http://biz.yahoo.com/p/743conameu.html" TargetMode="External"/><Relationship Id="rId184" Type="http://schemas.openxmlformats.org/officeDocument/2006/relationships/hyperlink" Target="http://biz.yahoo.com/p/759conameu.html" TargetMode="External"/><Relationship Id="rId189" Type="http://schemas.openxmlformats.org/officeDocument/2006/relationships/hyperlink" Target="http://biz.yahoo.com/p/841conameu.html" TargetMode="External"/><Relationship Id="rId219" Type="http://schemas.openxmlformats.org/officeDocument/2006/relationships/hyperlink" Target="http://biz.yahoo.com/p/913conameu.html" TargetMode="External"/><Relationship Id="rId3" Type="http://schemas.openxmlformats.org/officeDocument/2006/relationships/hyperlink" Target="http://biz.yahoo.com/p/132conameu.html" TargetMode="External"/><Relationship Id="rId214" Type="http://schemas.openxmlformats.org/officeDocument/2006/relationships/hyperlink" Target="http://biz.yahoo.com/p/831conameu.html" TargetMode="External"/><Relationship Id="rId25" Type="http://schemas.openxmlformats.org/officeDocument/2006/relationships/hyperlink" Target="http://biz.yahoo.com/p/346conameu.html" TargetMode="External"/><Relationship Id="rId46" Type="http://schemas.openxmlformats.org/officeDocument/2006/relationships/hyperlink" Target="http://biz.yahoo.com/p/332conameu.html" TargetMode="External"/><Relationship Id="rId67" Type="http://schemas.openxmlformats.org/officeDocument/2006/relationships/hyperlink" Target="http://biz.yahoo.com/p/410conameu.html" TargetMode="External"/><Relationship Id="rId116" Type="http://schemas.openxmlformats.org/officeDocument/2006/relationships/hyperlink" Target="http://biz.yahoo.com/p/624conameu.html" TargetMode="External"/><Relationship Id="rId137" Type="http://schemas.openxmlformats.org/officeDocument/2006/relationships/hyperlink" Target="http://biz.yahoo.com/p/739conameu.html" TargetMode="External"/><Relationship Id="rId158" Type="http://schemas.openxmlformats.org/officeDocument/2006/relationships/hyperlink" Target="http://biz.yahoo.com/p/770conameu.html" TargetMode="External"/><Relationship Id="rId20" Type="http://schemas.openxmlformats.org/officeDocument/2006/relationships/hyperlink" Target="http://biz.yahoo.com/p/210conameu.html" TargetMode="External"/><Relationship Id="rId41" Type="http://schemas.openxmlformats.org/officeDocument/2006/relationships/hyperlink" Target="http://biz.yahoo.com/p/324conameu.html" TargetMode="External"/><Relationship Id="rId62" Type="http://schemas.openxmlformats.org/officeDocument/2006/relationships/hyperlink" Target="http://biz.yahoo.com/p/418conameu.html" TargetMode="External"/><Relationship Id="rId83" Type="http://schemas.openxmlformats.org/officeDocument/2006/relationships/hyperlink" Target="http://biz.yahoo.com/p/445conameu.html" TargetMode="External"/><Relationship Id="rId88" Type="http://schemas.openxmlformats.org/officeDocument/2006/relationships/hyperlink" Target="http://biz.yahoo.com/p/5conameu.html" TargetMode="External"/><Relationship Id="rId111" Type="http://schemas.openxmlformats.org/officeDocument/2006/relationships/hyperlink" Target="http://biz.yahoo.com/p/636conameu.html" TargetMode="External"/><Relationship Id="rId132" Type="http://schemas.openxmlformats.org/officeDocument/2006/relationships/hyperlink" Target="http://biz.yahoo.com/p/758conameu.html" TargetMode="External"/><Relationship Id="rId153" Type="http://schemas.openxmlformats.org/officeDocument/2006/relationships/hyperlink" Target="http://biz.yahoo.com/p/737conameu.html" TargetMode="External"/><Relationship Id="rId174" Type="http://schemas.openxmlformats.org/officeDocument/2006/relationships/hyperlink" Target="http://biz.yahoo.com/p/765conameu.html" TargetMode="External"/><Relationship Id="rId179" Type="http://schemas.openxmlformats.org/officeDocument/2006/relationships/hyperlink" Target="http://biz.yahoo.com/p/740conameu.html" TargetMode="External"/><Relationship Id="rId195" Type="http://schemas.openxmlformats.org/officeDocument/2006/relationships/hyperlink" Target="http://biz.yahoo.com/p/836conameu.html" TargetMode="External"/><Relationship Id="rId209" Type="http://schemas.openxmlformats.org/officeDocument/2006/relationships/hyperlink" Target="http://biz.yahoo.com/p/823conameu.html" TargetMode="External"/><Relationship Id="rId190" Type="http://schemas.openxmlformats.org/officeDocument/2006/relationships/hyperlink" Target="http://biz.yahoo.com/p/812conameu.html" TargetMode="External"/><Relationship Id="rId204" Type="http://schemas.openxmlformats.org/officeDocument/2006/relationships/hyperlink" Target="http://biz.yahoo.com/p/814conameu.html" TargetMode="External"/><Relationship Id="rId220" Type="http://schemas.openxmlformats.org/officeDocument/2006/relationships/hyperlink" Target="http://biz.yahoo.com/p/911conameu.html" TargetMode="External"/><Relationship Id="rId15" Type="http://schemas.openxmlformats.org/officeDocument/2006/relationships/hyperlink" Target="http://biz.yahoo.com/p/135conameu.html" TargetMode="External"/><Relationship Id="rId36" Type="http://schemas.openxmlformats.org/officeDocument/2006/relationships/hyperlink" Target="http://biz.yahoo.com/p/311conameu.html" TargetMode="External"/><Relationship Id="rId57" Type="http://schemas.openxmlformats.org/officeDocument/2006/relationships/hyperlink" Target="http://biz.yahoo.com/p/426conameu.html" TargetMode="External"/><Relationship Id="rId106" Type="http://schemas.openxmlformats.org/officeDocument/2006/relationships/hyperlink" Target="http://biz.yahoo.com/p/611conameu.html" TargetMode="External"/><Relationship Id="rId127" Type="http://schemas.openxmlformats.org/officeDocument/2006/relationships/hyperlink" Target="http://biz.yahoo.com/p/772conameu.html" TargetMode="External"/><Relationship Id="rId10" Type="http://schemas.openxmlformats.org/officeDocument/2006/relationships/hyperlink" Target="http://biz.yahoo.com/p/136conameu.html" TargetMode="External"/><Relationship Id="rId31" Type="http://schemas.openxmlformats.org/officeDocument/2006/relationships/hyperlink" Target="http://biz.yahoo.com/p/345conameu.html" TargetMode="External"/><Relationship Id="rId52" Type="http://schemas.openxmlformats.org/officeDocument/2006/relationships/hyperlink" Target="http://biz.yahoo.com/p/315conameu.html" TargetMode="External"/><Relationship Id="rId73" Type="http://schemas.openxmlformats.org/officeDocument/2006/relationships/hyperlink" Target="http://biz.yahoo.com/p/414conameu.html" TargetMode="External"/><Relationship Id="rId78" Type="http://schemas.openxmlformats.org/officeDocument/2006/relationships/hyperlink" Target="http://biz.yahoo.com/p/440conameu.html" TargetMode="External"/><Relationship Id="rId94" Type="http://schemas.openxmlformats.org/officeDocument/2006/relationships/hyperlink" Target="http://biz.yahoo.com/p/514conameu.html" TargetMode="External"/><Relationship Id="rId99" Type="http://schemas.openxmlformats.org/officeDocument/2006/relationships/hyperlink" Target="http://biz.yahoo.com/p/523conameu.html" TargetMode="External"/><Relationship Id="rId101" Type="http://schemas.openxmlformats.org/officeDocument/2006/relationships/hyperlink" Target="http://biz.yahoo.com/p/520conameu.html" TargetMode="External"/><Relationship Id="rId122" Type="http://schemas.openxmlformats.org/officeDocument/2006/relationships/hyperlink" Target="http://biz.yahoo.com/p/628conameu.html" TargetMode="External"/><Relationship Id="rId143" Type="http://schemas.openxmlformats.org/officeDocument/2006/relationships/hyperlink" Target="http://biz.yahoo.com/p/733conameu.html" TargetMode="External"/><Relationship Id="rId148" Type="http://schemas.openxmlformats.org/officeDocument/2006/relationships/hyperlink" Target="http://biz.yahoo.com/p/722conameu.html" TargetMode="External"/><Relationship Id="rId164" Type="http://schemas.openxmlformats.org/officeDocument/2006/relationships/hyperlink" Target="http://biz.yahoo.com/p/762conameu.html" TargetMode="External"/><Relationship Id="rId169" Type="http://schemas.openxmlformats.org/officeDocument/2006/relationships/hyperlink" Target="http://biz.yahoo.com/p/771conameu.html" TargetMode="External"/><Relationship Id="rId185" Type="http://schemas.openxmlformats.org/officeDocument/2006/relationships/hyperlink" Target="http://biz.yahoo.com/p/7conameu.html" TargetMode="External"/><Relationship Id="rId4" Type="http://schemas.openxmlformats.org/officeDocument/2006/relationships/hyperlink" Target="http://biz.yahoo.com/p/110conameu.html" TargetMode="External"/><Relationship Id="rId9" Type="http://schemas.openxmlformats.org/officeDocument/2006/relationships/hyperlink" Target="http://biz.yahoo.com/p/120conameu.html" TargetMode="External"/><Relationship Id="rId180" Type="http://schemas.openxmlformats.org/officeDocument/2006/relationships/hyperlink" Target="http://biz.yahoo.com/p/764conameu.html" TargetMode="External"/><Relationship Id="rId210" Type="http://schemas.openxmlformats.org/officeDocument/2006/relationships/hyperlink" Target="http://biz.yahoo.com/p/830conameu.html" TargetMode="External"/><Relationship Id="rId215" Type="http://schemas.openxmlformats.org/officeDocument/2006/relationships/hyperlink" Target="http://biz.yahoo.com/p/822conameu.html" TargetMode="External"/><Relationship Id="rId26" Type="http://schemas.openxmlformats.org/officeDocument/2006/relationships/hyperlink" Target="http://biz.yahoo.com/p/348conameu.html" TargetMode="External"/><Relationship Id="rId47" Type="http://schemas.openxmlformats.org/officeDocument/2006/relationships/hyperlink" Target="http://biz.yahoo.com/p/322conameu.html" TargetMode="External"/><Relationship Id="rId68" Type="http://schemas.openxmlformats.org/officeDocument/2006/relationships/hyperlink" Target="http://biz.yahoo.com/p/447conameu.html" TargetMode="External"/><Relationship Id="rId89" Type="http://schemas.openxmlformats.org/officeDocument/2006/relationships/hyperlink" Target="http://biz.yahoo.com/p/515conameu.html" TargetMode="External"/><Relationship Id="rId112" Type="http://schemas.openxmlformats.org/officeDocument/2006/relationships/hyperlink" Target="http://biz.yahoo.com/p/635conameu.html" TargetMode="External"/><Relationship Id="rId133" Type="http://schemas.openxmlformats.org/officeDocument/2006/relationships/hyperlink" Target="http://biz.yahoo.com/p/724conameu.html" TargetMode="External"/><Relationship Id="rId154" Type="http://schemas.openxmlformats.org/officeDocument/2006/relationships/hyperlink" Target="http://biz.yahoo.com/p/736conameu.html" TargetMode="External"/><Relationship Id="rId175" Type="http://schemas.openxmlformats.org/officeDocument/2006/relationships/hyperlink" Target="http://biz.yahoo.com/p/775conameu.html" TargetMode="External"/><Relationship Id="rId196" Type="http://schemas.openxmlformats.org/officeDocument/2006/relationships/hyperlink" Target="http://biz.yahoo.com/p/825conameu.html" TargetMode="External"/><Relationship Id="rId200" Type="http://schemas.openxmlformats.org/officeDocument/2006/relationships/hyperlink" Target="http://biz.yahoo.com/p/850conameu.html" TargetMode="External"/><Relationship Id="rId16" Type="http://schemas.openxmlformats.org/officeDocument/2006/relationships/hyperlink" Target="http://biz.yahoo.com/p/113conameu.html" TargetMode="External"/><Relationship Id="rId221" Type="http://schemas.openxmlformats.org/officeDocument/2006/relationships/hyperlink" Target="http://biz.yahoo.com/p/910conameu.html" TargetMode="External"/><Relationship Id="rId37" Type="http://schemas.openxmlformats.org/officeDocument/2006/relationships/hyperlink" Target="http://biz.yahoo.com/p/312conameu.html" TargetMode="External"/><Relationship Id="rId58" Type="http://schemas.openxmlformats.org/officeDocument/2006/relationships/hyperlink" Target="http://biz.yahoo.com/p/427conameu.html" TargetMode="External"/><Relationship Id="rId79" Type="http://schemas.openxmlformats.org/officeDocument/2006/relationships/hyperlink" Target="http://biz.yahoo.com/p/442conameu.html" TargetMode="External"/><Relationship Id="rId102" Type="http://schemas.openxmlformats.org/officeDocument/2006/relationships/hyperlink" Target="http://biz.yahoo.com/p/525conameu.html" TargetMode="External"/><Relationship Id="rId123" Type="http://schemas.openxmlformats.org/officeDocument/2006/relationships/hyperlink" Target="http://biz.yahoo.com/p/637conameu.html" TargetMode="External"/><Relationship Id="rId144" Type="http://schemas.openxmlformats.org/officeDocument/2006/relationships/hyperlink" Target="http://biz.yahoo.com/p/756conameu.html" TargetMode="External"/><Relationship Id="rId90" Type="http://schemas.openxmlformats.org/officeDocument/2006/relationships/hyperlink" Target="http://biz.yahoo.com/p/516conameu.html" TargetMode="External"/><Relationship Id="rId165" Type="http://schemas.openxmlformats.org/officeDocument/2006/relationships/hyperlink" Target="http://biz.yahoo.com/p/729conameu.html" TargetMode="External"/><Relationship Id="rId186" Type="http://schemas.openxmlformats.org/officeDocument/2006/relationships/hyperlink" Target="http://biz.yahoo.com/p/8conameu.html" TargetMode="External"/><Relationship Id="rId211" Type="http://schemas.openxmlformats.org/officeDocument/2006/relationships/hyperlink" Target="http://biz.yahoo.com/p/833conameu.html" TargetMode="External"/><Relationship Id="rId27" Type="http://schemas.openxmlformats.org/officeDocument/2006/relationships/hyperlink" Target="http://biz.yahoo.com/p/347conameu.html" TargetMode="External"/><Relationship Id="rId48" Type="http://schemas.openxmlformats.org/officeDocument/2006/relationships/hyperlink" Target="http://biz.yahoo.com/p/316conameu.html" TargetMode="External"/><Relationship Id="rId69" Type="http://schemas.openxmlformats.org/officeDocument/2006/relationships/hyperlink" Target="http://biz.yahoo.com/p/432conameu.html" TargetMode="External"/><Relationship Id="rId113" Type="http://schemas.openxmlformats.org/officeDocument/2006/relationships/hyperlink" Target="http://biz.yahoo.com/p/627conameu.html" TargetMode="External"/><Relationship Id="rId134" Type="http://schemas.openxmlformats.org/officeDocument/2006/relationships/hyperlink" Target="http://biz.yahoo.com/p/723conameu.html" TargetMode="External"/><Relationship Id="rId80" Type="http://schemas.openxmlformats.org/officeDocument/2006/relationships/hyperlink" Target="http://biz.yahoo.com/p/443conameu.html" TargetMode="External"/><Relationship Id="rId155" Type="http://schemas.openxmlformats.org/officeDocument/2006/relationships/hyperlink" Target="http://biz.yahoo.com/p/752conameu.html" TargetMode="External"/><Relationship Id="rId176" Type="http://schemas.openxmlformats.org/officeDocument/2006/relationships/hyperlink" Target="http://biz.yahoo.com/p/713conameu.html" TargetMode="External"/><Relationship Id="rId197" Type="http://schemas.openxmlformats.org/officeDocument/2006/relationships/hyperlink" Target="http://biz.yahoo.com/p/827conameu.html" TargetMode="External"/><Relationship Id="rId201" Type="http://schemas.openxmlformats.org/officeDocument/2006/relationships/hyperlink" Target="http://biz.yahoo.com/p/852conameu.html" TargetMode="External"/><Relationship Id="rId222" Type="http://schemas.openxmlformats.org/officeDocument/2006/relationships/hyperlink" Target="http://biz.yahoo.com/p/912conameu.html" TargetMode="External"/><Relationship Id="rId17" Type="http://schemas.openxmlformats.org/officeDocument/2006/relationships/hyperlink" Target="http://biz.yahoo.com/p/130conameu.html" TargetMode="External"/><Relationship Id="rId38" Type="http://schemas.openxmlformats.org/officeDocument/2006/relationships/hyperlink" Target="http://biz.yahoo.com/p/343conameu.html" TargetMode="External"/><Relationship Id="rId59" Type="http://schemas.openxmlformats.org/officeDocument/2006/relationships/hyperlink" Target="http://biz.yahoo.com/p/424conameu.html" TargetMode="External"/><Relationship Id="rId103" Type="http://schemas.openxmlformats.org/officeDocument/2006/relationships/hyperlink" Target="http://biz.yahoo.com/p/527conameu.html" TargetMode="External"/><Relationship Id="rId124" Type="http://schemas.openxmlformats.org/officeDocument/2006/relationships/hyperlink" Target="http://biz.yahoo.com/p/6conameu.html" TargetMode="External"/><Relationship Id="rId70" Type="http://schemas.openxmlformats.org/officeDocument/2006/relationships/hyperlink" Target="http://biz.yahoo.com/p/448conameu.html" TargetMode="External"/><Relationship Id="rId91" Type="http://schemas.openxmlformats.org/officeDocument/2006/relationships/hyperlink" Target="http://biz.yahoo.com/p/513conameu.html" TargetMode="External"/><Relationship Id="rId145" Type="http://schemas.openxmlformats.org/officeDocument/2006/relationships/hyperlink" Target="http://biz.yahoo.com/p/766conameu.html" TargetMode="External"/><Relationship Id="rId166" Type="http://schemas.openxmlformats.org/officeDocument/2006/relationships/hyperlink" Target="http://biz.yahoo.com/p/727conameu.html" TargetMode="External"/><Relationship Id="rId187" Type="http://schemas.openxmlformats.org/officeDocument/2006/relationships/hyperlink" Target="http://biz.yahoo.com/p/821conameu.html" TargetMode="External"/><Relationship Id="rId1" Type="http://schemas.openxmlformats.org/officeDocument/2006/relationships/hyperlink" Target="http://biz.yahoo.com/p/1conameu.html" TargetMode="External"/><Relationship Id="rId212" Type="http://schemas.openxmlformats.org/officeDocument/2006/relationships/hyperlink" Target="http://biz.yahoo.com/p/832conameu.html" TargetMode="External"/><Relationship Id="rId28" Type="http://schemas.openxmlformats.org/officeDocument/2006/relationships/hyperlink" Target="http://biz.yahoo.com/p/313conameu.html" TargetMode="External"/><Relationship Id="rId49" Type="http://schemas.openxmlformats.org/officeDocument/2006/relationships/hyperlink" Target="http://biz.yahoo.com/p/320conameu.html" TargetMode="External"/><Relationship Id="rId114" Type="http://schemas.openxmlformats.org/officeDocument/2006/relationships/hyperlink" Target="http://biz.yahoo.com/p/621conameu.html" TargetMode="External"/><Relationship Id="rId60" Type="http://schemas.openxmlformats.org/officeDocument/2006/relationships/hyperlink" Target="http://biz.yahoo.com/p/423conameu.html" TargetMode="External"/><Relationship Id="rId81" Type="http://schemas.openxmlformats.org/officeDocument/2006/relationships/hyperlink" Target="http://biz.yahoo.com/p/444conameu.html" TargetMode="External"/><Relationship Id="rId135" Type="http://schemas.openxmlformats.org/officeDocument/2006/relationships/hyperlink" Target="http://biz.yahoo.com/p/751conameu.html" TargetMode="External"/><Relationship Id="rId156" Type="http://schemas.openxmlformats.org/officeDocument/2006/relationships/hyperlink" Target="http://biz.yahoo.com/p/742conameu.html" TargetMode="External"/><Relationship Id="rId177" Type="http://schemas.openxmlformats.org/officeDocument/2006/relationships/hyperlink" Target="http://biz.yahoo.com/p/745conameu.html" TargetMode="External"/><Relationship Id="rId198" Type="http://schemas.openxmlformats.org/officeDocument/2006/relationships/hyperlink" Target="http://biz.yahoo.com/p/824conameu.html" TargetMode="External"/><Relationship Id="rId202" Type="http://schemas.openxmlformats.org/officeDocument/2006/relationships/hyperlink" Target="http://biz.yahoo.com/p/843conameu.html" TargetMode="External"/><Relationship Id="rId223" Type="http://schemas.openxmlformats.org/officeDocument/2006/relationships/hyperlink" Target="http://biz.yahoo.com/p/914conameu.html" TargetMode="External"/><Relationship Id="rId18" Type="http://schemas.openxmlformats.org/officeDocument/2006/relationships/hyperlink" Target="http://biz.yahoo.com/p/111conameu.html" TargetMode="External"/><Relationship Id="rId39" Type="http://schemas.openxmlformats.org/officeDocument/2006/relationships/hyperlink" Target="http://biz.yahoo.com/p/327conameu.html" TargetMode="External"/><Relationship Id="rId50" Type="http://schemas.openxmlformats.org/officeDocument/2006/relationships/hyperlink" Target="http://biz.yahoo.com/p/321conameu.html" TargetMode="External"/><Relationship Id="rId104" Type="http://schemas.openxmlformats.org/officeDocument/2006/relationships/hyperlink" Target="http://biz.yahoo.com/p/528conameu.html" TargetMode="External"/><Relationship Id="rId125" Type="http://schemas.openxmlformats.org/officeDocument/2006/relationships/hyperlink" Target="http://biz.yahoo.com/p/720conameu.html" TargetMode="External"/><Relationship Id="rId146" Type="http://schemas.openxmlformats.org/officeDocument/2006/relationships/hyperlink" Target="http://biz.yahoo.com/p/735conameu.html" TargetMode="External"/><Relationship Id="rId167" Type="http://schemas.openxmlformats.org/officeDocument/2006/relationships/hyperlink" Target="http://biz.yahoo.com/p/728conameu.html" TargetMode="External"/><Relationship Id="rId188" Type="http://schemas.openxmlformats.org/officeDocument/2006/relationships/hyperlink" Target="http://biz.yahoo.com/p/826conameu.html" TargetMode="External"/><Relationship Id="rId71" Type="http://schemas.openxmlformats.org/officeDocument/2006/relationships/hyperlink" Target="http://biz.yahoo.com/p/449conameu.html" TargetMode="External"/><Relationship Id="rId92" Type="http://schemas.openxmlformats.org/officeDocument/2006/relationships/hyperlink" Target="http://biz.yahoo.com/p/510conameu.html" TargetMode="External"/><Relationship Id="rId213" Type="http://schemas.openxmlformats.org/officeDocument/2006/relationships/hyperlink" Target="http://biz.yahoo.com/p/834conameu.html" TargetMode="External"/><Relationship Id="rId2" Type="http://schemas.openxmlformats.org/officeDocument/2006/relationships/hyperlink" Target="http://biz.yahoo.com/p/112conameu.html" TargetMode="External"/><Relationship Id="rId29" Type="http://schemas.openxmlformats.org/officeDocument/2006/relationships/hyperlink" Target="http://biz.yahoo.com/p/350conameu.html" TargetMode="External"/><Relationship Id="rId40" Type="http://schemas.openxmlformats.org/officeDocument/2006/relationships/hyperlink" Target="http://biz.yahoo.com/p/325conameu.html" TargetMode="External"/><Relationship Id="rId115" Type="http://schemas.openxmlformats.org/officeDocument/2006/relationships/hyperlink" Target="http://biz.yahoo.com/p/632conameu.html" TargetMode="External"/><Relationship Id="rId136" Type="http://schemas.openxmlformats.org/officeDocument/2006/relationships/hyperlink" Target="http://biz.yahoo.com/p/760conameu.html" TargetMode="External"/><Relationship Id="rId157" Type="http://schemas.openxmlformats.org/officeDocument/2006/relationships/hyperlink" Target="http://biz.yahoo.com/p/710conameu.html" TargetMode="External"/><Relationship Id="rId178" Type="http://schemas.openxmlformats.org/officeDocument/2006/relationships/hyperlink" Target="http://biz.yahoo.com/p/715conameu.html" TargetMode="External"/><Relationship Id="rId61" Type="http://schemas.openxmlformats.org/officeDocument/2006/relationships/hyperlink" Target="http://biz.yahoo.com/p/417conameu.html" TargetMode="External"/><Relationship Id="rId82" Type="http://schemas.openxmlformats.org/officeDocument/2006/relationships/hyperlink" Target="http://biz.yahoo.com/p/441conameu.html" TargetMode="External"/><Relationship Id="rId199" Type="http://schemas.openxmlformats.org/officeDocument/2006/relationships/hyperlink" Target="http://biz.yahoo.com/p/851conameu.html" TargetMode="External"/><Relationship Id="rId203" Type="http://schemas.openxmlformats.org/officeDocument/2006/relationships/hyperlink" Target="http://biz.yahoo.com/p/820conameu.html" TargetMode="External"/><Relationship Id="rId19" Type="http://schemas.openxmlformats.org/officeDocument/2006/relationships/hyperlink" Target="http://biz.yahoo.com/p/2conameu.html" TargetMode="External"/><Relationship Id="rId224" Type="http://schemas.openxmlformats.org/officeDocument/2006/relationships/hyperlink" Target="http://biz.yahoo.com/p/9conameu.html" TargetMode="External"/><Relationship Id="rId30" Type="http://schemas.openxmlformats.org/officeDocument/2006/relationships/hyperlink" Target="http://biz.yahoo.com/p/326conameu.html" TargetMode="External"/><Relationship Id="rId105" Type="http://schemas.openxmlformats.org/officeDocument/2006/relationships/hyperlink" Target="http://biz.yahoo.com/p/610conameu.html" TargetMode="External"/><Relationship Id="rId126" Type="http://schemas.openxmlformats.org/officeDocument/2006/relationships/hyperlink" Target="http://biz.yahoo.com/p/773conameu.html" TargetMode="External"/><Relationship Id="rId147" Type="http://schemas.openxmlformats.org/officeDocument/2006/relationships/hyperlink" Target="http://biz.yahoo.com/p/753conameu.html" TargetMode="External"/><Relationship Id="rId168" Type="http://schemas.openxmlformats.org/officeDocument/2006/relationships/hyperlink" Target="http://biz.yahoo.com/p/776conameu.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hyperlink" Target="https://money.usnews.com/investing/stocks/metal-fabrication" TargetMode="External"/><Relationship Id="rId13" Type="http://schemas.openxmlformats.org/officeDocument/2006/relationships/hyperlink" Target="https://money.usnews.com/investing/stocks/textiles" TargetMode="External"/><Relationship Id="rId18" Type="http://schemas.openxmlformats.org/officeDocument/2006/relationships/hyperlink" Target="https://money.usnews.com/investing/stocks/textiles" TargetMode="External"/><Relationship Id="rId26" Type="http://schemas.openxmlformats.org/officeDocument/2006/relationships/hyperlink" Target="https://www.instituteforsupplymanagement.org/about/MediaRoom/newsreleasedetail.cfm?ItemNumber=31136&amp;SSO=1" TargetMode="External"/><Relationship Id="rId3" Type="http://schemas.openxmlformats.org/officeDocument/2006/relationships/hyperlink" Target="https://etfdb.com/etf/XLV/" TargetMode="External"/><Relationship Id="rId21" Type="http://schemas.openxmlformats.org/officeDocument/2006/relationships/hyperlink" Target="https://www.instituteforsupplymanagement.org/about/MediaRoom/newsreleasedetail.cfm?ItemNumber=31159&amp;SSO=1" TargetMode="External"/><Relationship Id="rId7" Type="http://schemas.openxmlformats.org/officeDocument/2006/relationships/hyperlink" Target="https://www.instituteforsupplymanagement.org/news/content.cfm?ItemNumber=28859" TargetMode="External"/><Relationship Id="rId12" Type="http://schemas.openxmlformats.org/officeDocument/2006/relationships/hyperlink" Target="https://money.usnews.com/investing/stocks/textiles" TargetMode="External"/><Relationship Id="rId17" Type="http://schemas.openxmlformats.org/officeDocument/2006/relationships/hyperlink" Target="https://money.usnews.com/investing/stocks/textiles" TargetMode="External"/><Relationship Id="rId25" Type="http://schemas.openxmlformats.org/officeDocument/2006/relationships/hyperlink" Target="https://www.instituteforsupplymanagement.org/about/MediaRoom/newsreleasedetail.cfm?ItemNumber=31139&amp;SSO=1" TargetMode="External"/><Relationship Id="rId2" Type="http://schemas.openxmlformats.org/officeDocument/2006/relationships/hyperlink" Target="https://www.barchart.com/stocks/sectors/rankings" TargetMode="External"/><Relationship Id="rId16" Type="http://schemas.openxmlformats.org/officeDocument/2006/relationships/hyperlink" Target="https://money.usnews.com/investing/stocks/textiles" TargetMode="External"/><Relationship Id="rId20" Type="http://schemas.openxmlformats.org/officeDocument/2006/relationships/hyperlink" Target="https://money.usnews.com/investing/stocks/textiles" TargetMode="External"/><Relationship Id="rId29" Type="http://schemas.openxmlformats.org/officeDocument/2006/relationships/drawing" Target="../drawings/drawing2.xml"/><Relationship Id="rId1" Type="http://schemas.openxmlformats.org/officeDocument/2006/relationships/hyperlink" Target="https://www.nasdaq.com/markets/barchart-sectors.aspx" TargetMode="External"/><Relationship Id="rId6" Type="http://schemas.openxmlformats.org/officeDocument/2006/relationships/hyperlink" Target="https://etfdb.com/etfs/" TargetMode="External"/><Relationship Id="rId11" Type="http://schemas.openxmlformats.org/officeDocument/2006/relationships/hyperlink" Target="https://money.usnews.com/investing/stocks/textiles" TargetMode="External"/><Relationship Id="rId24" Type="http://schemas.openxmlformats.org/officeDocument/2006/relationships/hyperlink" Target="https://www.instituteforsupplymanagement.org/about/MediaRoom/newsreleasedetail.cfm?ItemNumber=31145&amp;SSO=1" TargetMode="External"/><Relationship Id="rId5" Type="http://schemas.openxmlformats.org/officeDocument/2006/relationships/hyperlink" Target="https://www.macrotrends.net/stocks/sector/2/consumer-discretionary" TargetMode="External"/><Relationship Id="rId15" Type="http://schemas.openxmlformats.org/officeDocument/2006/relationships/hyperlink" Target="https://money.usnews.com/investing/stocks/textiles" TargetMode="External"/><Relationship Id="rId23" Type="http://schemas.openxmlformats.org/officeDocument/2006/relationships/hyperlink" Target="https://www.instituteforsupplymanagement.org/about/MediaRoom/newsreleasedetail.cfm?ItemNumber=31148&amp;SSO=1" TargetMode="External"/><Relationship Id="rId28" Type="http://schemas.openxmlformats.org/officeDocument/2006/relationships/hyperlink" Target="https://money.usnews.com/investing/stocks/textiles" TargetMode="External"/><Relationship Id="rId10" Type="http://schemas.openxmlformats.org/officeDocument/2006/relationships/hyperlink" Target="https://finance.yahoo.com/screener/new" TargetMode="External"/><Relationship Id="rId19" Type="http://schemas.openxmlformats.org/officeDocument/2006/relationships/hyperlink" Target="https://money.usnews.com/investing/stocks/textiles" TargetMode="External"/><Relationship Id="rId4" Type="http://schemas.openxmlformats.org/officeDocument/2006/relationships/hyperlink" Target="https://etfdb.com/etfs/" TargetMode="External"/><Relationship Id="rId9" Type="http://schemas.openxmlformats.org/officeDocument/2006/relationships/hyperlink" Target="https://en.wikipedia.org/wiki/ISM_Report_On_Business" TargetMode="External"/><Relationship Id="rId14" Type="http://schemas.openxmlformats.org/officeDocument/2006/relationships/hyperlink" Target="https://money.usnews.com/investing/stocks/textiles" TargetMode="External"/><Relationship Id="rId22" Type="http://schemas.openxmlformats.org/officeDocument/2006/relationships/hyperlink" Target="https://www.instituteforsupplymanagement.org/about/MediaRoom/newsreleasedetail.cfm?ItemNumber=31151&amp;SSO=1" TargetMode="External"/><Relationship Id="rId27" Type="http://schemas.openxmlformats.org/officeDocument/2006/relationships/hyperlink" Target="https://www.instituteforsupplymanagement.org/about/MediaRoom/newsreleasedetail.cfm?ItemNumber=31134&amp;SSO=1"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money.usnews.com/investing/stocks/textiles"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money.usnews.com/investing/stocks/textiles"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money.usnews.com/investing/stocks/textiles"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money.usnews.com/investing/stocks/textiles"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money.usnews.com/investing/stocks/textil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B7277-EAA4-4690-B5D4-CBE321499580}">
  <sheetPr>
    <tabColor theme="3" tint="0.59999389629810485"/>
  </sheetPr>
  <dimension ref="A1:CE244"/>
  <sheetViews>
    <sheetView tabSelected="1" zoomScaleNormal="100" workbookViewId="0">
      <pane xSplit="4" ySplit="5" topLeftCell="E6" activePane="bottomRight" state="frozen"/>
      <selection pane="topRight" activeCell="E1" sqref="E1"/>
      <selection pane="bottomLeft" activeCell="A6" sqref="A6"/>
      <selection pane="bottomRight" activeCell="E1" sqref="E1:E1048576"/>
    </sheetView>
  </sheetViews>
  <sheetFormatPr defaultColWidth="9" defaultRowHeight="14.25" x14ac:dyDescent="0.25"/>
  <cols>
    <col min="1" max="1" width="9" style="21"/>
    <col min="2" max="2" width="34.7109375" style="21" customWidth="1"/>
    <col min="3" max="4" width="13.85546875" style="21" customWidth="1"/>
    <col min="5" max="8" width="0.85546875" style="21" customWidth="1"/>
    <col min="9" max="13" width="0.7109375" style="21" customWidth="1"/>
    <col min="14" max="26" width="9.7109375" style="21" customWidth="1"/>
    <col min="27" max="16384" width="9" style="21"/>
  </cols>
  <sheetData>
    <row r="1" spans="1:83" ht="15" x14ac:dyDescent="0.25">
      <c r="B1" s="22"/>
      <c r="G1" s="23"/>
      <c r="Z1" s="22" t="s">
        <v>453</v>
      </c>
      <c r="AD1" s="23" t="s">
        <v>454</v>
      </c>
    </row>
    <row r="2" spans="1:83" ht="15" x14ac:dyDescent="0.25">
      <c r="B2" s="24" t="s">
        <v>455</v>
      </c>
      <c r="C2" s="25">
        <v>3</v>
      </c>
      <c r="D2" s="23"/>
      <c r="G2" s="23"/>
      <c r="I2" s="23"/>
      <c r="Z2" s="42" t="s">
        <v>456</v>
      </c>
      <c r="AA2" s="23"/>
      <c r="AD2" s="23" t="s">
        <v>457</v>
      </c>
      <c r="AF2" s="23" t="s">
        <v>457</v>
      </c>
    </row>
    <row r="3" spans="1:83" ht="17.25" x14ac:dyDescent="0.25">
      <c r="B3" s="24" t="s">
        <v>458</v>
      </c>
      <c r="C3" s="25">
        <v>6</v>
      </c>
      <c r="I3" s="23"/>
      <c r="Z3" s="43" t="s">
        <v>459</v>
      </c>
      <c r="AF3" s="23" t="s">
        <v>460</v>
      </c>
    </row>
    <row r="4" spans="1:83" ht="18.600000000000001" customHeight="1" x14ac:dyDescent="0.25">
      <c r="B4" s="26" t="s">
        <v>461</v>
      </c>
      <c r="C4" s="26" t="s">
        <v>462</v>
      </c>
      <c r="D4" s="26" t="s">
        <v>463</v>
      </c>
      <c r="E4" s="23" t="s">
        <v>464</v>
      </c>
      <c r="F4" s="23" t="s">
        <v>464</v>
      </c>
      <c r="G4" s="23" t="s">
        <v>464</v>
      </c>
      <c r="H4" s="23" t="s">
        <v>464</v>
      </c>
      <c r="I4" s="23" t="s">
        <v>464</v>
      </c>
      <c r="J4" s="23" t="s">
        <v>464</v>
      </c>
      <c r="K4" s="21" t="s">
        <v>464</v>
      </c>
      <c r="L4" s="21" t="s">
        <v>464</v>
      </c>
      <c r="M4" s="21" t="s">
        <v>464</v>
      </c>
      <c r="N4" s="21" t="s">
        <v>464</v>
      </c>
      <c r="O4" s="21" t="s">
        <v>464</v>
      </c>
      <c r="P4" s="21" t="s">
        <v>464</v>
      </c>
      <c r="Q4" s="21" t="s">
        <v>464</v>
      </c>
      <c r="R4" s="21" t="s">
        <v>464</v>
      </c>
      <c r="S4" s="21" t="s">
        <v>464</v>
      </c>
      <c r="T4" s="21" t="s">
        <v>464</v>
      </c>
      <c r="Z4" s="22" t="s">
        <v>465</v>
      </c>
      <c r="BO4" s="33">
        <f t="shared" ref="BO4:BY4" si="0">MAX(BO7:BO24)</f>
        <v>8</v>
      </c>
      <c r="BP4" s="33">
        <f t="shared" si="0"/>
        <v>5</v>
      </c>
      <c r="BQ4" s="33">
        <f t="shared" si="0"/>
        <v>5</v>
      </c>
      <c r="BR4" s="33">
        <f t="shared" si="0"/>
        <v>5</v>
      </c>
      <c r="BS4" s="33">
        <f t="shared" si="0"/>
        <v>5</v>
      </c>
      <c r="BT4" s="33">
        <f t="shared" si="0"/>
        <v>3</v>
      </c>
      <c r="BU4" s="33">
        <f t="shared" si="0"/>
        <v>7</v>
      </c>
      <c r="BV4" s="33">
        <f t="shared" si="0"/>
        <v>8</v>
      </c>
      <c r="BW4" s="33">
        <f t="shared" si="0"/>
        <v>10</v>
      </c>
      <c r="BX4" s="33">
        <f t="shared" si="0"/>
        <v>9</v>
      </c>
      <c r="BY4" s="33">
        <f t="shared" si="0"/>
        <v>11</v>
      </c>
      <c r="BZ4" s="33">
        <f>MAX(BZ7:BZ24)</f>
        <v>7</v>
      </c>
      <c r="CA4" s="33">
        <f>MAX(CA7:CA24)</f>
        <v>9</v>
      </c>
      <c r="CB4" s="33">
        <f>MAX(CB7:CB24)</f>
        <v>7</v>
      </c>
      <c r="CC4" s="33">
        <f>MAX(CC7:CC24)</f>
        <v>7</v>
      </c>
      <c r="CD4" s="33">
        <f>MAX(CD7:CD24)</f>
        <v>5</v>
      </c>
    </row>
    <row r="5" spans="1:83" ht="20.25" customHeight="1" x14ac:dyDescent="0.25">
      <c r="B5" s="21" t="s">
        <v>466</v>
      </c>
      <c r="C5" s="26">
        <v>3</v>
      </c>
      <c r="D5" s="26"/>
      <c r="E5" s="28">
        <v>43556</v>
      </c>
      <c r="F5" s="28">
        <v>43586</v>
      </c>
      <c r="G5" s="29">
        <v>43617</v>
      </c>
      <c r="H5" s="29">
        <v>43647</v>
      </c>
      <c r="I5" s="29">
        <v>43678</v>
      </c>
      <c r="J5" s="29">
        <v>43709</v>
      </c>
      <c r="K5" s="29">
        <v>43739</v>
      </c>
      <c r="L5" s="29">
        <v>43770</v>
      </c>
      <c r="M5" s="29">
        <v>43800</v>
      </c>
      <c r="N5" s="29">
        <v>43831</v>
      </c>
      <c r="O5" s="29">
        <v>43862</v>
      </c>
      <c r="P5" s="29">
        <v>43891</v>
      </c>
      <c r="Q5" s="29">
        <v>43922</v>
      </c>
      <c r="R5" s="29">
        <v>43952</v>
      </c>
      <c r="S5" s="29">
        <v>43983</v>
      </c>
      <c r="T5" s="29">
        <v>44013</v>
      </c>
      <c r="U5" s="29">
        <v>44044</v>
      </c>
      <c r="V5" s="29">
        <v>44075</v>
      </c>
      <c r="W5" s="29">
        <v>44105</v>
      </c>
      <c r="X5" s="29">
        <v>44136</v>
      </c>
      <c r="Y5" s="29">
        <v>44166</v>
      </c>
      <c r="Z5" s="29">
        <v>44197</v>
      </c>
      <c r="AA5" s="29">
        <v>44228</v>
      </c>
      <c r="AB5" s="29">
        <v>44256</v>
      </c>
      <c r="AC5" s="29">
        <v>44287</v>
      </c>
      <c r="AD5" s="29">
        <v>44317</v>
      </c>
      <c r="AE5" s="29">
        <v>44348</v>
      </c>
      <c r="AF5" s="29">
        <v>44378</v>
      </c>
      <c r="AG5" s="29">
        <v>44409</v>
      </c>
      <c r="AH5" s="29">
        <v>44440</v>
      </c>
      <c r="AI5" s="29">
        <v>44470</v>
      </c>
      <c r="AJ5" s="29">
        <v>44501</v>
      </c>
      <c r="AK5" s="29">
        <v>44531</v>
      </c>
      <c r="AL5" s="30">
        <v>44562</v>
      </c>
      <c r="AM5" s="30">
        <v>44593</v>
      </c>
      <c r="AN5" s="30">
        <v>44621</v>
      </c>
      <c r="AO5" s="30">
        <v>44652</v>
      </c>
      <c r="AP5" s="30">
        <v>44682</v>
      </c>
      <c r="AQ5" s="30">
        <v>44713</v>
      </c>
      <c r="AR5" s="30">
        <v>44743</v>
      </c>
      <c r="AS5" s="30">
        <v>44774</v>
      </c>
      <c r="AT5" s="30">
        <v>44805</v>
      </c>
      <c r="AU5" s="30">
        <v>44835</v>
      </c>
      <c r="AV5" s="30">
        <v>44866</v>
      </c>
      <c r="AW5" s="30">
        <v>44896</v>
      </c>
      <c r="AX5" s="31">
        <v>44927</v>
      </c>
      <c r="AY5" s="31">
        <v>44958</v>
      </c>
      <c r="AZ5" s="31">
        <v>44986</v>
      </c>
      <c r="BA5" s="31">
        <v>45017</v>
      </c>
      <c r="BB5" s="31">
        <v>45047</v>
      </c>
      <c r="BC5" s="31">
        <v>45078</v>
      </c>
      <c r="BD5" s="31">
        <v>45108</v>
      </c>
      <c r="BE5" s="31">
        <v>45139</v>
      </c>
      <c r="BF5" s="31">
        <v>45170</v>
      </c>
      <c r="BG5" s="31">
        <v>45200</v>
      </c>
      <c r="BH5" s="31">
        <v>45231</v>
      </c>
      <c r="BI5" s="31">
        <v>45261</v>
      </c>
      <c r="BJ5" s="48">
        <v>45292</v>
      </c>
      <c r="BK5" s="48">
        <v>45323</v>
      </c>
      <c r="BL5" s="48">
        <v>45352</v>
      </c>
      <c r="BM5" s="48">
        <v>45383</v>
      </c>
      <c r="BN5" s="48">
        <v>45413</v>
      </c>
      <c r="BO5" s="48">
        <v>45444</v>
      </c>
      <c r="BP5" s="48">
        <v>45474</v>
      </c>
      <c r="BQ5" s="48">
        <v>45505</v>
      </c>
      <c r="BR5" s="48">
        <v>45536</v>
      </c>
      <c r="BS5" s="48">
        <v>45566</v>
      </c>
      <c r="BT5" s="48">
        <v>45597</v>
      </c>
      <c r="BU5" s="48">
        <v>45627</v>
      </c>
      <c r="BV5" s="49">
        <v>45658</v>
      </c>
      <c r="BW5" s="49">
        <v>45689</v>
      </c>
      <c r="BX5" s="49">
        <v>45717</v>
      </c>
      <c r="BY5" s="49">
        <v>45748</v>
      </c>
      <c r="BZ5" s="49">
        <v>45778</v>
      </c>
      <c r="CA5" s="49">
        <v>45809</v>
      </c>
      <c r="CB5" s="49">
        <v>45839</v>
      </c>
      <c r="CC5" s="49">
        <v>45870</v>
      </c>
      <c r="CD5" s="49">
        <v>45901</v>
      </c>
      <c r="CE5" s="49">
        <v>45931</v>
      </c>
    </row>
    <row r="6" spans="1:83" s="34" customFormat="1" ht="16.899999999999999" customHeight="1" x14ac:dyDescent="0.25">
      <c r="A6" s="36" t="s">
        <v>469</v>
      </c>
      <c r="B6" s="35"/>
      <c r="C6" s="21"/>
      <c r="D6" s="21"/>
      <c r="E6" s="37">
        <f>AVERAGE(E7:E24)</f>
        <v>4.5555555555555554</v>
      </c>
      <c r="F6" s="37">
        <f t="shared" ref="F6:AT6" si="1">AVERAGE(F7:F24)</f>
        <v>2.6111111111111112</v>
      </c>
      <c r="G6" s="37">
        <f t="shared" si="1"/>
        <v>3.5</v>
      </c>
      <c r="H6" s="37">
        <f t="shared" si="1"/>
        <v>0</v>
      </c>
      <c r="I6" s="37">
        <f t="shared" si="1"/>
        <v>0.94444444444444442</v>
      </c>
      <c r="J6" s="37">
        <f t="shared" si="1"/>
        <v>-6.333333333333333</v>
      </c>
      <c r="K6" s="37">
        <f t="shared" si="1"/>
        <v>-3.5</v>
      </c>
      <c r="L6" s="37">
        <f t="shared" si="1"/>
        <v>-4.2222222222222223</v>
      </c>
      <c r="M6" s="37">
        <f t="shared" si="1"/>
        <v>-4</v>
      </c>
      <c r="N6" s="37">
        <f t="shared" si="1"/>
        <v>0</v>
      </c>
      <c r="O6" s="37">
        <f t="shared" si="1"/>
        <v>5.5</v>
      </c>
      <c r="P6" s="37">
        <f t="shared" si="1"/>
        <v>1.8888888888888888</v>
      </c>
      <c r="Q6" s="37">
        <f t="shared" si="1"/>
        <v>-6.5</v>
      </c>
      <c r="R6" s="37">
        <f t="shared" si="1"/>
        <v>-2.5</v>
      </c>
      <c r="S6" s="37">
        <f t="shared" si="1"/>
        <v>4.5</v>
      </c>
      <c r="T6" s="37">
        <f t="shared" si="1"/>
        <v>4.7222222222222223</v>
      </c>
      <c r="U6" s="37">
        <f t="shared" si="1"/>
        <v>6.333333333333333</v>
      </c>
      <c r="V6" s="37">
        <f t="shared" si="1"/>
        <v>5.2777777777777777</v>
      </c>
      <c r="W6" s="37">
        <f t="shared" si="1"/>
        <v>6.5</v>
      </c>
      <c r="X6" s="37">
        <f t="shared" si="1"/>
        <v>7.3888888888888893</v>
      </c>
      <c r="Y6" s="37">
        <f t="shared" si="1"/>
        <v>7.3888888888888893</v>
      </c>
      <c r="Z6" s="37">
        <f t="shared" si="1"/>
        <v>7.3888888888888893</v>
      </c>
      <c r="AA6" s="37">
        <f t="shared" si="1"/>
        <v>7.3888888888888893</v>
      </c>
      <c r="AB6" s="37">
        <f t="shared" si="1"/>
        <v>8.5</v>
      </c>
      <c r="AC6" s="37">
        <f t="shared" si="1"/>
        <v>9.5</v>
      </c>
      <c r="AD6" s="37">
        <f t="shared" si="1"/>
        <v>7.5</v>
      </c>
      <c r="AE6" s="37">
        <f t="shared" si="1"/>
        <v>8.5</v>
      </c>
      <c r="AF6" s="37">
        <f t="shared" si="1"/>
        <v>8.4444444444444446</v>
      </c>
      <c r="AG6" s="37">
        <f t="shared" si="1"/>
        <v>6.5</v>
      </c>
      <c r="AH6" s="37">
        <f t="shared" si="1"/>
        <v>8.4444444444444446</v>
      </c>
      <c r="AI6" s="37">
        <f t="shared" si="1"/>
        <v>7.3888888888888893</v>
      </c>
      <c r="AJ6" s="37">
        <f t="shared" si="1"/>
        <v>4.8888888888888893</v>
      </c>
      <c r="AK6" s="37">
        <f t="shared" si="1"/>
        <v>6.333333333333333</v>
      </c>
      <c r="AL6" s="37">
        <f t="shared" si="1"/>
        <v>5.7777777777777777</v>
      </c>
      <c r="AM6" s="37">
        <f t="shared" si="1"/>
        <v>7.5</v>
      </c>
      <c r="AN6" s="37">
        <f t="shared" si="1"/>
        <v>6.5</v>
      </c>
      <c r="AO6" s="37">
        <f t="shared" si="1"/>
        <v>8.4444444444444446</v>
      </c>
      <c r="AP6" s="37">
        <f t="shared" si="1"/>
        <v>6.6111111111111107</v>
      </c>
      <c r="AQ6" s="37">
        <f t="shared" si="1"/>
        <v>6.333333333333333</v>
      </c>
      <c r="AR6" s="37">
        <f t="shared" si="1"/>
        <v>2.1111111111111112</v>
      </c>
      <c r="AS6" s="37">
        <f t="shared" si="1"/>
        <v>1.5</v>
      </c>
      <c r="AT6" s="37">
        <f t="shared" si="1"/>
        <v>0.94444444444444442</v>
      </c>
      <c r="AU6" s="37">
        <f>AVERAGE(AU7:AU24)</f>
        <v>-1.0555555555555556</v>
      </c>
      <c r="AV6" s="37">
        <f>AVERAGE(AV7:AV24)</f>
        <v>-3.1666666666666665</v>
      </c>
      <c r="AW6" s="37">
        <f>AVERAGE(AW7:AW24)</f>
        <v>-4.8888888888888893</v>
      </c>
      <c r="AX6" s="37">
        <f t="shared" ref="AX6:BL6" si="2">AVERAGE(AX7:AX24)</f>
        <v>-6.5</v>
      </c>
      <c r="AY6" s="37">
        <f t="shared" si="2"/>
        <v>-5.2777777777777777</v>
      </c>
      <c r="AZ6" s="37">
        <f>AVERAGE(AZ7:AZ24)</f>
        <v>-3.1666666666666665</v>
      </c>
      <c r="BA6" s="37">
        <f>AVERAGE(BA7:BA24)</f>
        <v>-2.8333333333333335</v>
      </c>
      <c r="BB6" s="37">
        <f t="shared" si="2"/>
        <v>-5.2777777777777777</v>
      </c>
      <c r="BC6" s="37">
        <f t="shared" si="2"/>
        <v>-3.1111111111111112</v>
      </c>
      <c r="BD6" s="37">
        <f t="shared" si="2"/>
        <v>-7.3888888888888893</v>
      </c>
      <c r="BE6" s="37">
        <f t="shared" si="2"/>
        <v>-4.2222222222222223</v>
      </c>
      <c r="BF6" s="37">
        <f t="shared" si="2"/>
        <v>-2.8333333333333335</v>
      </c>
      <c r="BG6" s="37">
        <f t="shared" si="2"/>
        <v>-4.8888888888888893</v>
      </c>
      <c r="BH6" s="37">
        <f t="shared" si="2"/>
        <v>-5.5</v>
      </c>
      <c r="BI6" s="37">
        <f t="shared" si="2"/>
        <v>-7.5</v>
      </c>
      <c r="BJ6" s="37">
        <f t="shared" si="2"/>
        <v>-4.5</v>
      </c>
      <c r="BK6" s="37">
        <f t="shared" si="2"/>
        <v>0.44444444444444442</v>
      </c>
      <c r="BL6" s="37">
        <f t="shared" si="2"/>
        <v>1.3333333333333333</v>
      </c>
      <c r="BM6" s="37">
        <f t="shared" ref="BM6:CE6" si="3">AVERAGE(BM7:BM24)</f>
        <v>0.94444444444444442</v>
      </c>
      <c r="BN6" s="37">
        <f t="shared" si="3"/>
        <v>0</v>
      </c>
      <c r="BO6" s="37">
        <f t="shared" si="3"/>
        <v>-0.5</v>
      </c>
      <c r="BP6" s="37">
        <f t="shared" si="3"/>
        <v>-2.8333333333333335</v>
      </c>
      <c r="BQ6" s="37">
        <f t="shared" si="3"/>
        <v>-3.5</v>
      </c>
      <c r="BR6" s="37">
        <f t="shared" si="3"/>
        <v>-4.2222222222222223</v>
      </c>
      <c r="BS6" s="37">
        <f t="shared" si="3"/>
        <v>-2.8333333333333335</v>
      </c>
      <c r="BT6" s="37">
        <f t="shared" si="3"/>
        <v>-3.3333333333333335</v>
      </c>
      <c r="BU6" s="37">
        <f t="shared" si="3"/>
        <v>0</v>
      </c>
      <c r="BV6" s="37">
        <f t="shared" si="3"/>
        <v>0</v>
      </c>
      <c r="BW6" s="37">
        <f t="shared" si="3"/>
        <v>2.2222222222222223</v>
      </c>
      <c r="BX6" s="37">
        <f t="shared" si="3"/>
        <v>0.94444444444444442</v>
      </c>
      <c r="BY6" s="37">
        <f t="shared" si="3"/>
        <v>2.5</v>
      </c>
      <c r="BZ6" s="37">
        <f t="shared" si="3"/>
        <v>0</v>
      </c>
      <c r="CA6" s="37">
        <f t="shared" si="3"/>
        <v>1.3333333333333333</v>
      </c>
      <c r="CB6" s="37">
        <f t="shared" si="3"/>
        <v>-1.5</v>
      </c>
      <c r="CC6" s="37">
        <f t="shared" si="3"/>
        <v>-1.5</v>
      </c>
      <c r="CD6" s="37">
        <f t="shared" si="3"/>
        <v>-2.8333333333333335</v>
      </c>
      <c r="CE6" s="37">
        <f t="shared" si="3"/>
        <v>-3.1666666666666665</v>
      </c>
    </row>
    <row r="7" spans="1:83" s="34" customFormat="1" x14ac:dyDescent="0.25">
      <c r="A7" s="51" t="s">
        <v>470</v>
      </c>
      <c r="B7" s="38" t="s">
        <v>482</v>
      </c>
      <c r="C7" s="21"/>
      <c r="D7" s="33">
        <f>IF(COUNTIF(S7:X7,"&gt;0")=0,(COUNTIF(S7:X7,"&lt;0")*-1),COUNTIF(S7:X7,"&gt;0"))</f>
        <v>5</v>
      </c>
      <c r="E7" s="33">
        <v>-5</v>
      </c>
      <c r="F7" s="33">
        <v>-6</v>
      </c>
      <c r="G7" s="33">
        <v>-5</v>
      </c>
      <c r="H7" s="33">
        <v>-9</v>
      </c>
      <c r="I7" s="33">
        <v>-7</v>
      </c>
      <c r="J7" s="33">
        <v>-15</v>
      </c>
      <c r="K7" s="33">
        <v>-11</v>
      </c>
      <c r="L7" s="33">
        <v>5</v>
      </c>
      <c r="M7" s="33">
        <v>0</v>
      </c>
      <c r="N7" s="33">
        <v>-7</v>
      </c>
      <c r="O7" s="33">
        <v>0</v>
      </c>
      <c r="P7" s="33">
        <v>8</v>
      </c>
      <c r="Q7" s="33">
        <v>0</v>
      </c>
      <c r="R7" s="33">
        <v>4</v>
      </c>
      <c r="S7" s="33">
        <v>9</v>
      </c>
      <c r="T7" s="33">
        <v>6</v>
      </c>
      <c r="U7" s="33">
        <v>6</v>
      </c>
      <c r="V7" s="33">
        <v>-4</v>
      </c>
      <c r="W7" s="33">
        <v>15</v>
      </c>
      <c r="X7" s="33">
        <v>16</v>
      </c>
      <c r="Y7" s="33">
        <v>16</v>
      </c>
      <c r="Z7" s="33">
        <v>9</v>
      </c>
      <c r="AA7" s="33">
        <v>5</v>
      </c>
      <c r="AB7" s="33">
        <v>13</v>
      </c>
      <c r="AC7" s="33">
        <v>6</v>
      </c>
      <c r="AD7" s="33">
        <v>0</v>
      </c>
      <c r="AE7" s="33">
        <v>0</v>
      </c>
      <c r="AF7" s="33">
        <v>15</v>
      </c>
      <c r="AG7" s="33">
        <v>0</v>
      </c>
      <c r="AH7" s="33">
        <v>11</v>
      </c>
      <c r="AI7" s="33">
        <v>16</v>
      </c>
      <c r="AJ7" s="33">
        <v>13</v>
      </c>
      <c r="AK7" s="33">
        <v>15</v>
      </c>
      <c r="AL7" s="33">
        <v>14</v>
      </c>
      <c r="AM7" s="33">
        <v>16</v>
      </c>
      <c r="AN7" s="33">
        <v>15</v>
      </c>
      <c r="AO7" s="33">
        <v>17</v>
      </c>
      <c r="AP7" s="33">
        <v>15</v>
      </c>
      <c r="AQ7" s="33">
        <v>15</v>
      </c>
      <c r="AR7" s="33">
        <v>11</v>
      </c>
      <c r="AS7" s="33">
        <v>-6</v>
      </c>
      <c r="AT7" s="33">
        <v>5</v>
      </c>
      <c r="AU7" s="33">
        <v>8</v>
      </c>
      <c r="AV7" s="33">
        <v>6</v>
      </c>
      <c r="AW7" s="33">
        <v>-6</v>
      </c>
      <c r="AX7" s="33">
        <v>-11</v>
      </c>
      <c r="AY7" s="33">
        <v>4</v>
      </c>
      <c r="AZ7" s="33">
        <v>-5</v>
      </c>
      <c r="BA7" s="33">
        <v>4</v>
      </c>
      <c r="BB7" s="33">
        <v>-12</v>
      </c>
      <c r="BC7" s="33">
        <v>0</v>
      </c>
      <c r="BD7" s="33">
        <v>-16</v>
      </c>
      <c r="BE7" s="33">
        <v>-13</v>
      </c>
      <c r="BF7" s="33">
        <v>0</v>
      </c>
      <c r="BG7" s="33">
        <v>0</v>
      </c>
      <c r="BH7" s="33">
        <v>-10</v>
      </c>
      <c r="BI7" s="33">
        <v>-15</v>
      </c>
      <c r="BJ7" s="33">
        <v>4</v>
      </c>
      <c r="BK7" s="33">
        <v>8</v>
      </c>
      <c r="BL7" s="33">
        <v>0</v>
      </c>
      <c r="BM7" s="33">
        <v>0</v>
      </c>
      <c r="BN7" s="33">
        <v>0</v>
      </c>
      <c r="BO7" s="33">
        <v>0</v>
      </c>
      <c r="BP7" s="33">
        <v>0</v>
      </c>
      <c r="BQ7" s="33">
        <v>0</v>
      </c>
      <c r="BR7" s="33">
        <v>-10</v>
      </c>
      <c r="BS7" s="33">
        <v>5</v>
      </c>
      <c r="BT7" s="33">
        <v>0</v>
      </c>
      <c r="BU7" s="33">
        <v>0</v>
      </c>
      <c r="BV7" s="33">
        <v>0</v>
      </c>
      <c r="BW7" s="33">
        <v>0</v>
      </c>
      <c r="BX7" s="33">
        <v>0</v>
      </c>
      <c r="BY7" s="33">
        <v>11</v>
      </c>
      <c r="BZ7" s="33">
        <v>0</v>
      </c>
      <c r="CA7" s="33">
        <v>9</v>
      </c>
      <c r="CB7" s="33">
        <v>7</v>
      </c>
      <c r="CC7" s="33">
        <v>6</v>
      </c>
      <c r="CD7" s="33">
        <v>-10</v>
      </c>
      <c r="CE7" s="33">
        <v>-11</v>
      </c>
    </row>
    <row r="8" spans="1:83" s="34" customFormat="1" x14ac:dyDescent="0.25">
      <c r="A8" s="51"/>
      <c r="B8" s="32" t="s">
        <v>136</v>
      </c>
      <c r="D8" s="33">
        <f t="shared" ref="D8:D24" si="4">IF(COUNTIF(S8:X8,"&gt;0")=0,(COUNTIF(S8:X8,"&lt;0")*-1),COUNTIF(S8:X8,"&gt;0"))</f>
        <v>6</v>
      </c>
      <c r="E8" s="33">
        <v>9</v>
      </c>
      <c r="F8" s="33">
        <v>4</v>
      </c>
      <c r="G8" s="33">
        <v>6</v>
      </c>
      <c r="H8" s="33">
        <v>1</v>
      </c>
      <c r="I8" s="33">
        <v>1</v>
      </c>
      <c r="J8" s="33">
        <v>1</v>
      </c>
      <c r="K8" s="33">
        <v>-6</v>
      </c>
      <c r="L8" s="33">
        <v>-2</v>
      </c>
      <c r="M8" s="33">
        <v>-2</v>
      </c>
      <c r="N8" s="33">
        <v>2</v>
      </c>
      <c r="O8" s="33">
        <v>1</v>
      </c>
      <c r="P8" s="33">
        <v>5</v>
      </c>
      <c r="Q8" s="33">
        <v>-1</v>
      </c>
      <c r="R8" s="33">
        <v>-3</v>
      </c>
      <c r="S8" s="33">
        <v>5</v>
      </c>
      <c r="T8" s="33">
        <v>7</v>
      </c>
      <c r="U8" s="33">
        <v>11</v>
      </c>
      <c r="V8" s="33">
        <v>7</v>
      </c>
      <c r="W8" s="33">
        <v>6</v>
      </c>
      <c r="X8" s="33">
        <v>8</v>
      </c>
      <c r="Y8" s="33">
        <v>7</v>
      </c>
      <c r="Z8" s="33">
        <v>13</v>
      </c>
      <c r="AA8" s="33">
        <v>12</v>
      </c>
      <c r="AB8" s="33">
        <v>5</v>
      </c>
      <c r="AC8" s="33">
        <v>11</v>
      </c>
      <c r="AD8" s="33">
        <v>6</v>
      </c>
      <c r="AE8" s="33">
        <v>12</v>
      </c>
      <c r="AF8" s="33">
        <v>8</v>
      </c>
      <c r="AG8" s="33">
        <v>8</v>
      </c>
      <c r="AH8" s="33">
        <v>12</v>
      </c>
      <c r="AI8" s="33">
        <v>8</v>
      </c>
      <c r="AJ8" s="33">
        <v>4</v>
      </c>
      <c r="AK8" s="33">
        <v>8</v>
      </c>
      <c r="AL8" s="33">
        <v>3</v>
      </c>
      <c r="AM8" s="33">
        <v>2</v>
      </c>
      <c r="AN8" s="33">
        <v>5</v>
      </c>
      <c r="AO8" s="33">
        <v>5</v>
      </c>
      <c r="AP8" s="33">
        <v>4</v>
      </c>
      <c r="AQ8" s="33">
        <v>1</v>
      </c>
      <c r="AR8" s="33">
        <v>-1</v>
      </c>
      <c r="AS8" s="33">
        <v>-3</v>
      </c>
      <c r="AT8" s="33">
        <v>-2</v>
      </c>
      <c r="AU8" s="33">
        <v>-4</v>
      </c>
      <c r="AV8" s="33">
        <v>-6</v>
      </c>
      <c r="AW8" s="33">
        <v>-11</v>
      </c>
      <c r="AX8" s="33">
        <v>-5</v>
      </c>
      <c r="AY8" s="33">
        <v>-6</v>
      </c>
      <c r="AZ8" s="33">
        <v>-4</v>
      </c>
      <c r="BA8" s="33">
        <v>-6</v>
      </c>
      <c r="BB8" s="33">
        <v>-7</v>
      </c>
      <c r="BC8" s="33">
        <v>-8</v>
      </c>
      <c r="BD8" s="33">
        <v>-10</v>
      </c>
      <c r="BE8" s="33">
        <v>-6</v>
      </c>
      <c r="BF8" s="33">
        <v>-2</v>
      </c>
      <c r="BG8" s="33">
        <v>-2</v>
      </c>
      <c r="BH8" s="33">
        <v>-4</v>
      </c>
      <c r="BI8" s="33">
        <v>-1</v>
      </c>
      <c r="BJ8" s="33">
        <v>1</v>
      </c>
      <c r="BK8" s="33">
        <v>3</v>
      </c>
      <c r="BL8" s="33">
        <v>2</v>
      </c>
      <c r="BM8" s="33">
        <v>2</v>
      </c>
      <c r="BN8" s="33">
        <v>1</v>
      </c>
      <c r="BO8" s="33">
        <v>3</v>
      </c>
      <c r="BP8" s="33">
        <v>-2</v>
      </c>
      <c r="BQ8" s="33">
        <v>-2</v>
      </c>
      <c r="BR8" s="33">
        <v>-3</v>
      </c>
      <c r="BS8" s="33">
        <v>-8</v>
      </c>
      <c r="BT8" s="33">
        <v>-9</v>
      </c>
      <c r="BU8" s="33">
        <v>-3</v>
      </c>
      <c r="BV8" s="33">
        <v>5</v>
      </c>
      <c r="BW8" s="33">
        <v>4</v>
      </c>
      <c r="BX8" s="33">
        <v>-3</v>
      </c>
      <c r="BY8" s="33">
        <v>2</v>
      </c>
      <c r="BZ8" s="33">
        <v>-2</v>
      </c>
      <c r="CA8" s="33">
        <v>-3</v>
      </c>
      <c r="CB8" s="33">
        <v>-8</v>
      </c>
      <c r="CC8" s="33">
        <v>-2</v>
      </c>
      <c r="CD8" s="33">
        <v>-6</v>
      </c>
      <c r="CE8" s="33">
        <v>-4</v>
      </c>
    </row>
    <row r="9" spans="1:83" s="34" customFormat="1" x14ac:dyDescent="0.25">
      <c r="A9" s="51"/>
      <c r="B9" s="32" t="s">
        <v>134</v>
      </c>
      <c r="D9" s="33">
        <f t="shared" si="4"/>
        <v>6</v>
      </c>
      <c r="E9" s="33">
        <v>3</v>
      </c>
      <c r="F9" s="33">
        <v>5</v>
      </c>
      <c r="G9" s="33">
        <v>5</v>
      </c>
      <c r="H9" s="33">
        <v>4</v>
      </c>
      <c r="I9" s="33">
        <v>0</v>
      </c>
      <c r="J9" s="33">
        <v>-1</v>
      </c>
      <c r="K9" s="33">
        <v>1</v>
      </c>
      <c r="L9" s="33">
        <v>1</v>
      </c>
      <c r="M9" s="33">
        <v>-3</v>
      </c>
      <c r="N9" s="33">
        <v>5</v>
      </c>
      <c r="O9" s="33">
        <v>6</v>
      </c>
      <c r="P9" s="33">
        <v>4</v>
      </c>
      <c r="Q9" s="33">
        <v>-3</v>
      </c>
      <c r="R9" s="33">
        <v>-2</v>
      </c>
      <c r="S9" s="33">
        <v>7</v>
      </c>
      <c r="T9" s="33">
        <v>5</v>
      </c>
      <c r="U9" s="33">
        <v>10</v>
      </c>
      <c r="V9" s="33">
        <v>2</v>
      </c>
      <c r="W9" s="33">
        <v>4</v>
      </c>
      <c r="X9" s="33">
        <v>6</v>
      </c>
      <c r="Y9" s="33">
        <v>11</v>
      </c>
      <c r="Z9" s="33">
        <v>1</v>
      </c>
      <c r="AA9" s="33">
        <v>6</v>
      </c>
      <c r="AB9" s="33">
        <v>14</v>
      </c>
      <c r="AC9" s="33">
        <v>8</v>
      </c>
      <c r="AD9" s="33">
        <v>11</v>
      </c>
      <c r="AE9" s="33">
        <v>14</v>
      </c>
      <c r="AF9" s="33">
        <v>13</v>
      </c>
      <c r="AG9" s="33">
        <v>14</v>
      </c>
      <c r="AH9" s="33">
        <v>13</v>
      </c>
      <c r="AI9" s="33">
        <v>9</v>
      </c>
      <c r="AJ9" s="33">
        <v>10</v>
      </c>
      <c r="AK9" s="33">
        <v>5</v>
      </c>
      <c r="AL9" s="33">
        <v>4</v>
      </c>
      <c r="AM9" s="33">
        <v>8</v>
      </c>
      <c r="AN9" s="33">
        <v>4</v>
      </c>
      <c r="AO9" s="33">
        <v>13</v>
      </c>
      <c r="AP9" s="33">
        <v>11</v>
      </c>
      <c r="AQ9" s="33">
        <v>12</v>
      </c>
      <c r="AR9" s="33">
        <v>7</v>
      </c>
      <c r="AS9" s="33">
        <v>7</v>
      </c>
      <c r="AT9" s="33">
        <v>2</v>
      </c>
      <c r="AU9" s="33">
        <v>-2</v>
      </c>
      <c r="AV9" s="33">
        <v>-4</v>
      </c>
      <c r="AW9" s="33">
        <v>-5</v>
      </c>
      <c r="AX9" s="33">
        <v>-1</v>
      </c>
      <c r="AY9" s="33">
        <v>-4</v>
      </c>
      <c r="AZ9" s="33">
        <v>-3</v>
      </c>
      <c r="BA9" s="33">
        <v>-3</v>
      </c>
      <c r="BB9" s="33">
        <v>-5</v>
      </c>
      <c r="BC9" s="33">
        <v>-5</v>
      </c>
      <c r="BD9" s="33">
        <v>-11</v>
      </c>
      <c r="BE9" s="33">
        <v>-5</v>
      </c>
      <c r="BF9" s="33">
        <v>-5</v>
      </c>
      <c r="BG9" s="33">
        <v>-7</v>
      </c>
      <c r="BH9" s="33">
        <v>-11</v>
      </c>
      <c r="BI9" s="33">
        <v>-6</v>
      </c>
      <c r="BJ9" s="33">
        <v>-8</v>
      </c>
      <c r="BK9" s="33">
        <v>-4</v>
      </c>
      <c r="BL9" s="33">
        <v>-2</v>
      </c>
      <c r="BM9" s="33">
        <v>0</v>
      </c>
      <c r="BN9" s="33">
        <v>-4</v>
      </c>
      <c r="BO9" s="33">
        <v>-1</v>
      </c>
      <c r="BP9" s="33">
        <v>-1</v>
      </c>
      <c r="BQ9" s="33">
        <v>1</v>
      </c>
      <c r="BR9" s="33">
        <v>-1</v>
      </c>
      <c r="BS9" s="33">
        <v>2</v>
      </c>
      <c r="BT9" s="33">
        <v>2</v>
      </c>
      <c r="BU9" s="33">
        <v>0</v>
      </c>
      <c r="BV9" s="33">
        <v>-3</v>
      </c>
      <c r="BW9" s="33">
        <v>-2</v>
      </c>
      <c r="BX9" s="33">
        <v>5</v>
      </c>
      <c r="BY9" s="33">
        <v>6</v>
      </c>
      <c r="BZ9" s="33">
        <v>0</v>
      </c>
      <c r="CA9" s="33">
        <v>4</v>
      </c>
      <c r="CB9" s="33">
        <v>-4</v>
      </c>
      <c r="CC9" s="33">
        <v>-3</v>
      </c>
      <c r="CD9" s="33">
        <v>-1</v>
      </c>
      <c r="CE9" s="33">
        <v>-1</v>
      </c>
    </row>
    <row r="10" spans="1:83" s="34" customFormat="1" x14ac:dyDescent="0.25">
      <c r="A10" s="51"/>
      <c r="B10" s="38" t="s">
        <v>152</v>
      </c>
      <c r="D10" s="33">
        <f t="shared" si="4"/>
        <v>6</v>
      </c>
      <c r="E10" s="33">
        <v>12</v>
      </c>
      <c r="F10" s="33">
        <v>6</v>
      </c>
      <c r="G10" s="33">
        <v>2</v>
      </c>
      <c r="H10" s="33">
        <v>-2</v>
      </c>
      <c r="I10" s="33">
        <v>-1</v>
      </c>
      <c r="J10" s="33">
        <v>-12</v>
      </c>
      <c r="K10" s="33">
        <v>-4</v>
      </c>
      <c r="L10" s="33">
        <v>-1</v>
      </c>
      <c r="M10" s="33">
        <v>-6</v>
      </c>
      <c r="N10" s="33">
        <v>-6</v>
      </c>
      <c r="O10" s="33">
        <v>4</v>
      </c>
      <c r="P10" s="33">
        <v>0</v>
      </c>
      <c r="Q10" s="33">
        <v>-7</v>
      </c>
      <c r="R10" s="33">
        <v>-4</v>
      </c>
      <c r="S10" s="33">
        <v>1</v>
      </c>
      <c r="T10" s="33">
        <v>1</v>
      </c>
      <c r="U10" s="33">
        <v>3</v>
      </c>
      <c r="V10" s="33">
        <v>10</v>
      </c>
      <c r="W10" s="33">
        <v>2</v>
      </c>
      <c r="X10" s="33">
        <v>12</v>
      </c>
      <c r="Y10" s="33">
        <v>3</v>
      </c>
      <c r="Z10" s="33">
        <v>16</v>
      </c>
      <c r="AA10" s="33">
        <v>15</v>
      </c>
      <c r="AB10" s="33">
        <v>16</v>
      </c>
      <c r="AC10" s="33">
        <v>18</v>
      </c>
      <c r="AD10" s="33">
        <v>10</v>
      </c>
      <c r="AE10" s="33">
        <v>15</v>
      </c>
      <c r="AF10" s="33">
        <v>3</v>
      </c>
      <c r="AG10" s="33">
        <v>11</v>
      </c>
      <c r="AH10" s="33">
        <v>14</v>
      </c>
      <c r="AI10" s="33">
        <v>13</v>
      </c>
      <c r="AJ10" s="33">
        <v>11</v>
      </c>
      <c r="AK10" s="33">
        <v>7</v>
      </c>
      <c r="AL10" s="33">
        <v>9</v>
      </c>
      <c r="AM10" s="33">
        <v>9</v>
      </c>
      <c r="AN10" s="33">
        <v>12</v>
      </c>
      <c r="AO10" s="33">
        <v>9</v>
      </c>
      <c r="AP10" s="33">
        <v>1</v>
      </c>
      <c r="AQ10" s="33">
        <v>10</v>
      </c>
      <c r="AR10" s="33">
        <v>1</v>
      </c>
      <c r="AS10" s="33">
        <v>-1</v>
      </c>
      <c r="AT10" s="33">
        <v>1</v>
      </c>
      <c r="AU10" s="33">
        <v>1</v>
      </c>
      <c r="AV10" s="33">
        <v>-1</v>
      </c>
      <c r="AW10" s="33">
        <v>-8</v>
      </c>
      <c r="AX10" s="33">
        <v>-9</v>
      </c>
      <c r="AY10" s="33">
        <v>1</v>
      </c>
      <c r="AZ10" s="33">
        <v>-2</v>
      </c>
      <c r="BA10" s="33">
        <v>-8</v>
      </c>
      <c r="BB10" s="33">
        <v>-4</v>
      </c>
      <c r="BC10" s="33">
        <v>-6</v>
      </c>
      <c r="BD10" s="33">
        <v>-7</v>
      </c>
      <c r="BE10" s="33">
        <v>-7</v>
      </c>
      <c r="BF10" s="33">
        <v>-3</v>
      </c>
      <c r="BG10" s="33">
        <v>-11</v>
      </c>
      <c r="BH10" s="33">
        <v>-12</v>
      </c>
      <c r="BI10" s="33">
        <v>-3</v>
      </c>
      <c r="BJ10" s="33">
        <v>-4</v>
      </c>
      <c r="BK10" s="33">
        <v>-1</v>
      </c>
      <c r="BL10" s="33">
        <v>-4</v>
      </c>
      <c r="BM10" s="33">
        <v>5</v>
      </c>
      <c r="BN10" s="33">
        <v>0</v>
      </c>
      <c r="BO10" s="33">
        <v>-2</v>
      </c>
      <c r="BP10" s="33">
        <v>-8</v>
      </c>
      <c r="BQ10" s="33">
        <v>-8</v>
      </c>
      <c r="BR10" s="33">
        <v>-6</v>
      </c>
      <c r="BS10" s="33">
        <v>-7</v>
      </c>
      <c r="BT10" s="33">
        <v>1</v>
      </c>
      <c r="BU10" s="33">
        <v>6</v>
      </c>
      <c r="BV10" s="33">
        <v>1</v>
      </c>
      <c r="BW10" s="33">
        <v>5</v>
      </c>
      <c r="BX10" s="33">
        <v>2</v>
      </c>
      <c r="BY10" s="33">
        <v>8</v>
      </c>
      <c r="BZ10" s="33">
        <v>3</v>
      </c>
      <c r="CA10" s="33">
        <v>1</v>
      </c>
      <c r="CB10" s="33">
        <v>-2</v>
      </c>
      <c r="CC10" s="33">
        <v>-4</v>
      </c>
      <c r="CD10" s="33">
        <v>-5</v>
      </c>
      <c r="CE10" s="33">
        <v>-5</v>
      </c>
    </row>
    <row r="11" spans="1:83" s="34" customFormat="1" x14ac:dyDescent="0.25">
      <c r="A11" s="51"/>
      <c r="B11" s="32" t="s">
        <v>144</v>
      </c>
      <c r="D11" s="33">
        <f t="shared" si="4"/>
        <v>4</v>
      </c>
      <c r="E11" s="33">
        <v>1</v>
      </c>
      <c r="F11" s="33">
        <v>-1</v>
      </c>
      <c r="G11" s="33">
        <v>-1</v>
      </c>
      <c r="H11" s="33">
        <v>-8</v>
      </c>
      <c r="I11" s="33">
        <v>-6</v>
      </c>
      <c r="J11" s="33">
        <v>-9</v>
      </c>
      <c r="K11" s="33">
        <v>-3</v>
      </c>
      <c r="L11" s="33">
        <v>-9</v>
      </c>
      <c r="M11" s="33">
        <v>-7</v>
      </c>
      <c r="N11" s="33">
        <v>1</v>
      </c>
      <c r="O11" s="33">
        <v>3</v>
      </c>
      <c r="P11" s="33">
        <v>-2</v>
      </c>
      <c r="Q11" s="33">
        <v>-11</v>
      </c>
      <c r="R11" s="33">
        <v>-7</v>
      </c>
      <c r="S11" s="33">
        <v>-2</v>
      </c>
      <c r="T11" s="33">
        <v>-1</v>
      </c>
      <c r="U11" s="33">
        <v>8</v>
      </c>
      <c r="V11" s="33">
        <v>8</v>
      </c>
      <c r="W11" s="33">
        <v>14</v>
      </c>
      <c r="X11" s="33">
        <v>11</v>
      </c>
      <c r="Y11" s="33">
        <v>13</v>
      </c>
      <c r="Z11" s="33">
        <v>12</v>
      </c>
      <c r="AA11" s="33">
        <v>10</v>
      </c>
      <c r="AB11" s="33">
        <v>11</v>
      </c>
      <c r="AC11" s="33">
        <v>14</v>
      </c>
      <c r="AD11" s="33">
        <v>9</v>
      </c>
      <c r="AE11" s="33">
        <v>11</v>
      </c>
      <c r="AF11" s="33">
        <v>10</v>
      </c>
      <c r="AG11" s="33">
        <v>10</v>
      </c>
      <c r="AH11" s="33">
        <v>5</v>
      </c>
      <c r="AI11" s="33">
        <v>7</v>
      </c>
      <c r="AJ11" s="33">
        <v>2</v>
      </c>
      <c r="AK11" s="33">
        <v>6</v>
      </c>
      <c r="AL11" s="33">
        <v>5</v>
      </c>
      <c r="AM11" s="33">
        <v>5</v>
      </c>
      <c r="AN11" s="33">
        <v>7</v>
      </c>
      <c r="AO11" s="33">
        <v>3</v>
      </c>
      <c r="AP11" s="33">
        <v>5</v>
      </c>
      <c r="AQ11" s="33">
        <v>5</v>
      </c>
      <c r="AR11" s="33">
        <v>-3</v>
      </c>
      <c r="AS11" s="33">
        <v>-2</v>
      </c>
      <c r="AT11" s="33">
        <v>-1</v>
      </c>
      <c r="AU11" s="33">
        <v>-5</v>
      </c>
      <c r="AV11" s="33">
        <v>-8</v>
      </c>
      <c r="AW11" s="33">
        <v>-12</v>
      </c>
      <c r="AX11" s="33">
        <v>-6</v>
      </c>
      <c r="AY11" s="33">
        <v>-3</v>
      </c>
      <c r="AZ11" s="33">
        <v>4</v>
      </c>
      <c r="BA11" s="33">
        <v>2</v>
      </c>
      <c r="BB11" s="33">
        <v>1</v>
      </c>
      <c r="BC11" s="33">
        <v>-3</v>
      </c>
      <c r="BD11" s="33">
        <v>-4</v>
      </c>
      <c r="BE11" s="33">
        <v>-9</v>
      </c>
      <c r="BF11" s="33">
        <v>-7</v>
      </c>
      <c r="BG11" s="33">
        <v>-9</v>
      </c>
      <c r="BH11" s="33">
        <v>-3</v>
      </c>
      <c r="BI11" s="33">
        <v>-7</v>
      </c>
      <c r="BJ11" s="33">
        <v>-7</v>
      </c>
      <c r="BK11" s="33">
        <v>4</v>
      </c>
      <c r="BL11" s="33">
        <v>3</v>
      </c>
      <c r="BM11" s="33">
        <v>-2</v>
      </c>
      <c r="BN11" s="33">
        <v>2</v>
      </c>
      <c r="BO11" s="33">
        <v>-7</v>
      </c>
      <c r="BP11" s="33">
        <v>-6</v>
      </c>
      <c r="BQ11" s="33">
        <v>-7</v>
      </c>
      <c r="BR11" s="33">
        <v>-2</v>
      </c>
      <c r="BS11" s="33">
        <v>-2</v>
      </c>
      <c r="BT11" s="33">
        <v>-6</v>
      </c>
      <c r="BU11" s="33">
        <v>-6</v>
      </c>
      <c r="BV11" s="33">
        <v>-5</v>
      </c>
      <c r="BW11" s="33">
        <v>2</v>
      </c>
      <c r="BX11" s="33">
        <v>7</v>
      </c>
      <c r="BY11" s="33">
        <v>-1</v>
      </c>
      <c r="BZ11" s="33">
        <v>2</v>
      </c>
      <c r="CA11" s="33">
        <v>-1</v>
      </c>
      <c r="CB11" s="33">
        <v>-5</v>
      </c>
      <c r="CC11" s="33">
        <v>-1</v>
      </c>
      <c r="CD11" s="33">
        <v>2</v>
      </c>
      <c r="CE11" s="33">
        <v>2</v>
      </c>
    </row>
    <row r="12" spans="1:83" s="34" customFormat="1" x14ac:dyDescent="0.25">
      <c r="A12" s="51"/>
      <c r="B12" s="32" t="s">
        <v>140</v>
      </c>
      <c r="D12" s="33">
        <f t="shared" si="4"/>
        <v>6</v>
      </c>
      <c r="E12" s="33">
        <v>4</v>
      </c>
      <c r="F12" s="33">
        <v>3</v>
      </c>
      <c r="G12" s="33">
        <v>8</v>
      </c>
      <c r="H12" s="33">
        <v>6</v>
      </c>
      <c r="I12" s="33">
        <v>7</v>
      </c>
      <c r="J12" s="33">
        <v>2</v>
      </c>
      <c r="K12" s="33">
        <v>3</v>
      </c>
      <c r="L12" s="33">
        <v>4</v>
      </c>
      <c r="M12" s="33">
        <v>2</v>
      </c>
      <c r="N12" s="33">
        <v>6</v>
      </c>
      <c r="O12" s="33">
        <v>7</v>
      </c>
      <c r="P12" s="33">
        <v>9</v>
      </c>
      <c r="Q12" s="33">
        <v>1</v>
      </c>
      <c r="R12" s="33">
        <v>3</v>
      </c>
      <c r="S12" s="33">
        <v>8</v>
      </c>
      <c r="T12" s="33">
        <v>9</v>
      </c>
      <c r="U12" s="33">
        <v>13</v>
      </c>
      <c r="V12" s="33">
        <v>12</v>
      </c>
      <c r="W12" s="33">
        <v>12</v>
      </c>
      <c r="X12" s="33">
        <v>1</v>
      </c>
      <c r="Y12" s="33">
        <v>2</v>
      </c>
      <c r="Z12" s="33">
        <v>6</v>
      </c>
      <c r="AA12" s="33">
        <v>4</v>
      </c>
      <c r="AB12" s="33">
        <v>10</v>
      </c>
      <c r="AC12" s="33">
        <v>9</v>
      </c>
      <c r="AD12" s="33">
        <v>8</v>
      </c>
      <c r="AE12" s="33">
        <v>5</v>
      </c>
      <c r="AF12" s="33">
        <v>7</v>
      </c>
      <c r="AG12" s="33">
        <v>6</v>
      </c>
      <c r="AH12" s="33">
        <v>6</v>
      </c>
      <c r="AI12" s="33">
        <v>10</v>
      </c>
      <c r="AJ12" s="33">
        <v>6</v>
      </c>
      <c r="AK12" s="33">
        <v>4</v>
      </c>
      <c r="AL12" s="33">
        <v>8</v>
      </c>
      <c r="AM12" s="33">
        <v>4</v>
      </c>
      <c r="AN12" s="33">
        <v>13</v>
      </c>
      <c r="AO12" s="33">
        <v>12</v>
      </c>
      <c r="AP12" s="33">
        <v>10</v>
      </c>
      <c r="AQ12" s="33">
        <v>2</v>
      </c>
      <c r="AR12" s="33">
        <v>-2</v>
      </c>
      <c r="AS12" s="33">
        <v>1</v>
      </c>
      <c r="AT12" s="33">
        <v>3</v>
      </c>
      <c r="AU12" s="33">
        <v>-1</v>
      </c>
      <c r="AV12" s="33">
        <v>-3</v>
      </c>
      <c r="AW12" s="33">
        <v>-3</v>
      </c>
      <c r="AX12" s="33">
        <v>-3</v>
      </c>
      <c r="AY12" s="33">
        <v>-7</v>
      </c>
      <c r="AZ12" s="33">
        <v>-6</v>
      </c>
      <c r="BA12" s="33">
        <v>-2</v>
      </c>
      <c r="BB12" s="33">
        <v>-6</v>
      </c>
      <c r="BC12" s="33">
        <v>-2</v>
      </c>
      <c r="BD12" s="33">
        <v>-8</v>
      </c>
      <c r="BE12" s="33">
        <v>3</v>
      </c>
      <c r="BF12" s="33">
        <v>4</v>
      </c>
      <c r="BG12" s="33">
        <v>2</v>
      </c>
      <c r="BH12" s="33">
        <v>3</v>
      </c>
      <c r="BI12" s="33">
        <v>0</v>
      </c>
      <c r="BJ12" s="33">
        <v>-5</v>
      </c>
      <c r="BK12" s="33">
        <v>-3</v>
      </c>
      <c r="BL12" s="33">
        <v>4</v>
      </c>
      <c r="BM12" s="33">
        <v>-3</v>
      </c>
      <c r="BN12" s="33">
        <v>-1</v>
      </c>
      <c r="BO12" s="33">
        <v>-3</v>
      </c>
      <c r="BP12" s="33">
        <v>-5</v>
      </c>
      <c r="BQ12" s="33">
        <v>2</v>
      </c>
      <c r="BR12" s="33">
        <v>4</v>
      </c>
      <c r="BS12" s="33">
        <v>4</v>
      </c>
      <c r="BT12" s="33">
        <v>3</v>
      </c>
      <c r="BU12" s="33">
        <v>0</v>
      </c>
      <c r="BV12" s="33">
        <v>-1</v>
      </c>
      <c r="BW12" s="33">
        <v>6</v>
      </c>
      <c r="BX12" s="33">
        <v>-2</v>
      </c>
      <c r="BY12" s="33">
        <v>-3</v>
      </c>
      <c r="BZ12" s="33">
        <v>-4</v>
      </c>
      <c r="CA12" s="33">
        <v>2</v>
      </c>
      <c r="CB12" s="33">
        <v>-1</v>
      </c>
      <c r="CC12" s="33">
        <v>4</v>
      </c>
      <c r="CD12" s="33">
        <v>0</v>
      </c>
      <c r="CE12" s="33">
        <v>5</v>
      </c>
    </row>
    <row r="13" spans="1:83" s="34" customFormat="1" x14ac:dyDescent="0.25">
      <c r="A13" s="51"/>
      <c r="B13" s="32" t="s">
        <v>146</v>
      </c>
      <c r="D13" s="33">
        <f t="shared" si="4"/>
        <v>5</v>
      </c>
      <c r="E13" s="33">
        <v>5</v>
      </c>
      <c r="F13" s="33">
        <v>10</v>
      </c>
      <c r="G13" s="33">
        <v>12</v>
      </c>
      <c r="H13" s="33">
        <v>7</v>
      </c>
      <c r="I13" s="33">
        <v>8</v>
      </c>
      <c r="J13" s="33">
        <v>-2</v>
      </c>
      <c r="K13" s="33">
        <v>5</v>
      </c>
      <c r="L13" s="33">
        <v>-11</v>
      </c>
      <c r="M13" s="33">
        <v>-11</v>
      </c>
      <c r="N13" s="33">
        <v>8</v>
      </c>
      <c r="O13" s="33">
        <v>13</v>
      </c>
      <c r="P13" s="33">
        <v>-3</v>
      </c>
      <c r="Q13" s="33">
        <v>-14</v>
      </c>
      <c r="R13" s="33">
        <v>5</v>
      </c>
      <c r="S13" s="33">
        <v>11</v>
      </c>
      <c r="T13" s="33">
        <v>12</v>
      </c>
      <c r="U13" s="33">
        <v>-1</v>
      </c>
      <c r="V13" s="33">
        <v>11</v>
      </c>
      <c r="W13" s="33">
        <v>9</v>
      </c>
      <c r="X13" s="33">
        <v>2</v>
      </c>
      <c r="Y13" s="33">
        <v>15</v>
      </c>
      <c r="Z13" s="33">
        <v>4</v>
      </c>
      <c r="AA13" s="33">
        <v>2</v>
      </c>
      <c r="AB13" s="33">
        <v>12</v>
      </c>
      <c r="AC13" s="33">
        <v>16</v>
      </c>
      <c r="AD13" s="33">
        <v>16</v>
      </c>
      <c r="AE13" s="33">
        <v>17</v>
      </c>
      <c r="AF13" s="33">
        <v>17</v>
      </c>
      <c r="AG13" s="33">
        <v>15</v>
      </c>
      <c r="AH13" s="33">
        <v>17</v>
      </c>
      <c r="AI13" s="33">
        <v>15</v>
      </c>
      <c r="AJ13" s="33">
        <v>12</v>
      </c>
      <c r="AK13" s="33">
        <v>14</v>
      </c>
      <c r="AL13" s="33">
        <v>13</v>
      </c>
      <c r="AM13" s="33">
        <v>7</v>
      </c>
      <c r="AN13" s="33">
        <v>14</v>
      </c>
      <c r="AO13" s="33">
        <v>6</v>
      </c>
      <c r="AP13" s="33">
        <v>-1</v>
      </c>
      <c r="AQ13" s="33">
        <v>-1</v>
      </c>
      <c r="AR13" s="33">
        <v>-6</v>
      </c>
      <c r="AS13" s="33">
        <v>-5</v>
      </c>
      <c r="AT13" s="33">
        <v>-7</v>
      </c>
      <c r="AU13" s="33">
        <v>-10</v>
      </c>
      <c r="AV13" s="33">
        <v>-7</v>
      </c>
      <c r="AW13" s="33">
        <v>-7</v>
      </c>
      <c r="AX13" s="33">
        <v>-12</v>
      </c>
      <c r="AY13" s="33">
        <v>-10</v>
      </c>
      <c r="AZ13" s="33">
        <v>-12</v>
      </c>
      <c r="BA13" s="33">
        <v>-11</v>
      </c>
      <c r="BB13" s="33">
        <v>3</v>
      </c>
      <c r="BC13" s="33">
        <v>0</v>
      </c>
      <c r="BD13" s="33">
        <v>1</v>
      </c>
      <c r="BE13" s="33">
        <v>-12</v>
      </c>
      <c r="BF13" s="33">
        <v>-10</v>
      </c>
      <c r="BG13" s="33">
        <v>-6</v>
      </c>
      <c r="BH13" s="33">
        <v>-6</v>
      </c>
      <c r="BI13" s="33">
        <v>-4</v>
      </c>
      <c r="BJ13" s="33">
        <v>-9</v>
      </c>
      <c r="BK13" s="33">
        <v>-7</v>
      </c>
      <c r="BL13" s="33">
        <v>-6</v>
      </c>
      <c r="BM13" s="33">
        <v>-5</v>
      </c>
      <c r="BN13" s="33">
        <v>-3</v>
      </c>
      <c r="BO13" s="33">
        <v>5</v>
      </c>
      <c r="BP13" s="33">
        <v>2</v>
      </c>
      <c r="BQ13" s="33">
        <v>3</v>
      </c>
      <c r="BR13" s="33">
        <v>2</v>
      </c>
      <c r="BS13" s="33">
        <v>0</v>
      </c>
      <c r="BT13" s="33">
        <v>-5</v>
      </c>
      <c r="BU13" s="33">
        <v>4</v>
      </c>
      <c r="BV13" s="33">
        <v>-4</v>
      </c>
      <c r="BW13" s="33">
        <v>-5</v>
      </c>
      <c r="BX13" s="33">
        <v>-4</v>
      </c>
      <c r="BY13" s="33">
        <v>-5</v>
      </c>
      <c r="BZ13" s="33">
        <v>4</v>
      </c>
      <c r="CA13" s="33">
        <v>5</v>
      </c>
      <c r="CB13" s="33">
        <v>2</v>
      </c>
      <c r="CC13" s="33">
        <v>-6</v>
      </c>
      <c r="CD13" s="33">
        <v>-7</v>
      </c>
      <c r="CE13" s="33">
        <v>-10</v>
      </c>
    </row>
    <row r="14" spans="1:83" s="34" customFormat="1" x14ac:dyDescent="0.25">
      <c r="A14" s="51"/>
      <c r="B14" s="38" t="s">
        <v>142</v>
      </c>
      <c r="D14" s="33">
        <f t="shared" si="4"/>
        <v>4</v>
      </c>
      <c r="E14" s="33">
        <v>6</v>
      </c>
      <c r="F14" s="33">
        <v>1</v>
      </c>
      <c r="G14" s="33">
        <v>1</v>
      </c>
      <c r="H14" s="33">
        <v>-1</v>
      </c>
      <c r="I14" s="33">
        <v>3</v>
      </c>
      <c r="J14" s="33">
        <v>-3</v>
      </c>
      <c r="K14" s="33">
        <v>-7</v>
      </c>
      <c r="L14" s="33">
        <v>-3</v>
      </c>
      <c r="M14" s="33">
        <v>-1</v>
      </c>
      <c r="N14" s="33">
        <v>-1</v>
      </c>
      <c r="O14" s="33">
        <v>2</v>
      </c>
      <c r="P14" s="33">
        <v>-1</v>
      </c>
      <c r="Q14" s="33">
        <v>-9</v>
      </c>
      <c r="R14" s="33">
        <v>-6</v>
      </c>
      <c r="S14" s="33">
        <v>-1</v>
      </c>
      <c r="T14" s="33">
        <v>-2</v>
      </c>
      <c r="U14" s="33">
        <v>7</v>
      </c>
      <c r="V14" s="33">
        <v>4</v>
      </c>
      <c r="W14" s="33">
        <v>10</v>
      </c>
      <c r="X14" s="33">
        <v>7</v>
      </c>
      <c r="Y14" s="33">
        <v>12</v>
      </c>
      <c r="Z14" s="33">
        <v>15</v>
      </c>
      <c r="AA14" s="33">
        <v>11</v>
      </c>
      <c r="AB14" s="33">
        <v>15</v>
      </c>
      <c r="AC14" s="33">
        <v>15</v>
      </c>
      <c r="AD14" s="33">
        <v>7</v>
      </c>
      <c r="AE14" s="33">
        <v>16</v>
      </c>
      <c r="AF14" s="33">
        <v>11</v>
      </c>
      <c r="AG14" s="33">
        <v>13</v>
      </c>
      <c r="AH14" s="33">
        <v>15</v>
      </c>
      <c r="AI14" s="33">
        <v>12</v>
      </c>
      <c r="AJ14" s="33">
        <v>9</v>
      </c>
      <c r="AK14" s="33">
        <v>11</v>
      </c>
      <c r="AL14" s="33">
        <v>10</v>
      </c>
      <c r="AM14" s="33">
        <v>12</v>
      </c>
      <c r="AN14" s="33">
        <v>10</v>
      </c>
      <c r="AO14" s="33">
        <v>16</v>
      </c>
      <c r="AP14" s="33">
        <v>13</v>
      </c>
      <c r="AQ14" s="33">
        <v>11</v>
      </c>
      <c r="AR14" s="33">
        <v>5</v>
      </c>
      <c r="AS14" s="33">
        <v>3</v>
      </c>
      <c r="AT14" s="33">
        <v>8</v>
      </c>
      <c r="AU14" s="33">
        <v>6</v>
      </c>
      <c r="AV14" s="33">
        <v>-2</v>
      </c>
      <c r="AW14" s="33">
        <v>-4</v>
      </c>
      <c r="AX14" s="33">
        <v>-4</v>
      </c>
      <c r="AY14" s="33">
        <v>-2</v>
      </c>
      <c r="AZ14" s="33">
        <v>1</v>
      </c>
      <c r="BA14" s="33">
        <v>-5</v>
      </c>
      <c r="BB14" s="33">
        <v>-2</v>
      </c>
      <c r="BC14" s="33">
        <v>-1</v>
      </c>
      <c r="BD14" s="33">
        <v>-1</v>
      </c>
      <c r="BE14" s="33">
        <v>-1</v>
      </c>
      <c r="BF14" s="33">
        <v>-4</v>
      </c>
      <c r="BG14" s="33">
        <v>-10</v>
      </c>
      <c r="BH14" s="33">
        <v>-8</v>
      </c>
      <c r="BI14" s="33">
        <v>-13</v>
      </c>
      <c r="BJ14" s="33">
        <v>-12</v>
      </c>
      <c r="BK14" s="33">
        <v>-6</v>
      </c>
      <c r="BL14" s="33">
        <v>-3</v>
      </c>
      <c r="BM14" s="33">
        <v>-6</v>
      </c>
      <c r="BN14" s="33">
        <v>-5</v>
      </c>
      <c r="BO14" s="33">
        <v>-8</v>
      </c>
      <c r="BP14" s="33">
        <v>-9</v>
      </c>
      <c r="BQ14" s="33">
        <v>-4</v>
      </c>
      <c r="BR14" s="33">
        <v>-4</v>
      </c>
      <c r="BS14" s="33">
        <v>-6</v>
      </c>
      <c r="BT14" s="33">
        <v>-4</v>
      </c>
      <c r="BU14" s="33">
        <v>-4</v>
      </c>
      <c r="BV14" s="33">
        <v>4</v>
      </c>
      <c r="BW14" s="33">
        <v>-1</v>
      </c>
      <c r="BX14" s="33">
        <v>-1</v>
      </c>
      <c r="BY14" s="33">
        <v>3</v>
      </c>
      <c r="BZ14" s="33">
        <v>1</v>
      </c>
      <c r="CA14" s="33">
        <v>3</v>
      </c>
      <c r="CB14" s="33">
        <v>-7</v>
      </c>
      <c r="CC14" s="33">
        <v>-5</v>
      </c>
      <c r="CD14" s="33">
        <v>-2</v>
      </c>
      <c r="CE14" s="33">
        <v>-3</v>
      </c>
    </row>
    <row r="15" spans="1:83" s="34" customFormat="1" x14ac:dyDescent="0.25">
      <c r="A15" s="51"/>
      <c r="B15" s="38" t="s">
        <v>150</v>
      </c>
      <c r="D15" s="33">
        <f t="shared" si="4"/>
        <v>6</v>
      </c>
      <c r="E15" s="33">
        <v>11</v>
      </c>
      <c r="F15" s="33">
        <v>7</v>
      </c>
      <c r="G15" s="33">
        <v>3</v>
      </c>
      <c r="H15" s="33">
        <v>-3</v>
      </c>
      <c r="I15" s="33">
        <v>2</v>
      </c>
      <c r="J15" s="33">
        <v>3</v>
      </c>
      <c r="K15" s="33">
        <v>-2</v>
      </c>
      <c r="L15" s="33">
        <v>2</v>
      </c>
      <c r="M15" s="33">
        <v>1</v>
      </c>
      <c r="N15" s="33">
        <v>4</v>
      </c>
      <c r="O15" s="33">
        <v>5</v>
      </c>
      <c r="P15" s="33">
        <v>2</v>
      </c>
      <c r="Q15" s="33">
        <v>-4</v>
      </c>
      <c r="R15" s="33">
        <v>-5</v>
      </c>
      <c r="S15" s="33">
        <v>4</v>
      </c>
      <c r="T15" s="33">
        <v>2</v>
      </c>
      <c r="U15" s="33">
        <v>4</v>
      </c>
      <c r="V15" s="33">
        <v>6</v>
      </c>
      <c r="W15" s="33">
        <v>1</v>
      </c>
      <c r="X15" s="33">
        <v>4</v>
      </c>
      <c r="Y15" s="33">
        <v>1</v>
      </c>
      <c r="Z15" s="33">
        <v>3</v>
      </c>
      <c r="AA15" s="33">
        <v>3</v>
      </c>
      <c r="AB15" s="33">
        <v>3</v>
      </c>
      <c r="AC15" s="33">
        <v>12</v>
      </c>
      <c r="AD15" s="33">
        <v>5</v>
      </c>
      <c r="AE15" s="33">
        <v>9</v>
      </c>
      <c r="AF15" s="33">
        <v>14</v>
      </c>
      <c r="AG15" s="33">
        <v>7</v>
      </c>
      <c r="AH15" s="33">
        <v>7</v>
      </c>
      <c r="AI15" s="33">
        <v>6</v>
      </c>
      <c r="AJ15" s="33">
        <v>5</v>
      </c>
      <c r="AK15" s="33">
        <v>9</v>
      </c>
      <c r="AL15" s="33">
        <v>12</v>
      </c>
      <c r="AM15" s="33">
        <v>11</v>
      </c>
      <c r="AN15" s="33">
        <v>11</v>
      </c>
      <c r="AO15" s="33">
        <v>2</v>
      </c>
      <c r="AP15" s="33">
        <v>3</v>
      </c>
      <c r="AQ15" s="33">
        <v>4</v>
      </c>
      <c r="AR15" s="33">
        <v>-4</v>
      </c>
      <c r="AS15" s="33">
        <v>2</v>
      </c>
      <c r="AT15" s="33">
        <v>6</v>
      </c>
      <c r="AU15" s="33">
        <v>3</v>
      </c>
      <c r="AV15" s="33">
        <v>3</v>
      </c>
      <c r="AW15" s="33">
        <v>-1</v>
      </c>
      <c r="AX15" s="33">
        <v>2</v>
      </c>
      <c r="AY15" s="33">
        <v>-1</v>
      </c>
      <c r="AZ15" s="33">
        <v>5</v>
      </c>
      <c r="BA15" s="33">
        <v>-1</v>
      </c>
      <c r="BB15" s="33">
        <v>-1</v>
      </c>
      <c r="BC15" s="33">
        <v>-7</v>
      </c>
      <c r="BD15" s="33">
        <v>-5</v>
      </c>
      <c r="BE15" s="33">
        <v>1</v>
      </c>
      <c r="BF15" s="33">
        <v>0</v>
      </c>
      <c r="BG15" s="33">
        <v>-4</v>
      </c>
      <c r="BH15" s="33">
        <v>-5</v>
      </c>
      <c r="BI15" s="33">
        <v>-5</v>
      </c>
      <c r="BJ15" s="33">
        <v>-2</v>
      </c>
      <c r="BK15" s="33">
        <v>2</v>
      </c>
      <c r="BL15" s="33">
        <v>-1</v>
      </c>
      <c r="BM15" s="33">
        <v>-7</v>
      </c>
      <c r="BN15" s="33">
        <v>0</v>
      </c>
      <c r="BO15" s="33">
        <v>2</v>
      </c>
      <c r="BP15" s="33">
        <v>3</v>
      </c>
      <c r="BQ15" s="33">
        <v>-1</v>
      </c>
      <c r="BR15" s="33">
        <v>1</v>
      </c>
      <c r="BS15" s="33">
        <v>1</v>
      </c>
      <c r="BT15" s="33">
        <v>-2</v>
      </c>
      <c r="BU15" s="33">
        <v>2</v>
      </c>
      <c r="BV15" s="33">
        <v>-7</v>
      </c>
      <c r="BW15" s="33">
        <v>9</v>
      </c>
      <c r="BX15" s="33">
        <v>1</v>
      </c>
      <c r="BY15" s="33">
        <v>4</v>
      </c>
      <c r="BZ15" s="33">
        <v>0</v>
      </c>
      <c r="CA15" s="33">
        <v>6</v>
      </c>
      <c r="CB15" s="33">
        <v>3</v>
      </c>
      <c r="CC15" s="33">
        <v>2</v>
      </c>
      <c r="CD15" s="33">
        <v>1</v>
      </c>
      <c r="CE15" s="33">
        <v>-2</v>
      </c>
    </row>
    <row r="16" spans="1:83" s="34" customFormat="1" x14ac:dyDescent="0.25">
      <c r="A16" s="51"/>
      <c r="B16" s="38" t="s">
        <v>202</v>
      </c>
      <c r="D16" s="33">
        <f t="shared" si="4"/>
        <v>5</v>
      </c>
      <c r="E16" s="33">
        <v>8</v>
      </c>
      <c r="F16" s="33">
        <v>2</v>
      </c>
      <c r="G16" s="33">
        <v>9</v>
      </c>
      <c r="H16" s="33">
        <v>-6</v>
      </c>
      <c r="I16" s="33">
        <v>4</v>
      </c>
      <c r="J16" s="33">
        <v>-4</v>
      </c>
      <c r="K16" s="33">
        <v>0</v>
      </c>
      <c r="L16" s="33">
        <v>-4</v>
      </c>
      <c r="M16" s="33">
        <v>-10</v>
      </c>
      <c r="N16" s="33">
        <v>3</v>
      </c>
      <c r="O16" s="33">
        <v>-1</v>
      </c>
      <c r="P16" s="33">
        <v>0</v>
      </c>
      <c r="Q16" s="33">
        <v>-10</v>
      </c>
      <c r="R16" s="33">
        <v>6</v>
      </c>
      <c r="S16" s="33">
        <v>3</v>
      </c>
      <c r="T16" s="33">
        <v>0</v>
      </c>
      <c r="U16" s="33">
        <v>5</v>
      </c>
      <c r="V16" s="33">
        <v>9</v>
      </c>
      <c r="W16" s="33">
        <v>13</v>
      </c>
      <c r="X16" s="33">
        <v>15</v>
      </c>
      <c r="Y16" s="33">
        <v>-1</v>
      </c>
      <c r="Z16" s="33">
        <v>5</v>
      </c>
      <c r="AA16" s="33">
        <v>1</v>
      </c>
      <c r="AB16" s="33">
        <v>4</v>
      </c>
      <c r="AC16" s="33">
        <v>7</v>
      </c>
      <c r="AD16" s="33">
        <v>15</v>
      </c>
      <c r="AE16" s="33">
        <v>8</v>
      </c>
      <c r="AF16" s="33">
        <v>12</v>
      </c>
      <c r="AG16" s="33">
        <v>-1</v>
      </c>
      <c r="AH16" s="33">
        <v>2</v>
      </c>
      <c r="AI16" s="33">
        <v>-1</v>
      </c>
      <c r="AJ16" s="33">
        <v>0</v>
      </c>
      <c r="AK16" s="33">
        <v>10</v>
      </c>
      <c r="AL16" s="33">
        <v>11</v>
      </c>
      <c r="AM16" s="33">
        <v>3</v>
      </c>
      <c r="AN16" s="33">
        <v>3</v>
      </c>
      <c r="AO16" s="33">
        <v>14</v>
      </c>
      <c r="AP16" s="33">
        <v>12</v>
      </c>
      <c r="AQ16" s="33">
        <v>8</v>
      </c>
      <c r="AR16" s="33">
        <v>10</v>
      </c>
      <c r="AS16" s="33">
        <v>10</v>
      </c>
      <c r="AT16" s="33">
        <v>9</v>
      </c>
      <c r="AU16" s="33">
        <v>7</v>
      </c>
      <c r="AV16" s="33">
        <v>5</v>
      </c>
      <c r="AW16" s="33">
        <v>0</v>
      </c>
      <c r="AX16" s="33">
        <v>-7</v>
      </c>
      <c r="AY16" s="33">
        <v>-9</v>
      </c>
      <c r="AZ16" s="33">
        <v>-11</v>
      </c>
      <c r="BA16" s="33">
        <v>-9</v>
      </c>
      <c r="BB16" s="33">
        <v>4</v>
      </c>
      <c r="BC16" s="33">
        <v>3</v>
      </c>
      <c r="BD16" s="33">
        <v>-2</v>
      </c>
      <c r="BE16" s="33">
        <v>-2</v>
      </c>
      <c r="BF16" s="33">
        <v>5</v>
      </c>
      <c r="BG16" s="33">
        <v>0</v>
      </c>
      <c r="BH16" s="33">
        <v>2</v>
      </c>
      <c r="BI16" s="33">
        <v>-12</v>
      </c>
      <c r="BJ16" s="33">
        <v>-10</v>
      </c>
      <c r="BK16" s="33">
        <v>7</v>
      </c>
      <c r="BL16" s="33">
        <v>8</v>
      </c>
      <c r="BM16" s="33">
        <v>9</v>
      </c>
      <c r="BN16" s="33">
        <v>0</v>
      </c>
      <c r="BO16" s="33">
        <v>1</v>
      </c>
      <c r="BP16" s="33">
        <v>1</v>
      </c>
      <c r="BQ16" s="33">
        <v>-10</v>
      </c>
      <c r="BR16" s="33">
        <v>-7</v>
      </c>
      <c r="BS16" s="33">
        <v>-4</v>
      </c>
      <c r="BT16" s="33">
        <v>-3</v>
      </c>
      <c r="BU16" s="33">
        <v>-1</v>
      </c>
      <c r="BV16" s="33">
        <v>-8</v>
      </c>
      <c r="BW16" s="33">
        <v>-3</v>
      </c>
      <c r="BX16" s="33">
        <v>4</v>
      </c>
      <c r="BY16" s="33">
        <v>5</v>
      </c>
      <c r="BZ16" s="33">
        <v>6</v>
      </c>
      <c r="CA16" s="33">
        <v>7</v>
      </c>
      <c r="CB16" s="33">
        <v>5</v>
      </c>
      <c r="CC16" s="33">
        <v>5</v>
      </c>
      <c r="CD16" s="33">
        <v>-3</v>
      </c>
      <c r="CE16" s="33">
        <v>1</v>
      </c>
    </row>
    <row r="17" spans="1:83" s="34" customFormat="1" x14ac:dyDescent="0.25">
      <c r="A17" s="51"/>
      <c r="B17" s="32" t="s">
        <v>203</v>
      </c>
      <c r="D17" s="33">
        <f t="shared" si="4"/>
        <v>5</v>
      </c>
      <c r="E17" s="33">
        <v>8</v>
      </c>
      <c r="F17" s="33">
        <v>-2</v>
      </c>
      <c r="G17" s="33">
        <v>4</v>
      </c>
      <c r="H17" s="33">
        <v>-4</v>
      </c>
      <c r="I17" s="33">
        <v>-2</v>
      </c>
      <c r="J17" s="33">
        <v>-10</v>
      </c>
      <c r="K17" s="33">
        <v>-1</v>
      </c>
      <c r="L17" s="33">
        <v>3</v>
      </c>
      <c r="M17" s="33">
        <v>-5</v>
      </c>
      <c r="N17" s="33">
        <v>0</v>
      </c>
      <c r="O17" s="33">
        <v>10</v>
      </c>
      <c r="P17" s="33">
        <v>6</v>
      </c>
      <c r="Q17" s="33">
        <v>2</v>
      </c>
      <c r="R17" s="33">
        <v>2</v>
      </c>
      <c r="S17" s="33">
        <v>2</v>
      </c>
      <c r="T17" s="33">
        <v>0</v>
      </c>
      <c r="U17" s="33">
        <v>2</v>
      </c>
      <c r="V17" s="33">
        <v>14</v>
      </c>
      <c r="W17" s="33">
        <v>8</v>
      </c>
      <c r="X17" s="33">
        <v>5</v>
      </c>
      <c r="Y17" s="33">
        <v>8</v>
      </c>
      <c r="Z17" s="33">
        <v>8</v>
      </c>
      <c r="AA17" s="33">
        <v>13</v>
      </c>
      <c r="AB17" s="33">
        <v>7</v>
      </c>
      <c r="AC17" s="33">
        <v>4</v>
      </c>
      <c r="AD17" s="33">
        <v>2</v>
      </c>
      <c r="AE17" s="33">
        <v>4</v>
      </c>
      <c r="AF17" s="33">
        <v>9</v>
      </c>
      <c r="AG17" s="33">
        <v>2</v>
      </c>
      <c r="AH17" s="33">
        <v>9</v>
      </c>
      <c r="AI17" s="33">
        <v>3</v>
      </c>
      <c r="AJ17" s="33">
        <v>7</v>
      </c>
      <c r="AK17" s="33">
        <v>-1</v>
      </c>
      <c r="AL17" s="33">
        <v>-1</v>
      </c>
      <c r="AM17" s="33">
        <v>14</v>
      </c>
      <c r="AN17" s="33">
        <v>6</v>
      </c>
      <c r="AO17" s="33">
        <v>8</v>
      </c>
      <c r="AP17" s="33">
        <v>8</v>
      </c>
      <c r="AQ17" s="33">
        <v>-3</v>
      </c>
      <c r="AR17" s="33">
        <v>-5</v>
      </c>
      <c r="AS17" s="33">
        <v>-4</v>
      </c>
      <c r="AT17" s="33">
        <v>-3</v>
      </c>
      <c r="AU17" s="33">
        <v>-8</v>
      </c>
      <c r="AV17" s="33">
        <v>-10</v>
      </c>
      <c r="AW17" s="33">
        <v>-10</v>
      </c>
      <c r="AX17" s="33">
        <v>-13</v>
      </c>
      <c r="AY17" s="33">
        <v>-13</v>
      </c>
      <c r="AZ17" s="33">
        <v>-8</v>
      </c>
      <c r="BA17" s="33">
        <v>0</v>
      </c>
      <c r="BB17" s="33">
        <v>-10</v>
      </c>
      <c r="BC17" s="33">
        <v>-4</v>
      </c>
      <c r="BD17" s="33">
        <v>-14</v>
      </c>
      <c r="BE17" s="33">
        <v>-4</v>
      </c>
      <c r="BF17" s="33">
        <v>-8</v>
      </c>
      <c r="BG17" s="33">
        <v>-5</v>
      </c>
      <c r="BH17" s="33">
        <v>-14</v>
      </c>
      <c r="BI17" s="33">
        <v>-9</v>
      </c>
      <c r="BJ17" s="33">
        <v>-3</v>
      </c>
      <c r="BK17" s="33">
        <v>-2</v>
      </c>
      <c r="BL17" s="33">
        <v>7</v>
      </c>
      <c r="BM17" s="33">
        <v>-1</v>
      </c>
      <c r="BN17" s="33">
        <v>5</v>
      </c>
      <c r="BO17" s="33">
        <v>4</v>
      </c>
      <c r="BP17" s="33">
        <v>-3</v>
      </c>
      <c r="BQ17" s="33">
        <v>-3</v>
      </c>
      <c r="BR17" s="33">
        <v>-5</v>
      </c>
      <c r="BS17" s="33">
        <v>-1</v>
      </c>
      <c r="BT17" s="33">
        <v>-8</v>
      </c>
      <c r="BU17" s="33">
        <v>3</v>
      </c>
      <c r="BV17" s="33">
        <v>-2</v>
      </c>
      <c r="BW17" s="33">
        <v>0</v>
      </c>
      <c r="BX17" s="33">
        <v>-6</v>
      </c>
      <c r="BY17" s="33">
        <v>-4</v>
      </c>
      <c r="BZ17" s="33">
        <v>-7</v>
      </c>
      <c r="CA17" s="33">
        <v>-4</v>
      </c>
      <c r="CB17" s="33">
        <v>-9</v>
      </c>
      <c r="CC17" s="33">
        <v>-10</v>
      </c>
      <c r="CD17" s="33">
        <v>-8</v>
      </c>
      <c r="CE17" s="33">
        <v>-9</v>
      </c>
    </row>
    <row r="18" spans="1:83" s="34" customFormat="1" x14ac:dyDescent="0.25">
      <c r="A18" s="51"/>
      <c r="B18" s="32" t="s">
        <v>201</v>
      </c>
      <c r="D18" s="33">
        <f t="shared" si="4"/>
        <v>1</v>
      </c>
      <c r="E18" s="33">
        <v>-2</v>
      </c>
      <c r="F18" s="33">
        <v>-4</v>
      </c>
      <c r="G18" s="33">
        <v>7</v>
      </c>
      <c r="H18" s="33">
        <v>2</v>
      </c>
      <c r="I18" s="33">
        <v>5</v>
      </c>
      <c r="J18" s="33">
        <v>-7</v>
      </c>
      <c r="K18" s="33">
        <v>-5</v>
      </c>
      <c r="L18" s="33">
        <v>-5</v>
      </c>
      <c r="M18" s="33">
        <v>0</v>
      </c>
      <c r="N18" s="33">
        <v>-5</v>
      </c>
      <c r="O18" s="33">
        <v>-3</v>
      </c>
      <c r="P18" s="33">
        <v>-6</v>
      </c>
      <c r="Q18" s="33">
        <v>-6</v>
      </c>
      <c r="R18" s="33">
        <v>-8</v>
      </c>
      <c r="S18" s="33">
        <v>0</v>
      </c>
      <c r="T18" s="33">
        <v>3</v>
      </c>
      <c r="U18" s="33">
        <v>-2</v>
      </c>
      <c r="V18" s="33">
        <v>-2</v>
      </c>
      <c r="W18" s="33">
        <v>0</v>
      </c>
      <c r="X18" s="33">
        <v>-1</v>
      </c>
      <c r="Y18" s="33">
        <v>6</v>
      </c>
      <c r="Z18" s="33">
        <v>-1</v>
      </c>
      <c r="AA18" s="33">
        <v>-1</v>
      </c>
      <c r="AB18" s="33">
        <v>1</v>
      </c>
      <c r="AC18" s="33">
        <v>3</v>
      </c>
      <c r="AD18" s="33">
        <v>1</v>
      </c>
      <c r="AE18" s="33">
        <v>1</v>
      </c>
      <c r="AF18" s="33">
        <v>1</v>
      </c>
      <c r="AG18" s="33">
        <v>1</v>
      </c>
      <c r="AH18" s="33">
        <v>16</v>
      </c>
      <c r="AI18" s="33">
        <v>5</v>
      </c>
      <c r="AJ18" s="33">
        <v>3</v>
      </c>
      <c r="AK18" s="33">
        <v>1</v>
      </c>
      <c r="AL18" s="33">
        <v>2</v>
      </c>
      <c r="AM18" s="33">
        <v>1</v>
      </c>
      <c r="AN18" s="33">
        <v>-1</v>
      </c>
      <c r="AO18" s="33">
        <v>-1</v>
      </c>
      <c r="AP18" s="33">
        <v>7</v>
      </c>
      <c r="AQ18" s="33">
        <v>3</v>
      </c>
      <c r="AR18" s="33">
        <v>9</v>
      </c>
      <c r="AS18" s="33">
        <v>9</v>
      </c>
      <c r="AT18" s="33">
        <v>0</v>
      </c>
      <c r="AU18" s="33">
        <v>5</v>
      </c>
      <c r="AV18" s="33">
        <v>2</v>
      </c>
      <c r="AW18" s="33">
        <v>1</v>
      </c>
      <c r="AX18" s="33">
        <v>-2</v>
      </c>
      <c r="AY18" s="33">
        <v>2</v>
      </c>
      <c r="AZ18" s="33">
        <v>3</v>
      </c>
      <c r="BA18" s="33">
        <v>3</v>
      </c>
      <c r="BB18" s="33">
        <v>-8</v>
      </c>
      <c r="BC18" s="33">
        <v>0</v>
      </c>
      <c r="BD18" s="33">
        <v>2</v>
      </c>
      <c r="BE18" s="33">
        <v>2</v>
      </c>
      <c r="BF18" s="33">
        <v>1</v>
      </c>
      <c r="BG18" s="33">
        <v>0</v>
      </c>
      <c r="BH18" s="33">
        <v>0</v>
      </c>
      <c r="BI18" s="33">
        <v>-10</v>
      </c>
      <c r="BJ18" s="33">
        <v>-6</v>
      </c>
      <c r="BK18" s="33">
        <v>0</v>
      </c>
      <c r="BL18" s="33">
        <v>6</v>
      </c>
      <c r="BM18" s="33">
        <v>4</v>
      </c>
      <c r="BN18" s="33">
        <v>6</v>
      </c>
      <c r="BO18" s="33">
        <v>7</v>
      </c>
      <c r="BP18" s="33">
        <v>4</v>
      </c>
      <c r="BQ18" s="33">
        <v>4</v>
      </c>
      <c r="BR18" s="33">
        <v>5</v>
      </c>
      <c r="BS18" s="33">
        <v>3</v>
      </c>
      <c r="BT18" s="33">
        <v>0</v>
      </c>
      <c r="BU18" s="33">
        <v>0</v>
      </c>
      <c r="BV18" s="33">
        <v>6</v>
      </c>
      <c r="BW18" s="33">
        <v>10</v>
      </c>
      <c r="BX18" s="33">
        <v>8</v>
      </c>
      <c r="BY18" s="33">
        <v>10</v>
      </c>
      <c r="BZ18" s="33">
        <v>5</v>
      </c>
      <c r="CA18" s="33">
        <v>8</v>
      </c>
      <c r="CB18" s="33">
        <v>0</v>
      </c>
      <c r="CC18" s="33">
        <v>3</v>
      </c>
      <c r="CD18" s="33">
        <v>5</v>
      </c>
      <c r="CE18" s="33">
        <v>-6</v>
      </c>
    </row>
    <row r="19" spans="1:83" x14ac:dyDescent="0.25">
      <c r="A19" s="51"/>
      <c r="B19" s="32" t="s">
        <v>148</v>
      </c>
      <c r="D19" s="33">
        <f t="shared" si="4"/>
        <v>6</v>
      </c>
      <c r="E19" s="33">
        <v>7</v>
      </c>
      <c r="F19" s="33">
        <v>9</v>
      </c>
      <c r="G19" s="33">
        <v>0</v>
      </c>
      <c r="H19" s="33">
        <v>5</v>
      </c>
      <c r="I19" s="33">
        <v>-3</v>
      </c>
      <c r="J19" s="33">
        <f>+-8</f>
        <v>-8</v>
      </c>
      <c r="K19" s="33">
        <v>-8</v>
      </c>
      <c r="L19" s="33">
        <v>-6</v>
      </c>
      <c r="M19" s="33">
        <v>0</v>
      </c>
      <c r="N19" s="33">
        <v>0</v>
      </c>
      <c r="O19" s="33">
        <v>12</v>
      </c>
      <c r="P19" s="33">
        <v>1</v>
      </c>
      <c r="Q19" s="33">
        <v>-8</v>
      </c>
      <c r="R19" s="33">
        <v>-1</v>
      </c>
      <c r="S19" s="33">
        <v>6</v>
      </c>
      <c r="T19" s="33">
        <v>8</v>
      </c>
      <c r="U19" s="33">
        <v>14</v>
      </c>
      <c r="V19" s="33">
        <v>5</v>
      </c>
      <c r="W19" s="33">
        <v>11</v>
      </c>
      <c r="X19" s="33">
        <v>10</v>
      </c>
      <c r="Y19" s="33">
        <v>9</v>
      </c>
      <c r="Z19" s="33">
        <v>11</v>
      </c>
      <c r="AA19" s="33">
        <v>7</v>
      </c>
      <c r="AB19" s="33">
        <v>8</v>
      </c>
      <c r="AC19" s="33">
        <v>10</v>
      </c>
      <c r="AD19" s="33">
        <v>14</v>
      </c>
      <c r="AE19" s="33">
        <v>13</v>
      </c>
      <c r="AF19" s="33">
        <v>5</v>
      </c>
      <c r="AG19" s="33">
        <v>9</v>
      </c>
      <c r="AH19" s="33">
        <v>1</v>
      </c>
      <c r="AI19" s="33">
        <v>4</v>
      </c>
      <c r="AJ19" s="33">
        <v>8</v>
      </c>
      <c r="AK19" s="33">
        <v>12</v>
      </c>
      <c r="AL19" s="33">
        <v>1</v>
      </c>
      <c r="AM19" s="33">
        <v>6</v>
      </c>
      <c r="AN19" s="33">
        <v>1</v>
      </c>
      <c r="AO19" s="33">
        <v>15</v>
      </c>
      <c r="AP19" s="33">
        <v>6</v>
      </c>
      <c r="AQ19" s="33">
        <v>7</v>
      </c>
      <c r="AR19" s="33">
        <v>2</v>
      </c>
      <c r="AS19" s="33">
        <v>5</v>
      </c>
      <c r="AT19" s="33">
        <v>7</v>
      </c>
      <c r="AU19" s="33">
        <v>2</v>
      </c>
      <c r="AV19" s="33">
        <v>-5</v>
      </c>
      <c r="AW19" s="33">
        <v>-9</v>
      </c>
      <c r="AX19" s="33">
        <v>-10</v>
      </c>
      <c r="AY19" s="33">
        <v>-8</v>
      </c>
      <c r="AZ19" s="33">
        <v>-9</v>
      </c>
      <c r="BA19" s="33">
        <v>-7</v>
      </c>
      <c r="BB19" s="33">
        <v>-3</v>
      </c>
      <c r="BC19" s="33">
        <v>-11</v>
      </c>
      <c r="BD19" s="33">
        <v>-15</v>
      </c>
      <c r="BE19" s="33">
        <v>-11</v>
      </c>
      <c r="BF19" s="33">
        <v>-9</v>
      </c>
      <c r="BG19" s="33">
        <v>1</v>
      </c>
      <c r="BH19" s="33">
        <v>-1</v>
      </c>
      <c r="BI19" s="33">
        <v>-14</v>
      </c>
      <c r="BJ19" s="33">
        <v>-11</v>
      </c>
      <c r="BK19" s="33">
        <v>5</v>
      </c>
      <c r="BL19" s="33">
        <v>-5</v>
      </c>
      <c r="BM19" s="33">
        <v>1</v>
      </c>
      <c r="BN19" s="33">
        <v>-6</v>
      </c>
      <c r="BO19" s="33">
        <v>-4</v>
      </c>
      <c r="BP19" s="33">
        <v>-10</v>
      </c>
      <c r="BQ19" s="33">
        <v>-9</v>
      </c>
      <c r="BR19" s="33">
        <v>-12</v>
      </c>
      <c r="BS19" s="33">
        <v>-3</v>
      </c>
      <c r="BT19" s="33">
        <v>-10</v>
      </c>
      <c r="BU19" s="33">
        <v>1</v>
      </c>
      <c r="BV19" s="33">
        <v>2</v>
      </c>
      <c r="BW19" s="33">
        <v>3</v>
      </c>
      <c r="BX19" s="33">
        <v>-5</v>
      </c>
      <c r="BY19" s="33">
        <v>9</v>
      </c>
      <c r="BZ19" s="33">
        <v>7</v>
      </c>
      <c r="CA19" s="33">
        <v>0</v>
      </c>
      <c r="CB19" s="33">
        <v>6</v>
      </c>
      <c r="CC19" s="33">
        <v>-8</v>
      </c>
      <c r="CD19" s="33">
        <v>-9</v>
      </c>
      <c r="CE19" s="33">
        <v>3</v>
      </c>
    </row>
    <row r="20" spans="1:83" x14ac:dyDescent="0.25">
      <c r="A20" s="51"/>
      <c r="B20" s="32" t="s">
        <v>163</v>
      </c>
      <c r="D20" s="33">
        <f t="shared" si="4"/>
        <v>4</v>
      </c>
      <c r="E20" s="33">
        <v>-4</v>
      </c>
      <c r="F20" s="33">
        <v>-5</v>
      </c>
      <c r="G20" s="33">
        <v>-4</v>
      </c>
      <c r="H20" s="33">
        <v>-7</v>
      </c>
      <c r="I20" s="33">
        <v>-4</v>
      </c>
      <c r="J20" s="33">
        <v>-6</v>
      </c>
      <c r="K20" s="33">
        <v>-12</v>
      </c>
      <c r="L20" s="33">
        <v>-7</v>
      </c>
      <c r="M20" s="33">
        <v>-4</v>
      </c>
      <c r="N20" s="33">
        <v>-2</v>
      </c>
      <c r="O20" s="33">
        <v>8</v>
      </c>
      <c r="P20" s="33">
        <v>3</v>
      </c>
      <c r="Q20" s="33">
        <v>-2</v>
      </c>
      <c r="R20" s="33">
        <v>-10</v>
      </c>
      <c r="S20" s="33">
        <v>-3</v>
      </c>
      <c r="T20" s="33">
        <v>4</v>
      </c>
      <c r="U20" s="33">
        <v>9</v>
      </c>
      <c r="V20" s="33">
        <v>-1</v>
      </c>
      <c r="W20" s="33">
        <v>5</v>
      </c>
      <c r="X20" s="33">
        <v>9</v>
      </c>
      <c r="Y20" s="33">
        <v>5</v>
      </c>
      <c r="Z20" s="33">
        <v>14</v>
      </c>
      <c r="AA20" s="33">
        <v>14</v>
      </c>
      <c r="AB20" s="33">
        <v>9</v>
      </c>
      <c r="AC20" s="33">
        <v>13</v>
      </c>
      <c r="AD20" s="33">
        <v>12</v>
      </c>
      <c r="AE20" s="33">
        <v>6</v>
      </c>
      <c r="AF20" s="33">
        <v>6</v>
      </c>
      <c r="AG20" s="33">
        <v>12</v>
      </c>
      <c r="AH20" s="33">
        <v>3</v>
      </c>
      <c r="AI20" s="33">
        <v>2</v>
      </c>
      <c r="AJ20" s="33">
        <v>-1</v>
      </c>
      <c r="AK20" s="33">
        <v>2</v>
      </c>
      <c r="AL20" s="33">
        <v>6</v>
      </c>
      <c r="AM20" s="33">
        <v>10</v>
      </c>
      <c r="AN20" s="33">
        <v>2</v>
      </c>
      <c r="AO20" s="33">
        <v>7</v>
      </c>
      <c r="AP20" s="33">
        <v>2</v>
      </c>
      <c r="AQ20" s="33">
        <v>9</v>
      </c>
      <c r="AR20" s="33">
        <v>3</v>
      </c>
      <c r="AS20" s="33">
        <v>4</v>
      </c>
      <c r="AT20" s="33">
        <v>0</v>
      </c>
      <c r="AU20" s="33">
        <v>-3</v>
      </c>
      <c r="AV20" s="33">
        <v>4</v>
      </c>
      <c r="AW20" s="33">
        <v>2</v>
      </c>
      <c r="AX20" s="33">
        <v>-8</v>
      </c>
      <c r="AY20" s="33">
        <v>-5</v>
      </c>
      <c r="AZ20" s="33">
        <v>2</v>
      </c>
      <c r="BA20" s="33">
        <v>-4</v>
      </c>
      <c r="BB20" s="33">
        <v>-13</v>
      </c>
      <c r="BC20" s="33">
        <v>2</v>
      </c>
      <c r="BD20" s="33">
        <v>-9</v>
      </c>
      <c r="BE20" s="33">
        <v>-10</v>
      </c>
      <c r="BF20" s="33">
        <v>2</v>
      </c>
      <c r="BG20" s="33">
        <v>-3</v>
      </c>
      <c r="BH20" s="33">
        <v>-7</v>
      </c>
      <c r="BI20" s="33">
        <v>1</v>
      </c>
      <c r="BJ20" s="33">
        <v>-1</v>
      </c>
      <c r="BK20" s="33">
        <v>6</v>
      </c>
      <c r="BL20" s="33">
        <v>5</v>
      </c>
      <c r="BM20" s="33">
        <v>7</v>
      </c>
      <c r="BN20" s="33">
        <v>3</v>
      </c>
      <c r="BO20" s="33">
        <v>6</v>
      </c>
      <c r="BP20" s="33">
        <v>-11</v>
      </c>
      <c r="BQ20" s="33">
        <v>5</v>
      </c>
      <c r="BR20" s="33">
        <v>-9</v>
      </c>
      <c r="BS20" s="33">
        <v>-5</v>
      </c>
      <c r="BT20" s="33">
        <v>-1</v>
      </c>
      <c r="BU20" s="33">
        <v>7</v>
      </c>
      <c r="BV20" s="33">
        <v>7</v>
      </c>
      <c r="BW20" s="33">
        <v>8</v>
      </c>
      <c r="BX20" s="33">
        <v>6</v>
      </c>
      <c r="BY20" s="33">
        <v>1</v>
      </c>
      <c r="BZ20" s="33">
        <v>-1</v>
      </c>
      <c r="CA20" s="33">
        <v>0</v>
      </c>
      <c r="CB20" s="33">
        <v>1</v>
      </c>
      <c r="CC20" s="33">
        <v>1</v>
      </c>
      <c r="CD20" s="33">
        <v>4</v>
      </c>
      <c r="CE20" s="33">
        <v>6</v>
      </c>
    </row>
    <row r="21" spans="1:83" x14ac:dyDescent="0.25">
      <c r="A21" s="51"/>
      <c r="B21" s="32" t="s">
        <v>483</v>
      </c>
      <c r="D21" s="33">
        <f t="shared" si="4"/>
        <v>2</v>
      </c>
      <c r="E21" s="33">
        <v>10</v>
      </c>
      <c r="F21" s="33">
        <v>11</v>
      </c>
      <c r="G21" s="33">
        <v>11</v>
      </c>
      <c r="H21" s="33">
        <v>8</v>
      </c>
      <c r="I21" s="33">
        <v>0</v>
      </c>
      <c r="J21" s="33">
        <v>-14</v>
      </c>
      <c r="K21" s="33">
        <v>4</v>
      </c>
      <c r="L21" s="33">
        <v>-12</v>
      </c>
      <c r="M21" s="33">
        <v>-9</v>
      </c>
      <c r="N21" s="33">
        <v>-8</v>
      </c>
      <c r="O21" s="33">
        <v>11</v>
      </c>
      <c r="P21" s="33">
        <v>10</v>
      </c>
      <c r="Q21" s="33">
        <v>-15</v>
      </c>
      <c r="R21" s="33">
        <v>-11</v>
      </c>
      <c r="S21" s="33">
        <v>10</v>
      </c>
      <c r="T21" s="33">
        <v>10</v>
      </c>
      <c r="U21" s="33">
        <v>-3</v>
      </c>
      <c r="V21" s="33">
        <v>-3</v>
      </c>
      <c r="W21" s="33">
        <v>-1</v>
      </c>
      <c r="X21" s="33">
        <v>-2</v>
      </c>
      <c r="Y21" s="33">
        <v>-2</v>
      </c>
      <c r="Z21" s="33">
        <v>-2</v>
      </c>
      <c r="AA21" s="33">
        <v>-2</v>
      </c>
      <c r="AB21" s="33">
        <v>2</v>
      </c>
      <c r="AC21" s="33">
        <v>2</v>
      </c>
      <c r="AD21" s="33">
        <v>-1</v>
      </c>
      <c r="AE21" s="33">
        <v>3</v>
      </c>
      <c r="AF21" s="33">
        <v>16</v>
      </c>
      <c r="AG21" s="33">
        <v>3</v>
      </c>
      <c r="AH21" s="33">
        <v>8</v>
      </c>
      <c r="AI21" s="33">
        <v>11</v>
      </c>
      <c r="AJ21" s="33">
        <v>-2</v>
      </c>
      <c r="AK21" s="33">
        <v>-2</v>
      </c>
      <c r="AL21" s="33">
        <v>0</v>
      </c>
      <c r="AM21" s="33">
        <v>0</v>
      </c>
      <c r="AN21" s="33">
        <v>0</v>
      </c>
      <c r="AO21" s="33">
        <v>10</v>
      </c>
      <c r="AP21" s="33">
        <v>14</v>
      </c>
      <c r="AQ21" s="33">
        <v>13</v>
      </c>
      <c r="AR21" s="33">
        <v>8</v>
      </c>
      <c r="AS21" s="33">
        <v>6</v>
      </c>
      <c r="AT21" s="33">
        <v>-4</v>
      </c>
      <c r="AU21" s="33">
        <v>-6</v>
      </c>
      <c r="AV21" s="33">
        <v>-12</v>
      </c>
      <c r="AW21" s="33">
        <v>0</v>
      </c>
      <c r="AX21" s="33">
        <v>-14</v>
      </c>
      <c r="AY21" s="33">
        <v>-14</v>
      </c>
      <c r="AZ21" s="33">
        <v>6</v>
      </c>
      <c r="BA21" s="33">
        <v>5</v>
      </c>
      <c r="BB21" s="33">
        <v>-9</v>
      </c>
      <c r="BC21" s="33">
        <v>4</v>
      </c>
      <c r="BD21" s="33">
        <v>-6</v>
      </c>
      <c r="BE21" s="33">
        <v>5</v>
      </c>
      <c r="BF21" s="33">
        <v>-11</v>
      </c>
      <c r="BG21" s="33">
        <v>-13</v>
      </c>
      <c r="BH21" s="33">
        <v>-13</v>
      </c>
      <c r="BI21" s="33">
        <v>-16</v>
      </c>
      <c r="BJ21" s="33">
        <v>0</v>
      </c>
      <c r="BK21" s="33">
        <v>0</v>
      </c>
      <c r="BL21" s="33">
        <v>0</v>
      </c>
      <c r="BM21" s="33">
        <v>8</v>
      </c>
      <c r="BN21" s="33">
        <v>7</v>
      </c>
      <c r="BO21" s="33">
        <v>8</v>
      </c>
      <c r="BP21" s="33">
        <v>5</v>
      </c>
      <c r="BQ21" s="33">
        <v>-11</v>
      </c>
      <c r="BR21" s="33">
        <v>-13</v>
      </c>
      <c r="BS21" s="33">
        <v>-10</v>
      </c>
      <c r="BT21" s="33">
        <v>-11</v>
      </c>
      <c r="BU21" s="33">
        <v>-5</v>
      </c>
      <c r="BV21" s="33">
        <v>0</v>
      </c>
      <c r="BW21" s="33">
        <v>0</v>
      </c>
      <c r="BX21" s="33">
        <v>0</v>
      </c>
      <c r="BY21" s="33">
        <v>0</v>
      </c>
      <c r="BZ21" s="33">
        <v>-5</v>
      </c>
      <c r="CA21" s="33">
        <v>0</v>
      </c>
      <c r="CB21" s="33">
        <v>-10</v>
      </c>
      <c r="CC21" s="33">
        <v>0</v>
      </c>
      <c r="CD21" s="33">
        <v>0</v>
      </c>
      <c r="CE21" s="33">
        <v>-8</v>
      </c>
    </row>
    <row r="22" spans="1:83" x14ac:dyDescent="0.25">
      <c r="A22" s="51"/>
      <c r="B22" s="38" t="s">
        <v>484</v>
      </c>
      <c r="D22" s="33">
        <f t="shared" si="4"/>
        <v>5</v>
      </c>
      <c r="E22" s="33">
        <v>13</v>
      </c>
      <c r="F22" s="33">
        <v>10</v>
      </c>
      <c r="G22" s="33">
        <v>10</v>
      </c>
      <c r="H22" s="33">
        <v>3</v>
      </c>
      <c r="I22" s="33">
        <v>9</v>
      </c>
      <c r="J22" s="33">
        <v>-11</v>
      </c>
      <c r="K22" s="33">
        <v>-10</v>
      </c>
      <c r="L22" s="33">
        <v>-10</v>
      </c>
      <c r="M22" s="33">
        <v>3</v>
      </c>
      <c r="N22" s="33">
        <v>-4</v>
      </c>
      <c r="O22" s="33">
        <v>9</v>
      </c>
      <c r="P22" s="33">
        <v>-5</v>
      </c>
      <c r="Q22" s="33">
        <v>-12</v>
      </c>
      <c r="R22" s="33">
        <v>0</v>
      </c>
      <c r="S22" s="33">
        <v>13</v>
      </c>
      <c r="T22" s="33">
        <v>11</v>
      </c>
      <c r="U22" s="33">
        <v>12</v>
      </c>
      <c r="V22" s="33">
        <v>3</v>
      </c>
      <c r="W22" s="33">
        <v>-2</v>
      </c>
      <c r="X22" s="33">
        <v>14</v>
      </c>
      <c r="Y22" s="33">
        <v>4</v>
      </c>
      <c r="Z22" s="33">
        <v>2</v>
      </c>
      <c r="AA22" s="33">
        <v>16</v>
      </c>
      <c r="AB22" s="33">
        <v>17</v>
      </c>
      <c r="AC22" s="33">
        <v>17</v>
      </c>
      <c r="AD22" s="33">
        <v>13</v>
      </c>
      <c r="AE22" s="33">
        <v>7</v>
      </c>
      <c r="AF22" s="33">
        <v>-1</v>
      </c>
      <c r="AG22" s="33">
        <v>-2</v>
      </c>
      <c r="AH22" s="33">
        <v>10</v>
      </c>
      <c r="AI22" s="33">
        <v>14</v>
      </c>
      <c r="AJ22" s="33">
        <v>0</v>
      </c>
      <c r="AK22" s="33">
        <v>13</v>
      </c>
      <c r="AL22" s="33">
        <v>0</v>
      </c>
      <c r="AM22" s="33">
        <v>15</v>
      </c>
      <c r="AN22" s="33">
        <v>9</v>
      </c>
      <c r="AO22" s="33">
        <v>4</v>
      </c>
      <c r="AP22" s="33">
        <v>0</v>
      </c>
      <c r="AQ22" s="33">
        <v>14</v>
      </c>
      <c r="AR22" s="33">
        <v>4</v>
      </c>
      <c r="AS22" s="33">
        <v>0</v>
      </c>
      <c r="AT22" s="33">
        <v>-6</v>
      </c>
      <c r="AU22" s="33">
        <v>-7</v>
      </c>
      <c r="AV22" s="33">
        <v>-9</v>
      </c>
      <c r="AW22" s="33">
        <v>0</v>
      </c>
      <c r="AX22" s="33">
        <v>0</v>
      </c>
      <c r="AY22" s="33">
        <v>-11</v>
      </c>
      <c r="AZ22" s="33">
        <v>-10</v>
      </c>
      <c r="BA22" s="33">
        <v>0</v>
      </c>
      <c r="BB22" s="33">
        <v>-11</v>
      </c>
      <c r="BC22" s="33">
        <v>-9</v>
      </c>
      <c r="BD22" s="33">
        <v>-13</v>
      </c>
      <c r="BE22" s="33">
        <v>-8</v>
      </c>
      <c r="BF22" s="33">
        <v>3</v>
      </c>
      <c r="BG22" s="33">
        <v>-12</v>
      </c>
      <c r="BH22" s="33">
        <v>-9</v>
      </c>
      <c r="BI22" s="33">
        <v>-11</v>
      </c>
      <c r="BJ22" s="33">
        <v>3</v>
      </c>
      <c r="BK22" s="33">
        <v>0</v>
      </c>
      <c r="BL22" s="33">
        <v>9</v>
      </c>
      <c r="BM22" s="33">
        <v>6</v>
      </c>
      <c r="BN22" s="33">
        <v>4</v>
      </c>
      <c r="BO22" s="33">
        <v>-9</v>
      </c>
      <c r="BP22" s="33">
        <v>0</v>
      </c>
      <c r="BQ22" s="33">
        <v>-12</v>
      </c>
      <c r="BR22" s="33">
        <v>3</v>
      </c>
      <c r="BS22" s="33">
        <v>-11</v>
      </c>
      <c r="BT22" s="33">
        <v>0</v>
      </c>
      <c r="BU22" s="33">
        <v>-7</v>
      </c>
      <c r="BV22" s="33">
        <v>8</v>
      </c>
      <c r="BW22" s="33">
        <v>-4</v>
      </c>
      <c r="BX22" s="33">
        <v>9</v>
      </c>
      <c r="BY22" s="33">
        <v>7</v>
      </c>
      <c r="BZ22" s="33">
        <v>0</v>
      </c>
      <c r="CA22" s="33">
        <v>-6</v>
      </c>
      <c r="CB22" s="33">
        <v>4</v>
      </c>
      <c r="CC22" s="33">
        <v>7</v>
      </c>
      <c r="CD22" s="33">
        <v>3</v>
      </c>
      <c r="CE22" s="33">
        <v>-12</v>
      </c>
    </row>
    <row r="23" spans="1:83" x14ac:dyDescent="0.25">
      <c r="A23" s="51"/>
      <c r="B23" s="38" t="s">
        <v>137</v>
      </c>
      <c r="D23" s="33">
        <f t="shared" si="4"/>
        <v>4</v>
      </c>
      <c r="E23" s="33">
        <v>-1</v>
      </c>
      <c r="F23" s="33">
        <v>0</v>
      </c>
      <c r="G23" s="33">
        <v>-2</v>
      </c>
      <c r="H23" s="33">
        <v>-5</v>
      </c>
      <c r="I23" s="33">
        <v>-5</v>
      </c>
      <c r="J23" s="33">
        <v>-5</v>
      </c>
      <c r="K23" s="33">
        <v>-9</v>
      </c>
      <c r="L23" s="33">
        <v>-8</v>
      </c>
      <c r="M23" s="33">
        <v>-8</v>
      </c>
      <c r="N23" s="33">
        <v>-3</v>
      </c>
      <c r="O23" s="33">
        <v>-2</v>
      </c>
      <c r="P23" s="33">
        <v>-4</v>
      </c>
      <c r="Q23" s="33">
        <v>-13</v>
      </c>
      <c r="R23" s="33">
        <v>-9</v>
      </c>
      <c r="S23" s="33">
        <v>-4</v>
      </c>
      <c r="T23" s="33">
        <v>-3</v>
      </c>
      <c r="U23" s="33">
        <v>1</v>
      </c>
      <c r="V23" s="33">
        <v>1</v>
      </c>
      <c r="W23" s="33">
        <v>3</v>
      </c>
      <c r="X23" s="33">
        <v>3</v>
      </c>
      <c r="Y23" s="33">
        <v>10</v>
      </c>
      <c r="Z23" s="33">
        <v>10</v>
      </c>
      <c r="AA23" s="33">
        <v>9</v>
      </c>
      <c r="AB23" s="33">
        <v>6</v>
      </c>
      <c r="AC23" s="33">
        <v>5</v>
      </c>
      <c r="AD23" s="33">
        <v>4</v>
      </c>
      <c r="AE23" s="33">
        <v>10</v>
      </c>
      <c r="AF23" s="33">
        <v>4</v>
      </c>
      <c r="AG23" s="33">
        <v>5</v>
      </c>
      <c r="AH23" s="33">
        <v>4</v>
      </c>
      <c r="AI23" s="33">
        <v>1</v>
      </c>
      <c r="AJ23" s="33">
        <v>1</v>
      </c>
      <c r="AK23" s="33">
        <v>3</v>
      </c>
      <c r="AL23" s="33">
        <v>7</v>
      </c>
      <c r="AM23" s="33">
        <v>13</v>
      </c>
      <c r="AN23" s="33">
        <v>8</v>
      </c>
      <c r="AO23" s="33">
        <v>11</v>
      </c>
      <c r="AP23" s="33">
        <v>9</v>
      </c>
      <c r="AQ23" s="33">
        <v>6</v>
      </c>
      <c r="AR23" s="33">
        <v>6</v>
      </c>
      <c r="AS23" s="33">
        <v>8</v>
      </c>
      <c r="AT23" s="33">
        <v>4</v>
      </c>
      <c r="AU23" s="33">
        <v>4</v>
      </c>
      <c r="AV23" s="33">
        <v>1</v>
      </c>
      <c r="AW23" s="33">
        <v>-2</v>
      </c>
      <c r="AX23" s="33">
        <v>1</v>
      </c>
      <c r="AY23" s="33">
        <v>3</v>
      </c>
      <c r="AZ23" s="33">
        <v>-1</v>
      </c>
      <c r="BA23" s="33">
        <v>1</v>
      </c>
      <c r="BB23" s="33">
        <v>2</v>
      </c>
      <c r="BC23" s="33">
        <v>1</v>
      </c>
      <c r="BD23" s="33">
        <v>-3</v>
      </c>
      <c r="BE23" s="33">
        <v>4</v>
      </c>
      <c r="BF23" s="33">
        <v>-1</v>
      </c>
      <c r="BG23" s="33">
        <v>-1</v>
      </c>
      <c r="BH23" s="33">
        <v>1</v>
      </c>
      <c r="BI23" s="33">
        <v>-2</v>
      </c>
      <c r="BJ23" s="33">
        <v>2</v>
      </c>
      <c r="BK23" s="33">
        <v>1</v>
      </c>
      <c r="BL23" s="33">
        <v>1</v>
      </c>
      <c r="BM23" s="33">
        <v>3</v>
      </c>
      <c r="BN23" s="33">
        <v>-2</v>
      </c>
      <c r="BO23" s="33">
        <v>-5</v>
      </c>
      <c r="BP23" s="33">
        <v>-7</v>
      </c>
      <c r="BQ23" s="33">
        <v>-6</v>
      </c>
      <c r="BR23" s="33">
        <v>-8</v>
      </c>
      <c r="BS23" s="33">
        <v>-9</v>
      </c>
      <c r="BT23" s="33">
        <v>-7</v>
      </c>
      <c r="BU23" s="33">
        <v>-2</v>
      </c>
      <c r="BV23" s="33">
        <v>3</v>
      </c>
      <c r="BW23" s="33">
        <v>1</v>
      </c>
      <c r="BX23" s="33">
        <v>3</v>
      </c>
      <c r="BY23" s="33">
        <v>-2</v>
      </c>
      <c r="BZ23" s="33">
        <v>-3</v>
      </c>
      <c r="CA23" s="33">
        <v>-2</v>
      </c>
      <c r="CB23" s="33">
        <v>-3</v>
      </c>
      <c r="CC23" s="33">
        <v>-7</v>
      </c>
      <c r="CD23" s="33">
        <v>-4</v>
      </c>
      <c r="CE23" s="33">
        <v>4</v>
      </c>
    </row>
    <row r="24" spans="1:83" x14ac:dyDescent="0.25">
      <c r="A24" s="51"/>
      <c r="B24" s="32" t="s">
        <v>485</v>
      </c>
      <c r="D24" s="33">
        <f t="shared" si="4"/>
        <v>6</v>
      </c>
      <c r="E24" s="33">
        <v>-3</v>
      </c>
      <c r="F24" s="33">
        <v>-3</v>
      </c>
      <c r="G24" s="33">
        <v>-3</v>
      </c>
      <c r="H24" s="33">
        <v>9</v>
      </c>
      <c r="I24" s="33">
        <v>6</v>
      </c>
      <c r="J24" s="33">
        <v>-13</v>
      </c>
      <c r="K24" s="33">
        <v>2</v>
      </c>
      <c r="L24" s="33">
        <v>-13</v>
      </c>
      <c r="M24" s="33">
        <v>-12</v>
      </c>
      <c r="N24" s="33">
        <v>7</v>
      </c>
      <c r="O24" s="33">
        <v>14</v>
      </c>
      <c r="P24" s="33">
        <v>7</v>
      </c>
      <c r="Q24" s="33">
        <v>-5</v>
      </c>
      <c r="R24" s="33">
        <v>1</v>
      </c>
      <c r="S24" s="33">
        <v>12</v>
      </c>
      <c r="T24" s="33">
        <v>13</v>
      </c>
      <c r="U24" s="33">
        <v>15</v>
      </c>
      <c r="V24" s="33">
        <v>13</v>
      </c>
      <c r="W24" s="33">
        <v>7</v>
      </c>
      <c r="X24" s="33">
        <v>13</v>
      </c>
      <c r="Y24" s="33">
        <v>14</v>
      </c>
      <c r="Z24" s="33">
        <v>7</v>
      </c>
      <c r="AA24" s="33">
        <v>8</v>
      </c>
      <c r="AB24" s="33">
        <v>0</v>
      </c>
      <c r="AC24" s="33">
        <v>1</v>
      </c>
      <c r="AD24" s="33">
        <v>3</v>
      </c>
      <c r="AE24" s="33">
        <v>2</v>
      </c>
      <c r="AF24" s="33">
        <v>2</v>
      </c>
      <c r="AG24" s="33">
        <v>4</v>
      </c>
      <c r="AH24" s="33">
        <v>-1</v>
      </c>
      <c r="AI24" s="33">
        <v>-2</v>
      </c>
      <c r="AJ24" s="33">
        <v>0</v>
      </c>
      <c r="AK24" s="33">
        <v>-3</v>
      </c>
      <c r="AL24" s="33">
        <v>0</v>
      </c>
      <c r="AM24" s="33">
        <v>-1</v>
      </c>
      <c r="AN24" s="33">
        <v>-2</v>
      </c>
      <c r="AO24" s="33">
        <v>1</v>
      </c>
      <c r="AP24" s="33">
        <v>0</v>
      </c>
      <c r="AQ24" s="33">
        <v>-2</v>
      </c>
      <c r="AR24" s="33">
        <v>-7</v>
      </c>
      <c r="AS24" s="33">
        <v>-7</v>
      </c>
      <c r="AT24" s="33">
        <v>-5</v>
      </c>
      <c r="AU24" s="33">
        <v>-9</v>
      </c>
      <c r="AV24" s="33">
        <v>-11</v>
      </c>
      <c r="AW24" s="33">
        <v>-13</v>
      </c>
      <c r="AX24" s="33">
        <v>-15</v>
      </c>
      <c r="AY24" s="33">
        <v>-12</v>
      </c>
      <c r="AZ24" s="33">
        <v>-7</v>
      </c>
      <c r="BA24" s="33">
        <v>-10</v>
      </c>
      <c r="BB24" s="33">
        <v>-14</v>
      </c>
      <c r="BC24" s="33">
        <v>-10</v>
      </c>
      <c r="BD24" s="33">
        <v>-12</v>
      </c>
      <c r="BE24" s="33">
        <v>-3</v>
      </c>
      <c r="BF24" s="33">
        <v>-6</v>
      </c>
      <c r="BG24" s="33">
        <v>-8</v>
      </c>
      <c r="BH24" s="33">
        <v>-2</v>
      </c>
      <c r="BI24" s="33">
        <v>-8</v>
      </c>
      <c r="BJ24" s="33">
        <v>-13</v>
      </c>
      <c r="BK24" s="33">
        <v>-5</v>
      </c>
      <c r="BL24" s="33">
        <v>0</v>
      </c>
      <c r="BM24" s="33">
        <v>-4</v>
      </c>
      <c r="BN24" s="33">
        <v>-7</v>
      </c>
      <c r="BO24" s="33">
        <v>-6</v>
      </c>
      <c r="BP24" s="33">
        <v>-4</v>
      </c>
      <c r="BQ24" s="33">
        <v>-5</v>
      </c>
      <c r="BR24" s="33">
        <v>-11</v>
      </c>
      <c r="BS24" s="33">
        <v>0</v>
      </c>
      <c r="BT24" s="33">
        <v>0</v>
      </c>
      <c r="BU24" s="33">
        <v>5</v>
      </c>
      <c r="BV24" s="33">
        <v>-6</v>
      </c>
      <c r="BW24" s="33">
        <v>7</v>
      </c>
      <c r="BX24" s="33">
        <v>-7</v>
      </c>
      <c r="BY24" s="33">
        <v>-6</v>
      </c>
      <c r="BZ24" s="33">
        <v>-6</v>
      </c>
      <c r="CA24" s="33">
        <v>-5</v>
      </c>
      <c r="CB24" s="33">
        <v>-6</v>
      </c>
      <c r="CC24" s="33">
        <v>-9</v>
      </c>
      <c r="CD24" s="33">
        <v>-11</v>
      </c>
      <c r="CE24" s="33">
        <v>-7</v>
      </c>
    </row>
    <row r="25" spans="1:83" s="39" customFormat="1" ht="15" x14ac:dyDescent="0.25">
      <c r="B25" s="44" t="s">
        <v>471</v>
      </c>
      <c r="E25" s="40"/>
      <c r="F25" s="40"/>
      <c r="G25" s="40"/>
      <c r="H25" s="45">
        <f>AVERAGE(H26:H43)</f>
        <v>-1.5</v>
      </c>
      <c r="I25" s="45">
        <f t="shared" ref="I25:P25" si="5">AVERAGE(I26:I43)</f>
        <v>-3.3333333333333335</v>
      </c>
      <c r="J25" s="45">
        <f t="shared" si="5"/>
        <v>-3.3333333333333335</v>
      </c>
      <c r="K25" s="45">
        <f t="shared" si="5"/>
        <v>9.5</v>
      </c>
      <c r="L25" s="45">
        <f t="shared" si="5"/>
        <v>9.5</v>
      </c>
      <c r="M25" s="45">
        <f t="shared" si="5"/>
        <v>9.5</v>
      </c>
      <c r="N25" s="45">
        <f t="shared" si="5"/>
        <v>9.5</v>
      </c>
      <c r="O25" s="45">
        <f t="shared" si="5"/>
        <v>9.5</v>
      </c>
      <c r="P25" s="45">
        <f t="shared" si="5"/>
        <v>9.5</v>
      </c>
      <c r="Q25" s="45"/>
      <c r="R25" s="45"/>
      <c r="S25" s="45"/>
      <c r="T25" s="45"/>
      <c r="U25" s="45"/>
      <c r="V25" s="45"/>
      <c r="W25" s="45"/>
      <c r="X25" s="45"/>
      <c r="Y25" s="45"/>
    </row>
    <row r="26" spans="1:83" s="34" customFormat="1" x14ac:dyDescent="0.25">
      <c r="A26" s="51" t="s">
        <v>471</v>
      </c>
      <c r="B26" s="38" t="s">
        <v>482</v>
      </c>
      <c r="C26" s="21"/>
      <c r="D26" s="33">
        <f>SUM(S26:X26)</f>
        <v>71</v>
      </c>
      <c r="E26" s="41"/>
      <c r="F26" s="41"/>
      <c r="G26" s="33">
        <v>-6</v>
      </c>
      <c r="H26" s="33">
        <v>-10</v>
      </c>
      <c r="I26" s="33">
        <v>-11</v>
      </c>
      <c r="J26" s="33">
        <v>-11</v>
      </c>
      <c r="K26" s="33">
        <f t="shared" ref="K26:T41" si="6">_xlfn.RANK.AVG(K7,K$7:K$24,1)</f>
        <v>2</v>
      </c>
      <c r="L26" s="33">
        <f t="shared" si="6"/>
        <v>18</v>
      </c>
      <c r="M26" s="33">
        <f t="shared" si="6"/>
        <v>14</v>
      </c>
      <c r="N26" s="33">
        <f t="shared" si="6"/>
        <v>2</v>
      </c>
      <c r="O26" s="33">
        <f t="shared" si="6"/>
        <v>4</v>
      </c>
      <c r="P26" s="33">
        <f t="shared" si="6"/>
        <v>16</v>
      </c>
      <c r="Q26" s="33">
        <f t="shared" si="6"/>
        <v>16</v>
      </c>
      <c r="R26" s="33">
        <f t="shared" si="6"/>
        <v>16</v>
      </c>
      <c r="S26" s="33">
        <f>_xlfn.RANK.AVG(S7,S$7:S$24,1)</f>
        <v>14</v>
      </c>
      <c r="T26" s="33">
        <f>_xlfn.RANK.AVG(T7,T$7:T$24,1)</f>
        <v>11</v>
      </c>
      <c r="U26" s="33">
        <f>_xlfn.RANK.AVG(U7,$U$7:$U$24,1)</f>
        <v>9</v>
      </c>
      <c r="V26" s="33">
        <f>_xlfn.RANK.AVG(V7,$V$7:$V$24,1)</f>
        <v>1</v>
      </c>
      <c r="W26" s="33">
        <f t="shared" ref="W26:AH41" si="7">_xlfn.RANK.AVG(W7,W$7:W$24,1)</f>
        <v>18</v>
      </c>
      <c r="X26" s="33">
        <f t="shared" si="7"/>
        <v>18</v>
      </c>
      <c r="Y26" s="33">
        <f>_xlfn.RANK.AVG(Y7,Y$7:Y$24,1)</f>
        <v>18</v>
      </c>
      <c r="Z26" s="33">
        <f t="shared" ref="Z26:BC35" si="8">_xlfn.RANK.AVG(Z7,Z$7:Z$24,1)</f>
        <v>11</v>
      </c>
      <c r="AA26" s="33">
        <f t="shared" si="8"/>
        <v>7</v>
      </c>
      <c r="AB26" s="33">
        <f t="shared" si="8"/>
        <v>14</v>
      </c>
      <c r="AC26" s="33">
        <f t="shared" si="8"/>
        <v>6</v>
      </c>
      <c r="AD26" s="33">
        <f t="shared" si="8"/>
        <v>2</v>
      </c>
      <c r="AE26" s="33">
        <f t="shared" si="8"/>
        <v>1</v>
      </c>
      <c r="AF26" s="33">
        <f t="shared" si="8"/>
        <v>16</v>
      </c>
      <c r="AG26" s="33">
        <f t="shared" si="8"/>
        <v>3</v>
      </c>
      <c r="AH26" s="33">
        <f t="shared" si="8"/>
        <v>12</v>
      </c>
      <c r="AI26" s="33">
        <f t="shared" si="8"/>
        <v>18</v>
      </c>
      <c r="AJ26" s="33">
        <f t="shared" si="8"/>
        <v>18</v>
      </c>
      <c r="AK26" s="33">
        <f t="shared" si="8"/>
        <v>18</v>
      </c>
      <c r="AL26" s="33">
        <f t="shared" si="8"/>
        <v>18</v>
      </c>
      <c r="AM26" s="33">
        <f t="shared" si="8"/>
        <v>18</v>
      </c>
      <c r="AN26" s="33">
        <f t="shared" si="8"/>
        <v>18</v>
      </c>
      <c r="AO26" s="33">
        <f t="shared" si="8"/>
        <v>18</v>
      </c>
      <c r="AP26" s="33">
        <f t="shared" si="8"/>
        <v>18</v>
      </c>
      <c r="AQ26" s="33">
        <f t="shared" si="8"/>
        <v>18</v>
      </c>
      <c r="AR26" s="33">
        <f t="shared" si="8"/>
        <v>18</v>
      </c>
      <c r="AS26" s="33">
        <f t="shared" si="8"/>
        <v>2</v>
      </c>
      <c r="AT26" s="33">
        <f t="shared" si="8"/>
        <v>14</v>
      </c>
      <c r="AU26" s="33">
        <f t="shared" si="8"/>
        <v>18</v>
      </c>
      <c r="AV26" s="33">
        <f t="shared" si="8"/>
        <v>18</v>
      </c>
      <c r="AW26" s="33">
        <f t="shared" si="8"/>
        <v>8</v>
      </c>
      <c r="AX26" s="33">
        <f t="shared" si="8"/>
        <v>5</v>
      </c>
      <c r="AY26" s="33">
        <f t="shared" si="8"/>
        <v>18</v>
      </c>
      <c r="AZ26" s="33">
        <f t="shared" si="8"/>
        <v>8</v>
      </c>
      <c r="BA26" s="33">
        <f t="shared" si="8"/>
        <v>17</v>
      </c>
      <c r="BB26" s="33">
        <f t="shared" si="8"/>
        <v>3</v>
      </c>
      <c r="BC26" s="33">
        <f t="shared" si="8"/>
        <v>13</v>
      </c>
      <c r="BD26" s="33">
        <f t="shared" ref="BD26:BE43" si="9">_xlfn.RANK.AVG(BD7,BD$7:BD$24,1)</f>
        <v>1</v>
      </c>
      <c r="BE26" s="33">
        <f t="shared" si="9"/>
        <v>1</v>
      </c>
      <c r="BF26" s="33">
        <f t="shared" ref="BF26:BK35" si="10">_xlfn.RANK.AVG(BF7,BF$7:BF$24,1)</f>
        <v>12.5</v>
      </c>
      <c r="BG26" s="33">
        <f t="shared" si="10"/>
        <v>15</v>
      </c>
      <c r="BH26" s="33">
        <f t="shared" si="10"/>
        <v>5</v>
      </c>
      <c r="BI26" s="33">
        <f t="shared" si="10"/>
        <v>2</v>
      </c>
      <c r="BJ26" s="33">
        <f t="shared" si="10"/>
        <v>18</v>
      </c>
      <c r="BK26" s="33">
        <f t="shared" si="10"/>
        <v>18</v>
      </c>
      <c r="BL26" s="33">
        <f t="shared" ref="BL26:BM26" si="11">_xlfn.RANK.AVG(BL7,BL$7:BL$24,1)</f>
        <v>8</v>
      </c>
      <c r="BM26" s="33">
        <f t="shared" si="11"/>
        <v>8.5</v>
      </c>
      <c r="BN26" s="33">
        <f t="shared" ref="BN26:BO26" si="12">_xlfn.RANK.AVG(BN7,BN$7:BN$24,1)</f>
        <v>9.5</v>
      </c>
      <c r="BO26" s="33">
        <f t="shared" si="12"/>
        <v>10</v>
      </c>
      <c r="BP26" s="33">
        <f t="shared" ref="BP26:BQ26" si="13">_xlfn.RANK.AVG(BP7,BP$7:BP$24,1)</f>
        <v>12.5</v>
      </c>
      <c r="BQ26" s="33">
        <f t="shared" si="13"/>
        <v>13</v>
      </c>
      <c r="BR26" s="33">
        <f t="shared" ref="BR26:BS26" si="14">_xlfn.RANK.AVG(BR7,BR$7:BR$24,1)</f>
        <v>4</v>
      </c>
      <c r="BS26" s="33">
        <f t="shared" si="14"/>
        <v>18</v>
      </c>
      <c r="BT26" s="33">
        <f t="shared" ref="BT26:BU26" si="15">_xlfn.RANK.AVG(BT7,BT$7:BT$24,1)</f>
        <v>13.5</v>
      </c>
      <c r="BU26" s="33">
        <f t="shared" si="15"/>
        <v>9.5</v>
      </c>
      <c r="BV26" s="33">
        <f t="shared" ref="BV26:BW26" si="16">_xlfn.RANK.AVG(BV7,BV$7:BV$24,1)</f>
        <v>9.5</v>
      </c>
      <c r="BW26" s="33">
        <f t="shared" si="16"/>
        <v>7</v>
      </c>
      <c r="BX26" s="33">
        <f t="shared" ref="BX26:BY26" si="17">_xlfn.RANK.AVG(BX7,BX$7:BX$24,1)</f>
        <v>8.5</v>
      </c>
      <c r="BY26" s="33">
        <f t="shared" si="17"/>
        <v>18</v>
      </c>
      <c r="BZ26" s="33">
        <f t="shared" ref="BZ26:CA26" si="18">_xlfn.RANK.AVG(BZ7,BZ$7:BZ$24,1)</f>
        <v>9.5</v>
      </c>
      <c r="CA26" s="33">
        <f t="shared" si="18"/>
        <v>18</v>
      </c>
      <c r="CB26" s="33">
        <f t="shared" ref="CB26:CC26" si="19">_xlfn.RANK.AVG(CB7,CB$7:CB$24,1)</f>
        <v>18</v>
      </c>
      <c r="CC26" s="33">
        <f t="shared" si="19"/>
        <v>17</v>
      </c>
      <c r="CD26" s="33">
        <f t="shared" ref="CD26:CE26" si="20">_xlfn.RANK.AVG(CD7,CD$7:CD$24,1)</f>
        <v>2</v>
      </c>
      <c r="CE26" s="33">
        <f t="shared" si="20"/>
        <v>2</v>
      </c>
    </row>
    <row r="27" spans="1:83" s="34" customFormat="1" x14ac:dyDescent="0.25">
      <c r="A27" s="51"/>
      <c r="B27" s="32" t="s">
        <v>136</v>
      </c>
      <c r="D27" s="33">
        <f t="shared" ref="D27:D43" si="21">SUM(S27:X27)</f>
        <v>66</v>
      </c>
      <c r="E27" s="41"/>
      <c r="F27" s="41"/>
      <c r="G27" s="33">
        <v>6</v>
      </c>
      <c r="H27" s="33">
        <v>2</v>
      </c>
      <c r="I27" s="33">
        <v>1</v>
      </c>
      <c r="J27" s="33">
        <v>1</v>
      </c>
      <c r="K27" s="33">
        <f t="shared" si="6"/>
        <v>7</v>
      </c>
      <c r="L27" s="33">
        <f t="shared" si="6"/>
        <v>12</v>
      </c>
      <c r="M27" s="33">
        <f t="shared" si="6"/>
        <v>11</v>
      </c>
      <c r="N27" s="33">
        <f t="shared" si="6"/>
        <v>12</v>
      </c>
      <c r="O27" s="33">
        <f t="shared" si="6"/>
        <v>5</v>
      </c>
      <c r="P27" s="33">
        <f t="shared" si="6"/>
        <v>13</v>
      </c>
      <c r="Q27" s="33">
        <f t="shared" si="6"/>
        <v>15</v>
      </c>
      <c r="R27" s="33">
        <f t="shared" si="6"/>
        <v>9</v>
      </c>
      <c r="S27" s="33">
        <f t="shared" si="6"/>
        <v>10</v>
      </c>
      <c r="T27" s="33">
        <f t="shared" si="6"/>
        <v>12</v>
      </c>
      <c r="U27" s="33">
        <f t="shared" ref="U27:U43" si="22">_xlfn.RANK.AVG(U8,$U$7:$U$24,1)</f>
        <v>14</v>
      </c>
      <c r="V27" s="33">
        <f t="shared" ref="V27:V43" si="23">_xlfn.RANK.AVG(V8,$V$7:$V$24,1)</f>
        <v>11</v>
      </c>
      <c r="W27" s="33">
        <f t="shared" si="7"/>
        <v>9</v>
      </c>
      <c r="X27" s="33">
        <f t="shared" si="7"/>
        <v>10</v>
      </c>
      <c r="Y27" s="33">
        <f t="shared" si="7"/>
        <v>9</v>
      </c>
      <c r="Z27" s="33">
        <f t="shared" si="7"/>
        <v>15</v>
      </c>
      <c r="AA27" s="33">
        <f t="shared" si="8"/>
        <v>14</v>
      </c>
      <c r="AB27" s="33">
        <f t="shared" si="8"/>
        <v>6</v>
      </c>
      <c r="AC27" s="33">
        <f t="shared" si="8"/>
        <v>11</v>
      </c>
      <c r="AD27" s="33">
        <f t="shared" si="8"/>
        <v>8</v>
      </c>
      <c r="AE27" s="33">
        <f t="shared" si="8"/>
        <v>13</v>
      </c>
      <c r="AF27" s="33">
        <f t="shared" si="8"/>
        <v>9</v>
      </c>
      <c r="AG27" s="33">
        <f t="shared" si="8"/>
        <v>11</v>
      </c>
      <c r="AH27" s="33">
        <f t="shared" si="8"/>
        <v>13</v>
      </c>
      <c r="AI27" s="33">
        <f t="shared" si="8"/>
        <v>10</v>
      </c>
      <c r="AJ27" s="33">
        <f t="shared" si="8"/>
        <v>9</v>
      </c>
      <c r="AK27" s="33">
        <f t="shared" si="8"/>
        <v>11</v>
      </c>
      <c r="AL27" s="33">
        <f t="shared" si="8"/>
        <v>7</v>
      </c>
      <c r="AM27" s="33">
        <f t="shared" si="8"/>
        <v>4</v>
      </c>
      <c r="AN27" s="33">
        <f t="shared" si="8"/>
        <v>8</v>
      </c>
      <c r="AO27" s="33">
        <f t="shared" si="8"/>
        <v>6</v>
      </c>
      <c r="AP27" s="33">
        <f t="shared" si="8"/>
        <v>7</v>
      </c>
      <c r="AQ27" s="33">
        <f t="shared" si="8"/>
        <v>4</v>
      </c>
      <c r="AR27" s="33">
        <f t="shared" si="8"/>
        <v>7</v>
      </c>
      <c r="AS27" s="33">
        <f t="shared" si="8"/>
        <v>5</v>
      </c>
      <c r="AT27" s="33">
        <f t="shared" si="8"/>
        <v>6</v>
      </c>
      <c r="AU27" s="33">
        <f t="shared" si="8"/>
        <v>7</v>
      </c>
      <c r="AV27" s="33">
        <f t="shared" si="8"/>
        <v>7</v>
      </c>
      <c r="AW27" s="33">
        <f t="shared" si="8"/>
        <v>3</v>
      </c>
      <c r="AX27" s="33">
        <f t="shared" si="8"/>
        <v>11</v>
      </c>
      <c r="AY27" s="33">
        <f t="shared" si="8"/>
        <v>9</v>
      </c>
      <c r="AZ27" s="33">
        <f t="shared" si="8"/>
        <v>9</v>
      </c>
      <c r="BA27" s="33">
        <f t="shared" si="8"/>
        <v>6</v>
      </c>
      <c r="BB27" s="33">
        <f t="shared" si="8"/>
        <v>8</v>
      </c>
      <c r="BC27" s="33">
        <f t="shared" si="8"/>
        <v>4</v>
      </c>
      <c r="BD27" s="33">
        <f t="shared" si="9"/>
        <v>7</v>
      </c>
      <c r="BE27" s="33">
        <f t="shared" si="9"/>
        <v>8</v>
      </c>
      <c r="BF27" s="33">
        <f t="shared" si="10"/>
        <v>10</v>
      </c>
      <c r="BG27" s="33">
        <f t="shared" si="10"/>
        <v>12</v>
      </c>
      <c r="BH27" s="33">
        <f t="shared" si="10"/>
        <v>11</v>
      </c>
      <c r="BI27" s="33">
        <f t="shared" si="10"/>
        <v>16</v>
      </c>
      <c r="BJ27" s="33">
        <f t="shared" si="10"/>
        <v>15</v>
      </c>
      <c r="BK27" s="33">
        <f t="shared" si="10"/>
        <v>13</v>
      </c>
      <c r="BL27" s="33">
        <f t="shared" ref="BL27:BM27" si="24">_xlfn.RANK.AVG(BL8,BL$7:BL$24,1)</f>
        <v>11</v>
      </c>
      <c r="BM27" s="33">
        <f t="shared" si="24"/>
        <v>11</v>
      </c>
      <c r="BN27" s="33">
        <f t="shared" ref="BN27:BO27" si="25">_xlfn.RANK.AVG(BN8,BN$7:BN$24,1)</f>
        <v>12</v>
      </c>
      <c r="BO27" s="33">
        <f t="shared" si="25"/>
        <v>13</v>
      </c>
      <c r="BP27" s="33">
        <f t="shared" ref="BP27:BQ27" si="26">_xlfn.RANK.AVG(BP8,BP$7:BP$24,1)</f>
        <v>10</v>
      </c>
      <c r="BQ27" s="33">
        <f t="shared" si="26"/>
        <v>11</v>
      </c>
      <c r="BR27" s="33">
        <f t="shared" ref="BR27:BS27" si="27">_xlfn.RANK.AVG(BR8,BR$7:BR$24,1)</f>
        <v>11</v>
      </c>
      <c r="BS27" s="33">
        <f t="shared" si="27"/>
        <v>4</v>
      </c>
      <c r="BT27" s="33">
        <f t="shared" ref="BT27:BU27" si="28">_xlfn.RANK.AVG(BT8,BT$7:BT$24,1)</f>
        <v>3</v>
      </c>
      <c r="BU27" s="33">
        <f t="shared" si="28"/>
        <v>5</v>
      </c>
      <c r="BV27" s="33">
        <f t="shared" ref="BV27:BW27" si="29">_xlfn.RANK.AVG(BV8,BV$7:BV$24,1)</f>
        <v>15</v>
      </c>
      <c r="BW27" s="33">
        <f t="shared" si="29"/>
        <v>12</v>
      </c>
      <c r="BX27" s="33">
        <f t="shared" ref="BX27:BY27" si="30">_xlfn.RANK.AVG(BX8,BX$7:BX$24,1)</f>
        <v>5</v>
      </c>
      <c r="BY27" s="33">
        <f t="shared" si="30"/>
        <v>9</v>
      </c>
      <c r="BZ27" s="33">
        <f t="shared" ref="BZ27:CA27" si="31">_xlfn.RANK.AVG(BZ8,BZ$7:BZ$24,1)</f>
        <v>6</v>
      </c>
      <c r="CA27" s="33">
        <f t="shared" si="31"/>
        <v>4</v>
      </c>
      <c r="CB27" s="33">
        <f t="shared" ref="CB27:CC27" si="32">_xlfn.RANK.AVG(CB8,CB$7:CB$24,1)</f>
        <v>3</v>
      </c>
      <c r="CC27" s="33">
        <f t="shared" si="32"/>
        <v>9</v>
      </c>
      <c r="CD27" s="33">
        <f t="shared" ref="CD27:CE27" si="33">_xlfn.RANK.AVG(CD8,CD$7:CD$24,1)</f>
        <v>6</v>
      </c>
      <c r="CE27" s="33">
        <f t="shared" si="33"/>
        <v>9</v>
      </c>
    </row>
    <row r="28" spans="1:83" s="34" customFormat="1" x14ac:dyDescent="0.25">
      <c r="A28" s="51"/>
      <c r="B28" s="32" t="s">
        <v>134</v>
      </c>
      <c r="D28" s="33">
        <f t="shared" si="21"/>
        <v>56</v>
      </c>
      <c r="E28" s="41"/>
      <c r="F28" s="41"/>
      <c r="G28" s="33">
        <v>1</v>
      </c>
      <c r="H28" s="33">
        <v>1</v>
      </c>
      <c r="I28" s="33">
        <v>-1</v>
      </c>
      <c r="J28" s="33">
        <v>-3</v>
      </c>
      <c r="K28" s="33">
        <f>_xlfn.RANK.AVG(K9,K$7:K$24,1)</f>
        <v>14</v>
      </c>
      <c r="L28" s="33">
        <f t="shared" si="6"/>
        <v>14</v>
      </c>
      <c r="M28" s="33">
        <f t="shared" si="6"/>
        <v>10</v>
      </c>
      <c r="N28" s="33">
        <f>_xlfn.RANK.AVG(N9,N$7:N$24,1)</f>
        <v>15</v>
      </c>
      <c r="O28" s="33">
        <f t="shared" si="6"/>
        <v>10</v>
      </c>
      <c r="P28" s="33">
        <f t="shared" si="6"/>
        <v>12</v>
      </c>
      <c r="Q28" s="33">
        <f t="shared" si="6"/>
        <v>13</v>
      </c>
      <c r="R28" s="33">
        <f t="shared" si="6"/>
        <v>10</v>
      </c>
      <c r="S28" s="33">
        <f t="shared" si="6"/>
        <v>12</v>
      </c>
      <c r="T28" s="33">
        <f t="shared" si="6"/>
        <v>10</v>
      </c>
      <c r="U28" s="33">
        <f t="shared" si="22"/>
        <v>13</v>
      </c>
      <c r="V28" s="33">
        <f t="shared" si="23"/>
        <v>6</v>
      </c>
      <c r="W28" s="33">
        <f t="shared" si="7"/>
        <v>7</v>
      </c>
      <c r="X28" s="33">
        <f t="shared" si="7"/>
        <v>8</v>
      </c>
      <c r="Y28" s="33">
        <f t="shared" si="7"/>
        <v>13</v>
      </c>
      <c r="Z28" s="33">
        <f t="shared" si="7"/>
        <v>3</v>
      </c>
      <c r="AA28" s="33">
        <f t="shared" si="8"/>
        <v>8</v>
      </c>
      <c r="AB28" s="33">
        <f t="shared" si="8"/>
        <v>15</v>
      </c>
      <c r="AC28" s="33">
        <f t="shared" si="8"/>
        <v>8</v>
      </c>
      <c r="AD28" s="33">
        <f t="shared" si="8"/>
        <v>13</v>
      </c>
      <c r="AE28" s="33">
        <f t="shared" si="8"/>
        <v>15</v>
      </c>
      <c r="AF28" s="33">
        <f t="shared" si="8"/>
        <v>14</v>
      </c>
      <c r="AG28" s="33">
        <f t="shared" si="8"/>
        <v>17</v>
      </c>
      <c r="AH28" s="33">
        <f t="shared" si="8"/>
        <v>14</v>
      </c>
      <c r="AI28" s="33">
        <f t="shared" si="8"/>
        <v>11</v>
      </c>
      <c r="AJ28" s="33">
        <f t="shared" si="8"/>
        <v>15</v>
      </c>
      <c r="AK28" s="33">
        <f t="shared" si="8"/>
        <v>8</v>
      </c>
      <c r="AL28" s="33">
        <f t="shared" si="8"/>
        <v>8</v>
      </c>
      <c r="AM28" s="33">
        <f t="shared" si="8"/>
        <v>10</v>
      </c>
      <c r="AN28" s="33">
        <f t="shared" si="8"/>
        <v>7</v>
      </c>
      <c r="AO28" s="33">
        <f t="shared" si="8"/>
        <v>14</v>
      </c>
      <c r="AP28" s="33">
        <f t="shared" si="8"/>
        <v>14</v>
      </c>
      <c r="AQ28" s="33">
        <f t="shared" si="8"/>
        <v>15</v>
      </c>
      <c r="AR28" s="33">
        <f t="shared" si="8"/>
        <v>14</v>
      </c>
      <c r="AS28" s="33">
        <f t="shared" si="8"/>
        <v>15</v>
      </c>
      <c r="AT28" s="33">
        <f t="shared" si="8"/>
        <v>11</v>
      </c>
      <c r="AU28" s="33">
        <f t="shared" si="8"/>
        <v>9</v>
      </c>
      <c r="AV28" s="33">
        <f t="shared" si="8"/>
        <v>9</v>
      </c>
      <c r="AW28" s="33">
        <f t="shared" si="8"/>
        <v>9</v>
      </c>
      <c r="AX28" s="33">
        <f t="shared" si="8"/>
        <v>15</v>
      </c>
      <c r="AY28" s="33">
        <f t="shared" si="8"/>
        <v>11</v>
      </c>
      <c r="AZ28" s="33">
        <f t="shared" si="8"/>
        <v>10</v>
      </c>
      <c r="BA28" s="33">
        <f t="shared" si="8"/>
        <v>9</v>
      </c>
      <c r="BB28" s="33">
        <f t="shared" si="8"/>
        <v>10</v>
      </c>
      <c r="BC28" s="33">
        <f t="shared" si="8"/>
        <v>7</v>
      </c>
      <c r="BD28" s="33">
        <f t="shared" si="9"/>
        <v>6</v>
      </c>
      <c r="BE28" s="33">
        <f t="shared" si="9"/>
        <v>9</v>
      </c>
      <c r="BF28" s="33">
        <f t="shared" si="10"/>
        <v>7</v>
      </c>
      <c r="BG28" s="33">
        <f t="shared" si="10"/>
        <v>7</v>
      </c>
      <c r="BH28" s="33">
        <f t="shared" si="10"/>
        <v>4</v>
      </c>
      <c r="BI28" s="33">
        <f t="shared" si="10"/>
        <v>11</v>
      </c>
      <c r="BJ28" s="33">
        <f t="shared" si="10"/>
        <v>6</v>
      </c>
      <c r="BK28" s="33">
        <f t="shared" si="10"/>
        <v>4</v>
      </c>
      <c r="BL28" s="33">
        <f t="shared" ref="BL28:BM28" si="34">_xlfn.RANK.AVG(BL9,BL$7:BL$24,1)</f>
        <v>5</v>
      </c>
      <c r="BM28" s="33">
        <f t="shared" si="34"/>
        <v>8.5</v>
      </c>
      <c r="BN28" s="33">
        <f t="shared" ref="BN28:BO28" si="35">_xlfn.RANK.AVG(BN9,BN$7:BN$24,1)</f>
        <v>4</v>
      </c>
      <c r="BO28" s="33">
        <f t="shared" si="35"/>
        <v>9</v>
      </c>
      <c r="BP28" s="33">
        <f t="shared" ref="BP28:BQ28" si="36">_xlfn.RANK.AVG(BP9,BP$7:BP$24,1)</f>
        <v>11</v>
      </c>
      <c r="BQ28" s="33">
        <f t="shared" si="36"/>
        <v>14</v>
      </c>
      <c r="BR28" s="33">
        <f t="shared" ref="BR28:BS28" si="37">_xlfn.RANK.AVG(BR9,BR$7:BR$24,1)</f>
        <v>13</v>
      </c>
      <c r="BS28" s="33">
        <f t="shared" si="37"/>
        <v>15</v>
      </c>
      <c r="BT28" s="33">
        <f t="shared" ref="BT28:BU28" si="38">_xlfn.RANK.AVG(BT9,BT$7:BT$24,1)</f>
        <v>17</v>
      </c>
      <c r="BU28" s="33">
        <f t="shared" si="38"/>
        <v>9.5</v>
      </c>
      <c r="BV28" s="33">
        <f t="shared" ref="BV28:BW28" si="39">_xlfn.RANK.AVG(BV9,BV$7:BV$24,1)</f>
        <v>6</v>
      </c>
      <c r="BW28" s="33">
        <f t="shared" si="39"/>
        <v>4</v>
      </c>
      <c r="BX28" s="33">
        <f t="shared" ref="BX28:BY28" si="40">_xlfn.RANK.AVG(BX9,BX$7:BX$24,1)</f>
        <v>14</v>
      </c>
      <c r="BY28" s="33">
        <f t="shared" si="40"/>
        <v>13</v>
      </c>
      <c r="BZ28" s="33">
        <f t="shared" ref="BZ28:CA28" si="41">_xlfn.RANK.AVG(BZ9,BZ$7:BZ$24,1)</f>
        <v>9.5</v>
      </c>
      <c r="CA28" s="33">
        <f t="shared" si="41"/>
        <v>13</v>
      </c>
      <c r="CB28" s="33">
        <f t="shared" ref="CB28:CC28" si="42">_xlfn.RANK.AVG(CB9,CB$7:CB$24,1)</f>
        <v>7</v>
      </c>
      <c r="CC28" s="33">
        <f t="shared" si="42"/>
        <v>8</v>
      </c>
      <c r="CD28" s="33">
        <f t="shared" ref="CD28:CE28" si="43">_xlfn.RANK.AVG(CD9,CD$7:CD$24,1)</f>
        <v>11</v>
      </c>
      <c r="CE28" s="33">
        <f t="shared" si="43"/>
        <v>12</v>
      </c>
    </row>
    <row r="29" spans="1:83" s="34" customFormat="1" x14ac:dyDescent="0.25">
      <c r="A29" s="51"/>
      <c r="B29" s="38" t="s">
        <v>152</v>
      </c>
      <c r="D29" s="33">
        <f t="shared" si="21"/>
        <v>51</v>
      </c>
      <c r="E29" s="41"/>
      <c r="F29" s="41"/>
      <c r="G29" s="33">
        <v>0</v>
      </c>
      <c r="H29" s="33">
        <v>-6</v>
      </c>
      <c r="I29" s="33">
        <v>0</v>
      </c>
      <c r="J29" s="33">
        <v>-8</v>
      </c>
      <c r="K29" s="33">
        <f t="shared" si="6"/>
        <v>9</v>
      </c>
      <c r="L29" s="33">
        <f t="shared" si="6"/>
        <v>13</v>
      </c>
      <c r="M29" s="33">
        <f t="shared" si="6"/>
        <v>7</v>
      </c>
      <c r="N29" s="33">
        <f t="shared" si="6"/>
        <v>3</v>
      </c>
      <c r="O29" s="33">
        <f t="shared" si="6"/>
        <v>8</v>
      </c>
      <c r="P29" s="33">
        <f t="shared" si="6"/>
        <v>7.5</v>
      </c>
      <c r="Q29" s="33">
        <f t="shared" si="6"/>
        <v>9</v>
      </c>
      <c r="R29" s="33">
        <f t="shared" si="6"/>
        <v>8</v>
      </c>
      <c r="S29" s="33">
        <f t="shared" si="6"/>
        <v>6</v>
      </c>
      <c r="T29" s="33">
        <f t="shared" si="6"/>
        <v>6</v>
      </c>
      <c r="U29" s="33">
        <f t="shared" si="22"/>
        <v>6</v>
      </c>
      <c r="V29" s="33">
        <f t="shared" si="23"/>
        <v>14</v>
      </c>
      <c r="W29" s="33">
        <f t="shared" si="7"/>
        <v>5</v>
      </c>
      <c r="X29" s="33">
        <f t="shared" si="7"/>
        <v>14</v>
      </c>
      <c r="Y29" s="33">
        <f t="shared" si="7"/>
        <v>5</v>
      </c>
      <c r="Z29" s="33">
        <f t="shared" si="7"/>
        <v>18</v>
      </c>
      <c r="AA29" s="33">
        <f t="shared" si="8"/>
        <v>17</v>
      </c>
      <c r="AB29" s="33">
        <f t="shared" si="8"/>
        <v>17</v>
      </c>
      <c r="AC29" s="33">
        <f t="shared" si="8"/>
        <v>18</v>
      </c>
      <c r="AD29" s="33">
        <f t="shared" si="8"/>
        <v>12</v>
      </c>
      <c r="AE29" s="33">
        <f t="shared" si="8"/>
        <v>16</v>
      </c>
      <c r="AF29" s="33">
        <f t="shared" si="8"/>
        <v>4</v>
      </c>
      <c r="AG29" s="33">
        <f t="shared" si="8"/>
        <v>14</v>
      </c>
      <c r="AH29" s="33">
        <f t="shared" si="8"/>
        <v>15</v>
      </c>
      <c r="AI29" s="33">
        <f t="shared" si="8"/>
        <v>15</v>
      </c>
      <c r="AJ29" s="33">
        <f t="shared" si="8"/>
        <v>16</v>
      </c>
      <c r="AK29" s="33">
        <f t="shared" si="8"/>
        <v>10</v>
      </c>
      <c r="AL29" s="33">
        <f t="shared" si="8"/>
        <v>13</v>
      </c>
      <c r="AM29" s="33">
        <f t="shared" si="8"/>
        <v>11</v>
      </c>
      <c r="AN29" s="33">
        <f t="shared" si="8"/>
        <v>15</v>
      </c>
      <c r="AO29" s="33">
        <f t="shared" si="8"/>
        <v>10</v>
      </c>
      <c r="AP29" s="33">
        <f t="shared" si="8"/>
        <v>4</v>
      </c>
      <c r="AQ29" s="33">
        <f t="shared" si="8"/>
        <v>13</v>
      </c>
      <c r="AR29" s="33">
        <f t="shared" si="8"/>
        <v>8</v>
      </c>
      <c r="AS29" s="33">
        <f t="shared" si="8"/>
        <v>7</v>
      </c>
      <c r="AT29" s="33">
        <f t="shared" si="8"/>
        <v>10</v>
      </c>
      <c r="AU29" s="33">
        <f t="shared" si="8"/>
        <v>11</v>
      </c>
      <c r="AV29" s="33">
        <f t="shared" si="8"/>
        <v>12</v>
      </c>
      <c r="AW29" s="33">
        <f t="shared" si="8"/>
        <v>6</v>
      </c>
      <c r="AX29" s="33">
        <f t="shared" si="8"/>
        <v>7</v>
      </c>
      <c r="AY29" s="33">
        <f t="shared" si="8"/>
        <v>15</v>
      </c>
      <c r="AZ29" s="33">
        <f t="shared" si="8"/>
        <v>11</v>
      </c>
      <c r="BA29" s="33">
        <f t="shared" si="8"/>
        <v>4</v>
      </c>
      <c r="BB29" s="33">
        <f t="shared" si="8"/>
        <v>11</v>
      </c>
      <c r="BC29" s="33">
        <f t="shared" si="8"/>
        <v>6</v>
      </c>
      <c r="BD29" s="33">
        <f t="shared" si="9"/>
        <v>10</v>
      </c>
      <c r="BE29" s="33">
        <f t="shared" si="9"/>
        <v>7</v>
      </c>
      <c r="BF29" s="33">
        <f t="shared" si="10"/>
        <v>9</v>
      </c>
      <c r="BG29" s="33">
        <f t="shared" si="10"/>
        <v>3</v>
      </c>
      <c r="BH29" s="33">
        <f t="shared" si="10"/>
        <v>3</v>
      </c>
      <c r="BI29" s="33">
        <f t="shared" si="10"/>
        <v>14</v>
      </c>
      <c r="BJ29" s="33">
        <f t="shared" si="10"/>
        <v>10</v>
      </c>
      <c r="BK29" s="33">
        <f t="shared" si="10"/>
        <v>7</v>
      </c>
      <c r="BL29" s="33">
        <f t="shared" ref="BL29:BM29" si="44">_xlfn.RANK.AVG(BL10,BL$7:BL$24,1)</f>
        <v>3</v>
      </c>
      <c r="BM29" s="33">
        <f t="shared" si="44"/>
        <v>14</v>
      </c>
      <c r="BN29" s="33">
        <f t="shared" ref="BN29:BO29" si="45">_xlfn.RANK.AVG(BN10,BN$7:BN$24,1)</f>
        <v>9.5</v>
      </c>
      <c r="BO29" s="33">
        <f t="shared" si="45"/>
        <v>8</v>
      </c>
      <c r="BP29" s="33">
        <f t="shared" ref="BP29:BQ29" si="46">_xlfn.RANK.AVG(BP10,BP$7:BP$24,1)</f>
        <v>4</v>
      </c>
      <c r="BQ29" s="33">
        <f t="shared" si="46"/>
        <v>5</v>
      </c>
      <c r="BR29" s="33">
        <f t="shared" ref="BR29:BS29" si="47">_xlfn.RANK.AVG(BR10,BR$7:BR$24,1)</f>
        <v>8</v>
      </c>
      <c r="BS29" s="33">
        <f t="shared" si="47"/>
        <v>5</v>
      </c>
      <c r="BT29" s="33">
        <f t="shared" ref="BT29:BU29" si="48">_xlfn.RANK.AVG(BT10,BT$7:BT$24,1)</f>
        <v>16</v>
      </c>
      <c r="BU29" s="33">
        <f t="shared" si="48"/>
        <v>17</v>
      </c>
      <c r="BV29" s="33">
        <f t="shared" ref="BV29:BW29" si="49">_xlfn.RANK.AVG(BV10,BV$7:BV$24,1)</f>
        <v>11</v>
      </c>
      <c r="BW29" s="33">
        <f t="shared" si="49"/>
        <v>13</v>
      </c>
      <c r="BX29" s="33">
        <f t="shared" ref="BX29:BY29" si="50">_xlfn.RANK.AVG(BX10,BX$7:BX$24,1)</f>
        <v>11</v>
      </c>
      <c r="BY29" s="33">
        <f t="shared" si="50"/>
        <v>15</v>
      </c>
      <c r="BZ29" s="33">
        <f t="shared" ref="BZ29:CA29" si="51">_xlfn.RANK.AVG(BZ10,BZ$7:BZ$24,1)</f>
        <v>14</v>
      </c>
      <c r="CA29" s="33">
        <f t="shared" si="51"/>
        <v>10</v>
      </c>
      <c r="CB29" s="33">
        <f t="shared" ref="CB29:CC29" si="52">_xlfn.RANK.AVG(CB10,CB$7:CB$24,1)</f>
        <v>9</v>
      </c>
      <c r="CC29" s="33">
        <f t="shared" si="52"/>
        <v>7</v>
      </c>
      <c r="CD29" s="33">
        <f t="shared" ref="CD29:CE29" si="53">_xlfn.RANK.AVG(CD10,CD$7:CD$24,1)</f>
        <v>7</v>
      </c>
      <c r="CE29" s="33">
        <f t="shared" si="53"/>
        <v>8</v>
      </c>
    </row>
    <row r="30" spans="1:83" s="34" customFormat="1" x14ac:dyDescent="0.25">
      <c r="A30" s="51"/>
      <c r="B30" s="32" t="s">
        <v>144</v>
      </c>
      <c r="D30" s="33">
        <f t="shared" si="21"/>
        <v>59</v>
      </c>
      <c r="E30" s="41"/>
      <c r="F30" s="41"/>
      <c r="G30" s="33">
        <v>-1</v>
      </c>
      <c r="H30" s="33">
        <v>-7</v>
      </c>
      <c r="I30" s="33">
        <v>-6</v>
      </c>
      <c r="J30" s="33">
        <v>-2</v>
      </c>
      <c r="K30" s="33">
        <f t="shared" si="6"/>
        <v>10</v>
      </c>
      <c r="L30" s="33">
        <f t="shared" si="6"/>
        <v>5</v>
      </c>
      <c r="M30" s="33">
        <f t="shared" si="6"/>
        <v>6</v>
      </c>
      <c r="N30" s="33">
        <f t="shared" si="6"/>
        <v>11</v>
      </c>
      <c r="O30" s="33">
        <f t="shared" si="6"/>
        <v>7</v>
      </c>
      <c r="P30" s="33">
        <f t="shared" si="6"/>
        <v>5</v>
      </c>
      <c r="Q30" s="33">
        <f t="shared" si="6"/>
        <v>5</v>
      </c>
      <c r="R30" s="33">
        <f t="shared" si="6"/>
        <v>5</v>
      </c>
      <c r="S30" s="33">
        <f t="shared" si="6"/>
        <v>3</v>
      </c>
      <c r="T30" s="33">
        <f>_xlfn.RANK.AVG(T11,T$7:T$24,1)</f>
        <v>3</v>
      </c>
      <c r="U30" s="33">
        <f t="shared" si="22"/>
        <v>11</v>
      </c>
      <c r="V30" s="33">
        <f t="shared" si="23"/>
        <v>12</v>
      </c>
      <c r="W30" s="33">
        <f t="shared" si="7"/>
        <v>17</v>
      </c>
      <c r="X30" s="33">
        <f t="shared" si="7"/>
        <v>13</v>
      </c>
      <c r="Y30" s="33">
        <f t="shared" si="7"/>
        <v>15</v>
      </c>
      <c r="Z30" s="33">
        <f t="shared" si="7"/>
        <v>14</v>
      </c>
      <c r="AA30" s="33">
        <f t="shared" si="7"/>
        <v>12</v>
      </c>
      <c r="AB30" s="33">
        <f t="shared" si="7"/>
        <v>12</v>
      </c>
      <c r="AC30" s="33">
        <f t="shared" si="8"/>
        <v>14</v>
      </c>
      <c r="AD30" s="33">
        <f t="shared" si="8"/>
        <v>11</v>
      </c>
      <c r="AE30" s="33">
        <f t="shared" si="8"/>
        <v>12</v>
      </c>
      <c r="AF30" s="33">
        <f t="shared" si="8"/>
        <v>11</v>
      </c>
      <c r="AG30" s="33">
        <f t="shared" si="8"/>
        <v>13</v>
      </c>
      <c r="AH30" s="33">
        <f t="shared" si="8"/>
        <v>6</v>
      </c>
      <c r="AI30" s="33">
        <f t="shared" si="8"/>
        <v>9</v>
      </c>
      <c r="AJ30" s="33">
        <f t="shared" si="8"/>
        <v>7</v>
      </c>
      <c r="AK30" s="33">
        <f t="shared" si="8"/>
        <v>9</v>
      </c>
      <c r="AL30" s="33">
        <f t="shared" si="8"/>
        <v>9</v>
      </c>
      <c r="AM30" s="33">
        <f t="shared" si="8"/>
        <v>7</v>
      </c>
      <c r="AN30" s="33">
        <f t="shared" si="8"/>
        <v>10</v>
      </c>
      <c r="AO30" s="33">
        <f t="shared" si="8"/>
        <v>4</v>
      </c>
      <c r="AP30" s="33">
        <f t="shared" si="8"/>
        <v>8</v>
      </c>
      <c r="AQ30" s="33">
        <f t="shared" si="8"/>
        <v>8</v>
      </c>
      <c r="AR30" s="33">
        <f t="shared" si="8"/>
        <v>5</v>
      </c>
      <c r="AS30" s="33">
        <f t="shared" si="8"/>
        <v>6</v>
      </c>
      <c r="AT30" s="33">
        <f t="shared" si="8"/>
        <v>7</v>
      </c>
      <c r="AU30" s="33">
        <f t="shared" si="8"/>
        <v>6</v>
      </c>
      <c r="AV30" s="33">
        <f t="shared" si="8"/>
        <v>5</v>
      </c>
      <c r="AW30" s="33">
        <f t="shared" si="8"/>
        <v>2</v>
      </c>
      <c r="AX30" s="33">
        <f t="shared" si="8"/>
        <v>10</v>
      </c>
      <c r="AY30" s="33">
        <f t="shared" si="8"/>
        <v>12</v>
      </c>
      <c r="AZ30" s="33">
        <f t="shared" si="8"/>
        <v>16</v>
      </c>
      <c r="BA30" s="33">
        <f t="shared" si="8"/>
        <v>15</v>
      </c>
      <c r="BB30" s="33">
        <f t="shared" si="8"/>
        <v>15</v>
      </c>
      <c r="BC30" s="33">
        <f t="shared" si="8"/>
        <v>9</v>
      </c>
      <c r="BD30" s="33">
        <f t="shared" si="9"/>
        <v>13</v>
      </c>
      <c r="BE30" s="33">
        <f t="shared" si="9"/>
        <v>5</v>
      </c>
      <c r="BF30" s="33">
        <f t="shared" si="10"/>
        <v>5</v>
      </c>
      <c r="BG30" s="33">
        <f t="shared" si="10"/>
        <v>5</v>
      </c>
      <c r="BH30" s="33">
        <f t="shared" si="10"/>
        <v>12</v>
      </c>
      <c r="BI30" s="33">
        <f t="shared" si="10"/>
        <v>10</v>
      </c>
      <c r="BJ30" s="33">
        <f t="shared" si="10"/>
        <v>7</v>
      </c>
      <c r="BK30" s="33">
        <f t="shared" si="10"/>
        <v>14</v>
      </c>
      <c r="BL30" s="33">
        <f t="shared" ref="BL30:BM30" si="54">_xlfn.RANK.AVG(BL11,BL$7:BL$24,1)</f>
        <v>12</v>
      </c>
      <c r="BM30" s="33">
        <f t="shared" si="54"/>
        <v>6</v>
      </c>
      <c r="BN30" s="33">
        <f t="shared" ref="BN30:BO30" si="55">_xlfn.RANK.AVG(BN11,BN$7:BN$24,1)</f>
        <v>13</v>
      </c>
      <c r="BO30" s="33">
        <f t="shared" si="55"/>
        <v>3</v>
      </c>
      <c r="BP30" s="33">
        <f t="shared" ref="BP30:BQ30" si="56">_xlfn.RANK.AVG(BP11,BP$7:BP$24,1)</f>
        <v>6</v>
      </c>
      <c r="BQ30" s="33">
        <f t="shared" si="56"/>
        <v>6</v>
      </c>
      <c r="BR30" s="33">
        <f t="shared" ref="BR30:BS30" si="57">_xlfn.RANK.AVG(BR11,BR$7:BR$24,1)</f>
        <v>12</v>
      </c>
      <c r="BS30" s="33">
        <f t="shared" si="57"/>
        <v>10</v>
      </c>
      <c r="BT30" s="33">
        <f t="shared" ref="BT30:BU30" si="58">_xlfn.RANK.AVG(BT11,BT$7:BT$24,1)</f>
        <v>6</v>
      </c>
      <c r="BU30" s="33">
        <f t="shared" si="58"/>
        <v>2</v>
      </c>
      <c r="BV30" s="33">
        <f t="shared" ref="BV30:BW30" si="59">_xlfn.RANK.AVG(BV11,BV$7:BV$24,1)</f>
        <v>4</v>
      </c>
      <c r="BW30" s="33">
        <f t="shared" si="59"/>
        <v>10</v>
      </c>
      <c r="BX30" s="33">
        <f t="shared" ref="BX30:BY30" si="60">_xlfn.RANK.AVG(BX11,BX$7:BX$24,1)</f>
        <v>16</v>
      </c>
      <c r="BY30" s="33">
        <f t="shared" si="60"/>
        <v>6</v>
      </c>
      <c r="BZ30" s="33">
        <f t="shared" ref="BZ30:CA30" si="61">_xlfn.RANK.AVG(BZ11,BZ$7:BZ$24,1)</f>
        <v>13</v>
      </c>
      <c r="CA30" s="33">
        <f t="shared" si="61"/>
        <v>6</v>
      </c>
      <c r="CB30" s="33">
        <f t="shared" ref="CB30:CC30" si="62">_xlfn.RANK.AVG(CB11,CB$7:CB$24,1)</f>
        <v>6</v>
      </c>
      <c r="CC30" s="33">
        <f t="shared" si="62"/>
        <v>10</v>
      </c>
      <c r="CD30" s="33">
        <f t="shared" ref="CD30:CE30" si="63">_xlfn.RANK.AVG(CD11,CD$7:CD$24,1)</f>
        <v>15</v>
      </c>
      <c r="CE30" s="33">
        <f t="shared" si="63"/>
        <v>14</v>
      </c>
    </row>
    <row r="31" spans="1:83" s="34" customFormat="1" x14ac:dyDescent="0.25">
      <c r="A31" s="51"/>
      <c r="B31" s="32" t="s">
        <v>140</v>
      </c>
      <c r="D31" s="33">
        <f t="shared" si="21"/>
        <v>77</v>
      </c>
      <c r="E31" s="41"/>
      <c r="F31" s="41"/>
      <c r="G31" s="33">
        <v>5</v>
      </c>
      <c r="H31" s="33">
        <v>4</v>
      </c>
      <c r="I31" s="33">
        <v>0</v>
      </c>
      <c r="J31" s="33">
        <v>2</v>
      </c>
      <c r="K31" s="33">
        <f t="shared" si="6"/>
        <v>16</v>
      </c>
      <c r="L31" s="33">
        <f t="shared" si="6"/>
        <v>17</v>
      </c>
      <c r="M31" s="33">
        <f t="shared" si="6"/>
        <v>17</v>
      </c>
      <c r="N31" s="33">
        <f t="shared" si="6"/>
        <v>16</v>
      </c>
      <c r="O31" s="33">
        <f t="shared" si="6"/>
        <v>11</v>
      </c>
      <c r="P31" s="33">
        <f t="shared" si="6"/>
        <v>17</v>
      </c>
      <c r="Q31" s="33">
        <f t="shared" si="6"/>
        <v>17</v>
      </c>
      <c r="R31" s="33">
        <f t="shared" si="6"/>
        <v>15</v>
      </c>
      <c r="S31" s="33">
        <f t="shared" si="6"/>
        <v>13</v>
      </c>
      <c r="T31" s="33">
        <f t="shared" si="6"/>
        <v>14</v>
      </c>
      <c r="U31" s="33">
        <f t="shared" si="22"/>
        <v>16</v>
      </c>
      <c r="V31" s="33">
        <f t="shared" si="23"/>
        <v>16</v>
      </c>
      <c r="W31" s="33">
        <f t="shared" si="7"/>
        <v>15</v>
      </c>
      <c r="X31" s="33">
        <f t="shared" si="7"/>
        <v>3</v>
      </c>
      <c r="Y31" s="33">
        <f t="shared" si="7"/>
        <v>4</v>
      </c>
      <c r="Z31" s="33">
        <f t="shared" si="7"/>
        <v>8</v>
      </c>
      <c r="AA31" s="33">
        <f t="shared" si="7"/>
        <v>6</v>
      </c>
      <c r="AB31" s="33">
        <f t="shared" si="7"/>
        <v>11</v>
      </c>
      <c r="AC31" s="33">
        <f t="shared" si="8"/>
        <v>9</v>
      </c>
      <c r="AD31" s="33">
        <f t="shared" si="8"/>
        <v>10</v>
      </c>
      <c r="AE31" s="33">
        <f t="shared" si="8"/>
        <v>6</v>
      </c>
      <c r="AF31" s="33">
        <f t="shared" si="8"/>
        <v>8</v>
      </c>
      <c r="AG31" s="33">
        <f t="shared" si="8"/>
        <v>9</v>
      </c>
      <c r="AH31" s="33">
        <f t="shared" si="8"/>
        <v>7</v>
      </c>
      <c r="AI31" s="33">
        <f t="shared" si="8"/>
        <v>12</v>
      </c>
      <c r="AJ31" s="33">
        <f t="shared" si="8"/>
        <v>11</v>
      </c>
      <c r="AK31" s="33">
        <f t="shared" si="8"/>
        <v>7</v>
      </c>
      <c r="AL31" s="33">
        <f t="shared" si="8"/>
        <v>12</v>
      </c>
      <c r="AM31" s="33">
        <f t="shared" si="8"/>
        <v>6</v>
      </c>
      <c r="AN31" s="33">
        <f t="shared" si="8"/>
        <v>16</v>
      </c>
      <c r="AO31" s="33">
        <f t="shared" si="8"/>
        <v>13</v>
      </c>
      <c r="AP31" s="33">
        <f t="shared" si="8"/>
        <v>13</v>
      </c>
      <c r="AQ31" s="33">
        <f t="shared" si="8"/>
        <v>5</v>
      </c>
      <c r="AR31" s="33">
        <f t="shared" si="8"/>
        <v>6</v>
      </c>
      <c r="AS31" s="33">
        <f t="shared" si="8"/>
        <v>9</v>
      </c>
      <c r="AT31" s="33">
        <f t="shared" si="8"/>
        <v>12</v>
      </c>
      <c r="AU31" s="33">
        <f t="shared" si="8"/>
        <v>10</v>
      </c>
      <c r="AV31" s="33">
        <f t="shared" si="8"/>
        <v>10</v>
      </c>
      <c r="AW31" s="33">
        <f t="shared" si="8"/>
        <v>11</v>
      </c>
      <c r="AX31" s="33">
        <f t="shared" si="8"/>
        <v>13</v>
      </c>
      <c r="AY31" s="33">
        <f t="shared" si="8"/>
        <v>8</v>
      </c>
      <c r="AZ31" s="33">
        <f t="shared" si="8"/>
        <v>7</v>
      </c>
      <c r="BA31" s="33">
        <f t="shared" si="8"/>
        <v>10</v>
      </c>
      <c r="BB31" s="33">
        <f t="shared" si="8"/>
        <v>9</v>
      </c>
      <c r="BC31" s="33">
        <f t="shared" si="8"/>
        <v>10</v>
      </c>
      <c r="BD31" s="33">
        <f t="shared" si="9"/>
        <v>9</v>
      </c>
      <c r="BE31" s="33">
        <f t="shared" si="9"/>
        <v>16</v>
      </c>
      <c r="BF31" s="33">
        <f t="shared" si="10"/>
        <v>17</v>
      </c>
      <c r="BG31" s="33">
        <f t="shared" si="10"/>
        <v>18</v>
      </c>
      <c r="BH31" s="33">
        <f t="shared" si="10"/>
        <v>18</v>
      </c>
      <c r="BI31" s="33">
        <f t="shared" si="10"/>
        <v>17</v>
      </c>
      <c r="BJ31" s="33">
        <f t="shared" si="10"/>
        <v>9</v>
      </c>
      <c r="BK31" s="33">
        <f t="shared" si="10"/>
        <v>5</v>
      </c>
      <c r="BL31" s="33">
        <f t="shared" ref="BL31:BM31" si="64">_xlfn.RANK.AVG(BL12,BL$7:BL$24,1)</f>
        <v>13</v>
      </c>
      <c r="BM31" s="33">
        <f t="shared" si="64"/>
        <v>5</v>
      </c>
      <c r="BN31" s="33">
        <f t="shared" ref="BN31:BO31" si="65">_xlfn.RANK.AVG(BN12,BN$7:BN$24,1)</f>
        <v>7</v>
      </c>
      <c r="BO31" s="33">
        <f t="shared" si="65"/>
        <v>7</v>
      </c>
      <c r="BP31" s="33">
        <f t="shared" ref="BP31:BQ31" si="66">_xlfn.RANK.AVG(BP12,BP$7:BP$24,1)</f>
        <v>7</v>
      </c>
      <c r="BQ31" s="33">
        <f t="shared" si="66"/>
        <v>15</v>
      </c>
      <c r="BR31" s="33">
        <f t="shared" ref="BR31:BS31" si="67">_xlfn.RANK.AVG(BR12,BR$7:BR$24,1)</f>
        <v>17</v>
      </c>
      <c r="BS31" s="33">
        <f t="shared" si="67"/>
        <v>17</v>
      </c>
      <c r="BT31" s="33">
        <f t="shared" ref="BT31:BU31" si="68">_xlfn.RANK.AVG(BT12,BT$7:BT$24,1)</f>
        <v>18</v>
      </c>
      <c r="BU31" s="33">
        <f t="shared" si="68"/>
        <v>9.5</v>
      </c>
      <c r="BV31" s="33">
        <f t="shared" ref="BV31:BW31" si="69">_xlfn.RANK.AVG(BV12,BV$7:BV$24,1)</f>
        <v>8</v>
      </c>
      <c r="BW31" s="33">
        <f t="shared" si="69"/>
        <v>14</v>
      </c>
      <c r="BX31" s="33">
        <f t="shared" ref="BX31:BY31" si="70">_xlfn.RANK.AVG(BX12,BX$7:BX$24,1)</f>
        <v>6</v>
      </c>
      <c r="BY31" s="33">
        <f t="shared" si="70"/>
        <v>4</v>
      </c>
      <c r="BZ31" s="33">
        <f t="shared" ref="BZ31:CA31" si="71">_xlfn.RANK.AVG(BZ12,BZ$7:BZ$24,1)</f>
        <v>4</v>
      </c>
      <c r="CA31" s="33">
        <f t="shared" si="71"/>
        <v>11</v>
      </c>
      <c r="CB31" s="33">
        <f t="shared" ref="CB31:CC31" si="72">_xlfn.RANK.AVG(CB12,CB$7:CB$24,1)</f>
        <v>10</v>
      </c>
      <c r="CC31" s="33">
        <f t="shared" si="72"/>
        <v>15</v>
      </c>
      <c r="CD31" s="33">
        <f t="shared" ref="CD31:CE31" si="73">_xlfn.RANK.AVG(CD12,CD$7:CD$24,1)</f>
        <v>12.5</v>
      </c>
      <c r="CE31" s="33">
        <f t="shared" si="73"/>
        <v>17</v>
      </c>
    </row>
    <row r="32" spans="1:83" s="34" customFormat="1" x14ac:dyDescent="0.25">
      <c r="A32" s="51"/>
      <c r="B32" s="32" t="s">
        <v>146</v>
      </c>
      <c r="D32" s="33">
        <f t="shared" si="21"/>
        <v>67</v>
      </c>
      <c r="E32" s="41"/>
      <c r="F32" s="41"/>
      <c r="G32" s="33">
        <v>10</v>
      </c>
      <c r="H32" s="33">
        <v>7</v>
      </c>
      <c r="I32" s="33">
        <v>0</v>
      </c>
      <c r="J32" s="33">
        <v>0</v>
      </c>
      <c r="K32" s="33">
        <f t="shared" si="6"/>
        <v>18</v>
      </c>
      <c r="L32" s="33">
        <f t="shared" si="6"/>
        <v>3</v>
      </c>
      <c r="M32" s="33">
        <f t="shared" si="6"/>
        <v>2</v>
      </c>
      <c r="N32" s="33">
        <f t="shared" si="6"/>
        <v>18</v>
      </c>
      <c r="O32" s="33">
        <f t="shared" si="6"/>
        <v>17</v>
      </c>
      <c r="P32" s="33">
        <f t="shared" si="6"/>
        <v>4</v>
      </c>
      <c r="Q32" s="33">
        <f t="shared" si="6"/>
        <v>2</v>
      </c>
      <c r="R32" s="33">
        <f t="shared" si="6"/>
        <v>17</v>
      </c>
      <c r="S32" s="33">
        <f t="shared" si="6"/>
        <v>16</v>
      </c>
      <c r="T32" s="33">
        <f t="shared" si="6"/>
        <v>17</v>
      </c>
      <c r="U32" s="33">
        <f t="shared" si="22"/>
        <v>3</v>
      </c>
      <c r="V32" s="33">
        <f t="shared" si="23"/>
        <v>15</v>
      </c>
      <c r="W32" s="33">
        <f t="shared" si="7"/>
        <v>12</v>
      </c>
      <c r="X32" s="33">
        <f t="shared" si="7"/>
        <v>4</v>
      </c>
      <c r="Y32" s="33">
        <f t="shared" si="7"/>
        <v>17</v>
      </c>
      <c r="Z32" s="33">
        <f t="shared" si="7"/>
        <v>6</v>
      </c>
      <c r="AA32" s="33">
        <f t="shared" si="7"/>
        <v>4</v>
      </c>
      <c r="AB32" s="33">
        <f t="shared" si="7"/>
        <v>13</v>
      </c>
      <c r="AC32" s="33">
        <f t="shared" si="8"/>
        <v>16</v>
      </c>
      <c r="AD32" s="33">
        <f t="shared" si="8"/>
        <v>18</v>
      </c>
      <c r="AE32" s="33">
        <f t="shared" si="8"/>
        <v>18</v>
      </c>
      <c r="AF32" s="33">
        <f t="shared" si="8"/>
        <v>18</v>
      </c>
      <c r="AG32" s="33">
        <f t="shared" si="8"/>
        <v>18</v>
      </c>
      <c r="AH32" s="33">
        <f t="shared" si="8"/>
        <v>18</v>
      </c>
      <c r="AI32" s="33">
        <f t="shared" si="8"/>
        <v>17</v>
      </c>
      <c r="AJ32" s="33">
        <f t="shared" si="8"/>
        <v>17</v>
      </c>
      <c r="AK32" s="33">
        <f t="shared" si="8"/>
        <v>17</v>
      </c>
      <c r="AL32" s="33">
        <f t="shared" si="8"/>
        <v>17</v>
      </c>
      <c r="AM32" s="33">
        <f t="shared" si="8"/>
        <v>9</v>
      </c>
      <c r="AN32" s="33">
        <f t="shared" si="8"/>
        <v>17</v>
      </c>
      <c r="AO32" s="33">
        <f t="shared" si="8"/>
        <v>7</v>
      </c>
      <c r="AP32" s="33">
        <f t="shared" si="8"/>
        <v>1</v>
      </c>
      <c r="AQ32" s="33">
        <f t="shared" si="8"/>
        <v>3</v>
      </c>
      <c r="AR32" s="33">
        <f t="shared" si="8"/>
        <v>2</v>
      </c>
      <c r="AS32" s="33">
        <f t="shared" si="8"/>
        <v>3</v>
      </c>
      <c r="AT32" s="33">
        <f t="shared" si="8"/>
        <v>1</v>
      </c>
      <c r="AU32" s="33">
        <f t="shared" si="8"/>
        <v>1</v>
      </c>
      <c r="AV32" s="33">
        <f t="shared" si="8"/>
        <v>6</v>
      </c>
      <c r="AW32" s="33">
        <f t="shared" si="8"/>
        <v>7</v>
      </c>
      <c r="AX32" s="33">
        <f t="shared" si="8"/>
        <v>4</v>
      </c>
      <c r="AY32" s="33">
        <f t="shared" si="8"/>
        <v>5</v>
      </c>
      <c r="AZ32" s="33">
        <f t="shared" si="8"/>
        <v>1</v>
      </c>
      <c r="BA32" s="33">
        <f t="shared" si="8"/>
        <v>1</v>
      </c>
      <c r="BB32" s="33">
        <f t="shared" si="8"/>
        <v>17</v>
      </c>
      <c r="BC32" s="33">
        <f t="shared" si="8"/>
        <v>13</v>
      </c>
      <c r="BD32" s="33">
        <f t="shared" si="9"/>
        <v>17</v>
      </c>
      <c r="BE32" s="33">
        <f t="shared" si="9"/>
        <v>2</v>
      </c>
      <c r="BF32" s="33">
        <f t="shared" si="10"/>
        <v>2</v>
      </c>
      <c r="BG32" s="33">
        <f t="shared" si="10"/>
        <v>8</v>
      </c>
      <c r="BH32" s="33">
        <f t="shared" si="10"/>
        <v>9</v>
      </c>
      <c r="BI32" s="33">
        <f t="shared" si="10"/>
        <v>13</v>
      </c>
      <c r="BJ32" s="33">
        <f t="shared" si="10"/>
        <v>5</v>
      </c>
      <c r="BK32" s="33">
        <f t="shared" si="10"/>
        <v>1</v>
      </c>
      <c r="BL32" s="33">
        <f t="shared" ref="BL32:BM32" si="74">_xlfn.RANK.AVG(BL13,BL$7:BL$24,1)</f>
        <v>1</v>
      </c>
      <c r="BM32" s="33">
        <f t="shared" si="74"/>
        <v>3</v>
      </c>
      <c r="BN32" s="33">
        <f t="shared" ref="BN32:BO32" si="75">_xlfn.RANK.AVG(BN13,BN$7:BN$24,1)</f>
        <v>5</v>
      </c>
      <c r="BO32" s="33">
        <f t="shared" si="75"/>
        <v>15</v>
      </c>
      <c r="BP32" s="33">
        <f t="shared" ref="BP32:BQ32" si="76">_xlfn.RANK.AVG(BP13,BP$7:BP$24,1)</f>
        <v>15</v>
      </c>
      <c r="BQ32" s="33">
        <f t="shared" si="76"/>
        <v>16</v>
      </c>
      <c r="BR32" s="33">
        <f t="shared" ref="BR32:BS32" si="77">_xlfn.RANK.AVG(BR13,BR$7:BR$24,1)</f>
        <v>15</v>
      </c>
      <c r="BS32" s="33">
        <f t="shared" si="77"/>
        <v>12.5</v>
      </c>
      <c r="BT32" s="33">
        <f t="shared" ref="BT32:BU32" si="78">_xlfn.RANK.AVG(BT13,BT$7:BT$24,1)</f>
        <v>7</v>
      </c>
      <c r="BU32" s="33">
        <f t="shared" si="78"/>
        <v>15</v>
      </c>
      <c r="BV32" s="33">
        <f t="shared" ref="BV32:BW32" si="79">_xlfn.RANK.AVG(BV13,BV$7:BV$24,1)</f>
        <v>5</v>
      </c>
      <c r="BW32" s="33">
        <f t="shared" si="79"/>
        <v>1</v>
      </c>
      <c r="BX32" s="33">
        <f t="shared" ref="BX32:BY32" si="80">_xlfn.RANK.AVG(BX13,BX$7:BX$24,1)</f>
        <v>4</v>
      </c>
      <c r="BY32" s="33">
        <f t="shared" si="80"/>
        <v>2</v>
      </c>
      <c r="BZ32" s="33">
        <f t="shared" ref="BZ32:CA32" si="81">_xlfn.RANK.AVG(BZ13,BZ$7:BZ$24,1)</f>
        <v>15</v>
      </c>
      <c r="CA32" s="33">
        <f t="shared" si="81"/>
        <v>14</v>
      </c>
      <c r="CB32" s="33">
        <f t="shared" ref="CB32:CC32" si="82">_xlfn.RANK.AVG(CB13,CB$7:CB$24,1)</f>
        <v>13</v>
      </c>
      <c r="CC32" s="33">
        <f t="shared" si="82"/>
        <v>5</v>
      </c>
      <c r="CD32" s="33">
        <f t="shared" ref="CD32:CE32" si="83">_xlfn.RANK.AVG(CD13,CD$7:CD$24,1)</f>
        <v>5</v>
      </c>
      <c r="CE32" s="33">
        <f t="shared" si="83"/>
        <v>3</v>
      </c>
    </row>
    <row r="33" spans="1:83" s="34" customFormat="1" x14ac:dyDescent="0.25">
      <c r="A33" s="51"/>
      <c r="B33" s="38" t="s">
        <v>142</v>
      </c>
      <c r="D33" s="33">
        <f t="shared" si="21"/>
        <v>46</v>
      </c>
      <c r="G33" s="33">
        <v>-2</v>
      </c>
      <c r="H33" s="33">
        <v>0</v>
      </c>
      <c r="I33" s="33">
        <v>2</v>
      </c>
      <c r="J33" s="33">
        <v>0</v>
      </c>
      <c r="K33" s="33">
        <f t="shared" si="6"/>
        <v>6</v>
      </c>
      <c r="L33" s="33">
        <f t="shared" si="6"/>
        <v>11</v>
      </c>
      <c r="M33" s="33">
        <f t="shared" si="6"/>
        <v>12</v>
      </c>
      <c r="N33" s="33">
        <f t="shared" si="6"/>
        <v>8</v>
      </c>
      <c r="O33" s="33">
        <f t="shared" si="6"/>
        <v>6</v>
      </c>
      <c r="P33" s="33">
        <f t="shared" si="6"/>
        <v>6</v>
      </c>
      <c r="Q33" s="33">
        <f t="shared" si="6"/>
        <v>7</v>
      </c>
      <c r="R33" s="33">
        <f t="shared" si="6"/>
        <v>6</v>
      </c>
      <c r="S33" s="33">
        <f t="shared" si="6"/>
        <v>4</v>
      </c>
      <c r="T33" s="33">
        <f t="shared" si="6"/>
        <v>2</v>
      </c>
      <c r="U33" s="33">
        <f t="shared" si="22"/>
        <v>10</v>
      </c>
      <c r="V33" s="33">
        <f t="shared" si="23"/>
        <v>8</v>
      </c>
      <c r="W33" s="33">
        <f t="shared" si="7"/>
        <v>13</v>
      </c>
      <c r="X33" s="33">
        <f t="shared" si="7"/>
        <v>9</v>
      </c>
      <c r="Y33" s="33">
        <f t="shared" si="7"/>
        <v>14</v>
      </c>
      <c r="Z33" s="33">
        <f t="shared" si="7"/>
        <v>17</v>
      </c>
      <c r="AA33" s="33">
        <f t="shared" si="7"/>
        <v>13</v>
      </c>
      <c r="AB33" s="33">
        <f t="shared" si="7"/>
        <v>16</v>
      </c>
      <c r="AC33" s="33">
        <f t="shared" si="8"/>
        <v>15</v>
      </c>
      <c r="AD33" s="33">
        <f t="shared" si="8"/>
        <v>9</v>
      </c>
      <c r="AE33" s="33">
        <f t="shared" si="8"/>
        <v>17</v>
      </c>
      <c r="AF33" s="33">
        <f t="shared" si="8"/>
        <v>12</v>
      </c>
      <c r="AG33" s="33">
        <f t="shared" si="8"/>
        <v>16</v>
      </c>
      <c r="AH33" s="33">
        <f t="shared" si="8"/>
        <v>16</v>
      </c>
      <c r="AI33" s="33">
        <f t="shared" si="8"/>
        <v>14</v>
      </c>
      <c r="AJ33" s="33">
        <f t="shared" si="8"/>
        <v>14</v>
      </c>
      <c r="AK33" s="33">
        <f t="shared" si="8"/>
        <v>14</v>
      </c>
      <c r="AL33" s="33">
        <f t="shared" si="8"/>
        <v>14</v>
      </c>
      <c r="AM33" s="33">
        <f t="shared" si="8"/>
        <v>14</v>
      </c>
      <c r="AN33" s="33">
        <f t="shared" si="8"/>
        <v>13</v>
      </c>
      <c r="AO33" s="33">
        <f t="shared" si="8"/>
        <v>17</v>
      </c>
      <c r="AP33" s="33">
        <f t="shared" si="8"/>
        <v>16</v>
      </c>
      <c r="AQ33" s="33">
        <f t="shared" si="8"/>
        <v>14</v>
      </c>
      <c r="AR33" s="33">
        <f t="shared" si="8"/>
        <v>12</v>
      </c>
      <c r="AS33" s="33">
        <f t="shared" si="8"/>
        <v>11</v>
      </c>
      <c r="AT33" s="33">
        <f t="shared" si="8"/>
        <v>17</v>
      </c>
      <c r="AU33" s="33">
        <f t="shared" si="8"/>
        <v>16</v>
      </c>
      <c r="AV33" s="33">
        <f t="shared" si="8"/>
        <v>11</v>
      </c>
      <c r="AW33" s="33">
        <f t="shared" si="8"/>
        <v>10</v>
      </c>
      <c r="AX33" s="33">
        <f t="shared" si="8"/>
        <v>12</v>
      </c>
      <c r="AY33" s="33">
        <f t="shared" si="8"/>
        <v>13</v>
      </c>
      <c r="AZ33" s="33">
        <f t="shared" si="8"/>
        <v>13</v>
      </c>
      <c r="BA33" s="33">
        <f t="shared" si="8"/>
        <v>7</v>
      </c>
      <c r="BB33" s="33">
        <f t="shared" si="8"/>
        <v>13</v>
      </c>
      <c r="BC33" s="33">
        <f t="shared" si="8"/>
        <v>11</v>
      </c>
      <c r="BD33" s="33">
        <f t="shared" si="9"/>
        <v>16</v>
      </c>
      <c r="BE33" s="33">
        <f t="shared" si="9"/>
        <v>13</v>
      </c>
      <c r="BF33" s="33">
        <f t="shared" si="10"/>
        <v>8</v>
      </c>
      <c r="BG33" s="33">
        <f t="shared" si="10"/>
        <v>4</v>
      </c>
      <c r="BH33" s="33">
        <f t="shared" si="10"/>
        <v>7</v>
      </c>
      <c r="BI33" s="33">
        <f t="shared" si="10"/>
        <v>4</v>
      </c>
      <c r="BJ33" s="33">
        <f t="shared" si="10"/>
        <v>2</v>
      </c>
      <c r="BK33" s="33">
        <f t="shared" si="10"/>
        <v>2</v>
      </c>
      <c r="BL33" s="33">
        <f t="shared" ref="BL33:BM33" si="84">_xlfn.RANK.AVG(BL14,BL$7:BL$24,1)</f>
        <v>4</v>
      </c>
      <c r="BM33" s="33">
        <f t="shared" si="84"/>
        <v>2</v>
      </c>
      <c r="BN33" s="33">
        <f t="shared" ref="BN33:BO33" si="85">_xlfn.RANK.AVG(BN14,BN$7:BN$24,1)</f>
        <v>3</v>
      </c>
      <c r="BO33" s="33">
        <f t="shared" si="85"/>
        <v>2</v>
      </c>
      <c r="BP33" s="33">
        <f t="shared" ref="BP33:BQ33" si="86">_xlfn.RANK.AVG(BP14,BP$7:BP$24,1)</f>
        <v>3</v>
      </c>
      <c r="BQ33" s="33">
        <f t="shared" si="86"/>
        <v>9</v>
      </c>
      <c r="BR33" s="33">
        <f t="shared" ref="BR33:BS33" si="87">_xlfn.RANK.AVG(BR14,BR$7:BR$24,1)</f>
        <v>10</v>
      </c>
      <c r="BS33" s="33">
        <f t="shared" si="87"/>
        <v>6</v>
      </c>
      <c r="BT33" s="33">
        <f t="shared" ref="BT33:BU33" si="88">_xlfn.RANK.AVG(BT14,BT$7:BT$24,1)</f>
        <v>8</v>
      </c>
      <c r="BU33" s="33">
        <f t="shared" si="88"/>
        <v>4</v>
      </c>
      <c r="BV33" s="33">
        <f t="shared" ref="BV33:BW33" si="89">_xlfn.RANK.AVG(BV14,BV$7:BV$24,1)</f>
        <v>14</v>
      </c>
      <c r="BW33" s="33">
        <f t="shared" si="89"/>
        <v>5</v>
      </c>
      <c r="BX33" s="33">
        <f t="shared" ref="BX33:BY33" si="90">_xlfn.RANK.AVG(BX14,BX$7:BX$24,1)</f>
        <v>7</v>
      </c>
      <c r="BY33" s="33">
        <f t="shared" si="90"/>
        <v>10</v>
      </c>
      <c r="BZ33" s="33">
        <f t="shared" ref="BZ33:CA33" si="91">_xlfn.RANK.AVG(BZ14,BZ$7:BZ$24,1)</f>
        <v>12</v>
      </c>
      <c r="CA33" s="33">
        <f t="shared" si="91"/>
        <v>12</v>
      </c>
      <c r="CB33" s="33">
        <f t="shared" ref="CB33:CC33" si="92">_xlfn.RANK.AVG(CB14,CB$7:CB$24,1)</f>
        <v>4</v>
      </c>
      <c r="CC33" s="33">
        <f t="shared" si="92"/>
        <v>6</v>
      </c>
      <c r="CD33" s="33">
        <f t="shared" ref="CD33:CE33" si="93">_xlfn.RANK.AVG(CD14,CD$7:CD$24,1)</f>
        <v>10</v>
      </c>
      <c r="CE33" s="33">
        <f t="shared" si="93"/>
        <v>10</v>
      </c>
    </row>
    <row r="34" spans="1:83" s="34" customFormat="1" x14ac:dyDescent="0.25">
      <c r="A34" s="51"/>
      <c r="B34" s="38" t="s">
        <v>150</v>
      </c>
      <c r="D34" s="33">
        <f t="shared" si="21"/>
        <v>43</v>
      </c>
      <c r="G34" s="33">
        <v>3</v>
      </c>
      <c r="H34" s="33">
        <v>-3</v>
      </c>
      <c r="I34" s="33">
        <v>-2</v>
      </c>
      <c r="J34" s="33">
        <v>3</v>
      </c>
      <c r="K34" s="33">
        <f t="shared" si="6"/>
        <v>11</v>
      </c>
      <c r="L34" s="33">
        <f t="shared" si="6"/>
        <v>15</v>
      </c>
      <c r="M34" s="33">
        <f t="shared" si="6"/>
        <v>16</v>
      </c>
      <c r="N34" s="33">
        <f t="shared" si="6"/>
        <v>14</v>
      </c>
      <c r="O34" s="33">
        <f t="shared" si="6"/>
        <v>9</v>
      </c>
      <c r="P34" s="33">
        <f t="shared" si="6"/>
        <v>10</v>
      </c>
      <c r="Q34" s="33">
        <f t="shared" si="6"/>
        <v>12</v>
      </c>
      <c r="R34" s="33">
        <f t="shared" si="6"/>
        <v>7</v>
      </c>
      <c r="S34" s="33">
        <f t="shared" si="6"/>
        <v>9</v>
      </c>
      <c r="T34" s="33">
        <f t="shared" si="6"/>
        <v>7</v>
      </c>
      <c r="U34" s="33">
        <f t="shared" si="22"/>
        <v>7</v>
      </c>
      <c r="V34" s="33">
        <f t="shared" si="23"/>
        <v>10</v>
      </c>
      <c r="W34" s="33">
        <f t="shared" si="7"/>
        <v>4</v>
      </c>
      <c r="X34" s="33">
        <f t="shared" si="7"/>
        <v>6</v>
      </c>
      <c r="Y34" s="33">
        <f t="shared" si="7"/>
        <v>3</v>
      </c>
      <c r="Z34" s="33">
        <f t="shared" si="7"/>
        <v>5</v>
      </c>
      <c r="AA34" s="33">
        <f t="shared" si="7"/>
        <v>5</v>
      </c>
      <c r="AB34" s="33">
        <f t="shared" si="7"/>
        <v>4</v>
      </c>
      <c r="AC34" s="33">
        <f t="shared" si="7"/>
        <v>12</v>
      </c>
      <c r="AD34" s="33">
        <f t="shared" si="8"/>
        <v>7</v>
      </c>
      <c r="AE34" s="33">
        <f t="shared" si="8"/>
        <v>10</v>
      </c>
      <c r="AF34" s="33">
        <f t="shared" si="8"/>
        <v>15</v>
      </c>
      <c r="AG34" s="33">
        <f t="shared" si="8"/>
        <v>10</v>
      </c>
      <c r="AH34" s="33">
        <f t="shared" si="8"/>
        <v>8</v>
      </c>
      <c r="AI34" s="33">
        <f t="shared" si="8"/>
        <v>8</v>
      </c>
      <c r="AJ34" s="33">
        <f t="shared" si="8"/>
        <v>10</v>
      </c>
      <c r="AK34" s="33">
        <f t="shared" si="8"/>
        <v>12</v>
      </c>
      <c r="AL34" s="33">
        <f t="shared" si="8"/>
        <v>16</v>
      </c>
      <c r="AM34" s="33">
        <f t="shared" si="8"/>
        <v>13</v>
      </c>
      <c r="AN34" s="33">
        <f t="shared" si="8"/>
        <v>14</v>
      </c>
      <c r="AO34" s="33">
        <f t="shared" si="8"/>
        <v>3</v>
      </c>
      <c r="AP34" s="33">
        <f t="shared" si="8"/>
        <v>6</v>
      </c>
      <c r="AQ34" s="33">
        <f t="shared" si="8"/>
        <v>7</v>
      </c>
      <c r="AR34" s="33">
        <f t="shared" si="8"/>
        <v>4</v>
      </c>
      <c r="AS34" s="33">
        <f t="shared" si="8"/>
        <v>10</v>
      </c>
      <c r="AT34" s="33">
        <f t="shared" si="8"/>
        <v>15</v>
      </c>
      <c r="AU34" s="33">
        <f t="shared" si="8"/>
        <v>13</v>
      </c>
      <c r="AV34" s="33">
        <f t="shared" si="8"/>
        <v>15</v>
      </c>
      <c r="AW34" s="33">
        <f t="shared" si="8"/>
        <v>13</v>
      </c>
      <c r="AX34" s="33">
        <f t="shared" si="8"/>
        <v>18</v>
      </c>
      <c r="AY34" s="33">
        <f t="shared" si="8"/>
        <v>14</v>
      </c>
      <c r="AZ34" s="33">
        <f t="shared" si="8"/>
        <v>17</v>
      </c>
      <c r="BA34" s="33">
        <f t="shared" si="8"/>
        <v>11</v>
      </c>
      <c r="BB34" s="33">
        <f t="shared" si="8"/>
        <v>14</v>
      </c>
      <c r="BC34" s="33">
        <f t="shared" si="8"/>
        <v>5</v>
      </c>
      <c r="BD34" s="33">
        <f t="shared" si="9"/>
        <v>12</v>
      </c>
      <c r="BE34" s="33">
        <f t="shared" si="9"/>
        <v>14</v>
      </c>
      <c r="BF34" s="33">
        <f t="shared" si="10"/>
        <v>12.5</v>
      </c>
      <c r="BG34" s="33">
        <f t="shared" si="10"/>
        <v>10</v>
      </c>
      <c r="BH34" s="33">
        <f t="shared" si="10"/>
        <v>10</v>
      </c>
      <c r="BI34" s="33">
        <f t="shared" si="10"/>
        <v>12</v>
      </c>
      <c r="BJ34" s="33">
        <f t="shared" si="10"/>
        <v>12</v>
      </c>
      <c r="BK34" s="33">
        <f t="shared" si="10"/>
        <v>12</v>
      </c>
      <c r="BL34" s="33">
        <f t="shared" ref="BL34:BM34" si="94">_xlfn.RANK.AVG(BL15,BL$7:BL$24,1)</f>
        <v>6</v>
      </c>
      <c r="BM34" s="33">
        <f t="shared" si="94"/>
        <v>1</v>
      </c>
      <c r="BN34" s="33">
        <f t="shared" ref="BN34:BO34" si="95">_xlfn.RANK.AVG(BN15,BN$7:BN$24,1)</f>
        <v>9.5</v>
      </c>
      <c r="BO34" s="33">
        <f t="shared" si="95"/>
        <v>12</v>
      </c>
      <c r="BP34" s="33">
        <f t="shared" ref="BP34:BQ34" si="96">_xlfn.RANK.AVG(BP15,BP$7:BP$24,1)</f>
        <v>16</v>
      </c>
      <c r="BQ34" s="33">
        <f t="shared" si="96"/>
        <v>12</v>
      </c>
      <c r="BR34" s="33">
        <f t="shared" ref="BR34:BS34" si="97">_xlfn.RANK.AVG(BR15,BR$7:BR$24,1)</f>
        <v>14</v>
      </c>
      <c r="BS34" s="33">
        <f t="shared" si="97"/>
        <v>14</v>
      </c>
      <c r="BT34" s="33">
        <f t="shared" ref="BT34:BU34" si="98">_xlfn.RANK.AVG(BT15,BT$7:BT$24,1)</f>
        <v>10</v>
      </c>
      <c r="BU34" s="33">
        <f t="shared" si="98"/>
        <v>13</v>
      </c>
      <c r="BV34" s="33">
        <f t="shared" ref="BV34:BW34" si="99">_xlfn.RANK.AVG(BV15,BV$7:BV$24,1)</f>
        <v>2</v>
      </c>
      <c r="BW34" s="33">
        <f t="shared" si="99"/>
        <v>17</v>
      </c>
      <c r="BX34" s="33">
        <f t="shared" ref="BX34:BY34" si="100">_xlfn.RANK.AVG(BX15,BX$7:BX$24,1)</f>
        <v>10</v>
      </c>
      <c r="BY34" s="33">
        <f t="shared" si="100"/>
        <v>11</v>
      </c>
      <c r="BZ34" s="33">
        <f t="shared" ref="BZ34:CA34" si="101">_xlfn.RANK.AVG(BZ15,BZ$7:BZ$24,1)</f>
        <v>9.5</v>
      </c>
      <c r="CA34" s="33">
        <f t="shared" si="101"/>
        <v>15</v>
      </c>
      <c r="CB34" s="33">
        <f t="shared" ref="CB34:CC34" si="102">_xlfn.RANK.AVG(CB15,CB$7:CB$24,1)</f>
        <v>14</v>
      </c>
      <c r="CC34" s="33">
        <f t="shared" si="102"/>
        <v>13</v>
      </c>
      <c r="CD34" s="33">
        <f t="shared" ref="CD34:CE34" si="103">_xlfn.RANK.AVG(CD15,CD$7:CD$24,1)</f>
        <v>14</v>
      </c>
      <c r="CE34" s="33">
        <f t="shared" si="103"/>
        <v>11</v>
      </c>
    </row>
    <row r="35" spans="1:83" s="34" customFormat="1" x14ac:dyDescent="0.25">
      <c r="A35" s="51"/>
      <c r="B35" s="38" t="s">
        <v>202</v>
      </c>
      <c r="D35" s="33">
        <f t="shared" si="21"/>
        <v>66.5</v>
      </c>
      <c r="G35" s="33">
        <v>9</v>
      </c>
      <c r="H35" s="33">
        <v>-4</v>
      </c>
      <c r="I35" s="33">
        <v>3</v>
      </c>
      <c r="J35" s="33">
        <v>-7</v>
      </c>
      <c r="K35" s="33">
        <f t="shared" si="6"/>
        <v>13</v>
      </c>
      <c r="L35" s="33">
        <f t="shared" si="6"/>
        <v>10</v>
      </c>
      <c r="M35" s="33">
        <f t="shared" si="6"/>
        <v>3</v>
      </c>
      <c r="N35" s="33">
        <f t="shared" si="6"/>
        <v>13</v>
      </c>
      <c r="O35" s="33">
        <f t="shared" si="6"/>
        <v>3</v>
      </c>
      <c r="P35" s="33">
        <f t="shared" si="6"/>
        <v>7.5</v>
      </c>
      <c r="Q35" s="33">
        <f t="shared" si="6"/>
        <v>6</v>
      </c>
      <c r="R35" s="33">
        <f t="shared" si="6"/>
        <v>18</v>
      </c>
      <c r="S35" s="33">
        <f t="shared" si="6"/>
        <v>8</v>
      </c>
      <c r="T35" s="33">
        <f t="shared" si="6"/>
        <v>4.5</v>
      </c>
      <c r="U35" s="33">
        <f t="shared" si="22"/>
        <v>8</v>
      </c>
      <c r="V35" s="33">
        <f t="shared" si="23"/>
        <v>13</v>
      </c>
      <c r="W35" s="33">
        <f t="shared" si="7"/>
        <v>16</v>
      </c>
      <c r="X35" s="33">
        <f t="shared" si="7"/>
        <v>17</v>
      </c>
      <c r="Y35" s="33">
        <f t="shared" si="7"/>
        <v>2</v>
      </c>
      <c r="Z35" s="33">
        <f t="shared" si="7"/>
        <v>7</v>
      </c>
      <c r="AA35" s="33">
        <f t="shared" si="7"/>
        <v>3</v>
      </c>
      <c r="AB35" s="33">
        <f t="shared" si="7"/>
        <v>5</v>
      </c>
      <c r="AC35" s="33">
        <f t="shared" si="7"/>
        <v>7</v>
      </c>
      <c r="AD35" s="33">
        <f t="shared" si="7"/>
        <v>17</v>
      </c>
      <c r="AE35" s="33">
        <f t="shared" si="8"/>
        <v>9</v>
      </c>
      <c r="AF35" s="33">
        <f t="shared" si="8"/>
        <v>13</v>
      </c>
      <c r="AG35" s="33">
        <f t="shared" si="8"/>
        <v>2</v>
      </c>
      <c r="AH35" s="33">
        <f t="shared" si="8"/>
        <v>3</v>
      </c>
      <c r="AI35" s="33">
        <f t="shared" ref="AI35:BC43" si="104">_xlfn.RANK.AVG(AI16,AI$7:AI$24,1)</f>
        <v>2</v>
      </c>
      <c r="AJ35" s="33">
        <f t="shared" si="104"/>
        <v>4</v>
      </c>
      <c r="AK35" s="33">
        <f t="shared" si="104"/>
        <v>13</v>
      </c>
      <c r="AL35" s="33">
        <f t="shared" si="104"/>
        <v>15</v>
      </c>
      <c r="AM35" s="33">
        <f t="shared" si="104"/>
        <v>5</v>
      </c>
      <c r="AN35" s="33">
        <f t="shared" si="104"/>
        <v>6</v>
      </c>
      <c r="AO35" s="33">
        <f t="shared" si="104"/>
        <v>15</v>
      </c>
      <c r="AP35" s="33">
        <f t="shared" si="104"/>
        <v>15</v>
      </c>
      <c r="AQ35" s="33">
        <f t="shared" si="104"/>
        <v>11</v>
      </c>
      <c r="AR35" s="33">
        <f t="shared" si="104"/>
        <v>17</v>
      </c>
      <c r="AS35" s="33">
        <f t="shared" si="104"/>
        <v>18</v>
      </c>
      <c r="AT35" s="33">
        <f t="shared" si="104"/>
        <v>18</v>
      </c>
      <c r="AU35" s="33">
        <f t="shared" si="104"/>
        <v>17</v>
      </c>
      <c r="AV35" s="33">
        <f t="shared" si="104"/>
        <v>17</v>
      </c>
      <c r="AW35" s="33">
        <f t="shared" si="104"/>
        <v>15</v>
      </c>
      <c r="AX35" s="33">
        <f t="shared" si="104"/>
        <v>9</v>
      </c>
      <c r="AY35" s="33">
        <f t="shared" si="104"/>
        <v>6</v>
      </c>
      <c r="AZ35" s="33">
        <f t="shared" si="104"/>
        <v>2</v>
      </c>
      <c r="BA35" s="33">
        <f t="shared" si="104"/>
        <v>3</v>
      </c>
      <c r="BB35" s="33">
        <f t="shared" si="104"/>
        <v>18</v>
      </c>
      <c r="BC35" s="33">
        <f t="shared" si="104"/>
        <v>17</v>
      </c>
      <c r="BD35" s="33">
        <f t="shared" si="9"/>
        <v>15</v>
      </c>
      <c r="BE35" s="33">
        <f t="shared" si="9"/>
        <v>12</v>
      </c>
      <c r="BF35" s="33">
        <f t="shared" si="10"/>
        <v>18</v>
      </c>
      <c r="BG35" s="33">
        <f t="shared" si="10"/>
        <v>15</v>
      </c>
      <c r="BH35" s="33">
        <f t="shared" si="10"/>
        <v>17</v>
      </c>
      <c r="BI35" s="33">
        <f t="shared" si="10"/>
        <v>5</v>
      </c>
      <c r="BJ35" s="33">
        <f t="shared" si="10"/>
        <v>4</v>
      </c>
      <c r="BK35" s="33">
        <f t="shared" si="10"/>
        <v>17</v>
      </c>
      <c r="BL35" s="33">
        <f t="shared" ref="BL35:BM35" si="105">_xlfn.RANK.AVG(BL16,BL$7:BL$24,1)</f>
        <v>17</v>
      </c>
      <c r="BM35" s="33">
        <f t="shared" si="105"/>
        <v>18</v>
      </c>
      <c r="BN35" s="33">
        <f t="shared" ref="BN35:BO35" si="106">_xlfn.RANK.AVG(BN16,BN$7:BN$24,1)</f>
        <v>9.5</v>
      </c>
      <c r="BO35" s="33">
        <f t="shared" si="106"/>
        <v>11</v>
      </c>
      <c r="BP35" s="33">
        <f t="shared" ref="BP35:BQ35" si="107">_xlfn.RANK.AVG(BP16,BP$7:BP$24,1)</f>
        <v>14</v>
      </c>
      <c r="BQ35" s="33">
        <f t="shared" si="107"/>
        <v>3</v>
      </c>
      <c r="BR35" s="33">
        <f t="shared" ref="BR35:BS35" si="108">_xlfn.RANK.AVG(BR16,BR$7:BR$24,1)</f>
        <v>7</v>
      </c>
      <c r="BS35" s="33">
        <f t="shared" si="108"/>
        <v>8</v>
      </c>
      <c r="BT35" s="33">
        <f t="shared" ref="BT35:BU35" si="109">_xlfn.RANK.AVG(BT16,BT$7:BT$24,1)</f>
        <v>9</v>
      </c>
      <c r="BU35" s="33">
        <f t="shared" si="109"/>
        <v>7</v>
      </c>
      <c r="BV35" s="33">
        <f t="shared" ref="BV35:BW35" si="110">_xlfn.RANK.AVG(BV16,BV$7:BV$24,1)</f>
        <v>1</v>
      </c>
      <c r="BW35" s="33">
        <f t="shared" si="110"/>
        <v>3</v>
      </c>
      <c r="BX35" s="33">
        <f t="shared" ref="BX35:BY35" si="111">_xlfn.RANK.AVG(BX16,BX$7:BX$24,1)</f>
        <v>13</v>
      </c>
      <c r="BY35" s="33">
        <f t="shared" si="111"/>
        <v>12</v>
      </c>
      <c r="BZ35" s="33">
        <f t="shared" ref="BZ35:CA35" si="112">_xlfn.RANK.AVG(BZ16,BZ$7:BZ$24,1)</f>
        <v>17</v>
      </c>
      <c r="CA35" s="33">
        <f t="shared" si="112"/>
        <v>16</v>
      </c>
      <c r="CB35" s="33">
        <f t="shared" ref="CB35:CC35" si="113">_xlfn.RANK.AVG(CB16,CB$7:CB$24,1)</f>
        <v>16</v>
      </c>
      <c r="CC35" s="33">
        <f t="shared" si="113"/>
        <v>16</v>
      </c>
      <c r="CD35" s="33">
        <f t="shared" ref="CD35:CE35" si="114">_xlfn.RANK.AVG(CD16,CD$7:CD$24,1)</f>
        <v>9</v>
      </c>
      <c r="CE35" s="33">
        <f t="shared" si="114"/>
        <v>13</v>
      </c>
    </row>
    <row r="36" spans="1:83" s="34" customFormat="1" x14ac:dyDescent="0.25">
      <c r="A36" s="51"/>
      <c r="B36" s="32" t="s">
        <v>203</v>
      </c>
      <c r="D36" s="33">
        <f t="shared" si="21"/>
        <v>52.5</v>
      </c>
      <c r="G36" s="33">
        <v>2</v>
      </c>
      <c r="H36" s="33">
        <v>-2</v>
      </c>
      <c r="I36" s="33">
        <v>-10</v>
      </c>
      <c r="J36" s="33">
        <v>-4</v>
      </c>
      <c r="K36" s="33">
        <f t="shared" si="6"/>
        <v>12</v>
      </c>
      <c r="L36" s="33">
        <f t="shared" si="6"/>
        <v>16</v>
      </c>
      <c r="M36" s="33">
        <f t="shared" si="6"/>
        <v>8</v>
      </c>
      <c r="N36" s="33">
        <f t="shared" si="6"/>
        <v>9.5</v>
      </c>
      <c r="O36" s="33">
        <f t="shared" si="6"/>
        <v>14</v>
      </c>
      <c r="P36" s="33">
        <f t="shared" si="6"/>
        <v>14</v>
      </c>
      <c r="Q36" s="33">
        <f t="shared" si="6"/>
        <v>18</v>
      </c>
      <c r="R36" s="33">
        <f t="shared" si="6"/>
        <v>14</v>
      </c>
      <c r="S36" s="33">
        <f t="shared" si="6"/>
        <v>7</v>
      </c>
      <c r="T36" s="33">
        <f t="shared" si="6"/>
        <v>4.5</v>
      </c>
      <c r="U36" s="33">
        <f t="shared" si="22"/>
        <v>5</v>
      </c>
      <c r="V36" s="33">
        <f t="shared" si="23"/>
        <v>18</v>
      </c>
      <c r="W36" s="33">
        <f t="shared" si="7"/>
        <v>11</v>
      </c>
      <c r="X36" s="33">
        <f t="shared" si="7"/>
        <v>7</v>
      </c>
      <c r="Y36" s="33">
        <f t="shared" si="7"/>
        <v>10</v>
      </c>
      <c r="Z36" s="33">
        <f t="shared" si="7"/>
        <v>10</v>
      </c>
      <c r="AA36" s="33">
        <f t="shared" si="7"/>
        <v>15</v>
      </c>
      <c r="AB36" s="33">
        <f t="shared" si="7"/>
        <v>8</v>
      </c>
      <c r="AC36" s="33">
        <f t="shared" si="7"/>
        <v>4</v>
      </c>
      <c r="AD36" s="33">
        <f t="shared" si="7"/>
        <v>4</v>
      </c>
      <c r="AE36" s="33">
        <f t="shared" si="7"/>
        <v>5</v>
      </c>
      <c r="AF36" s="33">
        <f t="shared" si="7"/>
        <v>10</v>
      </c>
      <c r="AG36" s="33">
        <f t="shared" si="7"/>
        <v>5</v>
      </c>
      <c r="AH36" s="33">
        <f t="shared" si="7"/>
        <v>10</v>
      </c>
      <c r="AI36" s="33">
        <f t="shared" si="104"/>
        <v>5</v>
      </c>
      <c r="AJ36" s="33">
        <f t="shared" si="104"/>
        <v>12</v>
      </c>
      <c r="AK36" s="33">
        <f t="shared" si="104"/>
        <v>3</v>
      </c>
      <c r="AL36" s="33">
        <f t="shared" si="104"/>
        <v>1</v>
      </c>
      <c r="AM36" s="33">
        <f t="shared" si="104"/>
        <v>16</v>
      </c>
      <c r="AN36" s="33">
        <f t="shared" si="104"/>
        <v>9</v>
      </c>
      <c r="AO36" s="33">
        <f t="shared" si="104"/>
        <v>9</v>
      </c>
      <c r="AP36" s="33">
        <f t="shared" si="104"/>
        <v>11</v>
      </c>
      <c r="AQ36" s="33">
        <f t="shared" si="104"/>
        <v>1</v>
      </c>
      <c r="AR36" s="33">
        <f t="shared" si="104"/>
        <v>3</v>
      </c>
      <c r="AS36" s="33">
        <f t="shared" si="104"/>
        <v>4</v>
      </c>
      <c r="AT36" s="33">
        <f t="shared" si="104"/>
        <v>5</v>
      </c>
      <c r="AU36" s="33">
        <f t="shared" si="104"/>
        <v>3</v>
      </c>
      <c r="AV36" s="33">
        <f t="shared" si="104"/>
        <v>3</v>
      </c>
      <c r="AW36" s="33">
        <f t="shared" si="104"/>
        <v>4</v>
      </c>
      <c r="AX36" s="33">
        <f t="shared" si="104"/>
        <v>3</v>
      </c>
      <c r="AY36" s="33">
        <f t="shared" si="104"/>
        <v>2</v>
      </c>
      <c r="AZ36" s="33">
        <f t="shared" si="104"/>
        <v>5</v>
      </c>
      <c r="BA36" s="33">
        <f t="shared" si="104"/>
        <v>12.5</v>
      </c>
      <c r="BB36" s="33">
        <f t="shared" si="104"/>
        <v>5</v>
      </c>
      <c r="BC36" s="33">
        <f t="shared" si="104"/>
        <v>8</v>
      </c>
      <c r="BD36" s="33">
        <f t="shared" si="9"/>
        <v>3</v>
      </c>
      <c r="BE36" s="33">
        <f t="shared" si="9"/>
        <v>10</v>
      </c>
      <c r="BF36" s="33">
        <f t="shared" ref="BF36:BK43" si="115">_xlfn.RANK.AVG(BF17,BF$7:BF$24,1)</f>
        <v>4</v>
      </c>
      <c r="BG36" s="33">
        <f t="shared" si="115"/>
        <v>9</v>
      </c>
      <c r="BH36" s="33">
        <f t="shared" si="115"/>
        <v>1</v>
      </c>
      <c r="BI36" s="33">
        <f t="shared" si="115"/>
        <v>8</v>
      </c>
      <c r="BJ36" s="33">
        <f t="shared" si="115"/>
        <v>11</v>
      </c>
      <c r="BK36" s="33">
        <f t="shared" si="115"/>
        <v>6</v>
      </c>
      <c r="BL36" s="33">
        <f t="shared" ref="BL36:BM36" si="116">_xlfn.RANK.AVG(BL17,BL$7:BL$24,1)</f>
        <v>16</v>
      </c>
      <c r="BM36" s="33">
        <f t="shared" si="116"/>
        <v>7</v>
      </c>
      <c r="BN36" s="33">
        <f t="shared" ref="BN36:BO36" si="117">_xlfn.RANK.AVG(BN17,BN$7:BN$24,1)</f>
        <v>16</v>
      </c>
      <c r="BO36" s="33">
        <f t="shared" si="117"/>
        <v>14</v>
      </c>
      <c r="BP36" s="33">
        <f t="shared" ref="BP36:BQ36" si="118">_xlfn.RANK.AVG(BP17,BP$7:BP$24,1)</f>
        <v>9</v>
      </c>
      <c r="BQ36" s="33">
        <f t="shared" si="118"/>
        <v>10</v>
      </c>
      <c r="BR36" s="33">
        <f t="shared" ref="BR36:BS36" si="119">_xlfn.RANK.AVG(BR17,BR$7:BR$24,1)</f>
        <v>9</v>
      </c>
      <c r="BS36" s="33">
        <f t="shared" si="119"/>
        <v>11</v>
      </c>
      <c r="BT36" s="33">
        <f t="shared" ref="BT36:BU36" si="120">_xlfn.RANK.AVG(BT17,BT$7:BT$24,1)</f>
        <v>4</v>
      </c>
      <c r="BU36" s="33">
        <f t="shared" si="120"/>
        <v>14</v>
      </c>
      <c r="BV36" s="33">
        <f t="shared" ref="BV36:BW36" si="121">_xlfn.RANK.AVG(BV17,BV$7:BV$24,1)</f>
        <v>7</v>
      </c>
      <c r="BW36" s="33">
        <f t="shared" si="121"/>
        <v>7</v>
      </c>
      <c r="BX36" s="33">
        <f t="shared" ref="BX36:BY36" si="122">_xlfn.RANK.AVG(BX17,BX$7:BX$24,1)</f>
        <v>2</v>
      </c>
      <c r="BY36" s="33">
        <f t="shared" si="122"/>
        <v>3</v>
      </c>
      <c r="BZ36" s="33">
        <f t="shared" ref="BZ36:CA36" si="123">_xlfn.RANK.AVG(BZ17,BZ$7:BZ$24,1)</f>
        <v>1</v>
      </c>
      <c r="CA36" s="33">
        <f t="shared" si="123"/>
        <v>3</v>
      </c>
      <c r="CB36" s="33">
        <f t="shared" ref="CB36:CC36" si="124">_xlfn.RANK.AVG(CB17,CB$7:CB$24,1)</f>
        <v>2</v>
      </c>
      <c r="CC36" s="33">
        <f t="shared" si="124"/>
        <v>1</v>
      </c>
      <c r="CD36" s="33">
        <f t="shared" ref="CD36:CE36" si="125">_xlfn.RANK.AVG(CD17,CD$7:CD$24,1)</f>
        <v>4</v>
      </c>
      <c r="CE36" s="33">
        <f t="shared" si="125"/>
        <v>4</v>
      </c>
    </row>
    <row r="37" spans="1:83" s="34" customFormat="1" x14ac:dyDescent="0.25">
      <c r="A37" s="51"/>
      <c r="B37" s="32" t="s">
        <v>201</v>
      </c>
      <c r="D37" s="33">
        <f t="shared" si="21"/>
        <v>23</v>
      </c>
      <c r="G37" s="33">
        <v>0</v>
      </c>
      <c r="H37" s="33">
        <v>-8</v>
      </c>
      <c r="I37" s="33">
        <v>-5</v>
      </c>
      <c r="J37" s="33">
        <v>-6</v>
      </c>
      <c r="K37" s="33">
        <f t="shared" si="6"/>
        <v>8</v>
      </c>
      <c r="L37" s="33">
        <f t="shared" si="6"/>
        <v>9</v>
      </c>
      <c r="M37" s="33">
        <f t="shared" si="6"/>
        <v>14</v>
      </c>
      <c r="N37" s="33">
        <f t="shared" si="6"/>
        <v>4</v>
      </c>
      <c r="O37" s="33">
        <f t="shared" si="6"/>
        <v>1</v>
      </c>
      <c r="P37" s="33">
        <f t="shared" si="6"/>
        <v>1</v>
      </c>
      <c r="Q37" s="33">
        <f t="shared" si="6"/>
        <v>10</v>
      </c>
      <c r="R37" s="33">
        <f t="shared" si="6"/>
        <v>4</v>
      </c>
      <c r="S37" s="33">
        <f t="shared" si="6"/>
        <v>5</v>
      </c>
      <c r="T37" s="33">
        <f t="shared" si="6"/>
        <v>8</v>
      </c>
      <c r="U37" s="33">
        <f t="shared" si="22"/>
        <v>2</v>
      </c>
      <c r="V37" s="33">
        <f t="shared" si="23"/>
        <v>3</v>
      </c>
      <c r="W37" s="33">
        <f t="shared" si="7"/>
        <v>3</v>
      </c>
      <c r="X37" s="33">
        <f t="shared" si="7"/>
        <v>2</v>
      </c>
      <c r="Y37" s="33">
        <f t="shared" si="7"/>
        <v>8</v>
      </c>
      <c r="Z37" s="33">
        <f t="shared" si="7"/>
        <v>2</v>
      </c>
      <c r="AA37" s="33">
        <f t="shared" si="7"/>
        <v>2</v>
      </c>
      <c r="AB37" s="33">
        <f t="shared" si="7"/>
        <v>2</v>
      </c>
      <c r="AC37" s="33">
        <f t="shared" si="7"/>
        <v>3</v>
      </c>
      <c r="AD37" s="33">
        <f t="shared" si="7"/>
        <v>3</v>
      </c>
      <c r="AE37" s="33">
        <f t="shared" si="7"/>
        <v>2</v>
      </c>
      <c r="AF37" s="33">
        <f t="shared" si="7"/>
        <v>2</v>
      </c>
      <c r="AG37" s="33">
        <f t="shared" si="7"/>
        <v>4</v>
      </c>
      <c r="AH37" s="33">
        <f t="shared" si="7"/>
        <v>17</v>
      </c>
      <c r="AI37" s="33">
        <f t="shared" si="104"/>
        <v>7</v>
      </c>
      <c r="AJ37" s="33">
        <f t="shared" si="104"/>
        <v>8</v>
      </c>
      <c r="AK37" s="33">
        <f t="shared" si="104"/>
        <v>4</v>
      </c>
      <c r="AL37" s="33">
        <f t="shared" si="104"/>
        <v>6</v>
      </c>
      <c r="AM37" s="33">
        <f t="shared" si="104"/>
        <v>3</v>
      </c>
      <c r="AN37" s="33">
        <f t="shared" si="104"/>
        <v>2</v>
      </c>
      <c r="AO37" s="33">
        <f t="shared" si="104"/>
        <v>1</v>
      </c>
      <c r="AP37" s="33">
        <f t="shared" si="104"/>
        <v>10</v>
      </c>
      <c r="AQ37" s="33">
        <f t="shared" si="104"/>
        <v>6</v>
      </c>
      <c r="AR37" s="33">
        <f t="shared" si="104"/>
        <v>16</v>
      </c>
      <c r="AS37" s="33">
        <f t="shared" si="104"/>
        <v>17</v>
      </c>
      <c r="AT37" s="33">
        <f t="shared" si="104"/>
        <v>8.5</v>
      </c>
      <c r="AU37" s="33">
        <f t="shared" si="104"/>
        <v>15</v>
      </c>
      <c r="AV37" s="33">
        <f t="shared" si="104"/>
        <v>14</v>
      </c>
      <c r="AW37" s="33">
        <f t="shared" si="104"/>
        <v>17</v>
      </c>
      <c r="AX37" s="33">
        <f t="shared" si="104"/>
        <v>14</v>
      </c>
      <c r="AY37" s="33">
        <f t="shared" si="104"/>
        <v>16</v>
      </c>
      <c r="AZ37" s="33">
        <f t="shared" si="104"/>
        <v>15</v>
      </c>
      <c r="BA37" s="33">
        <f t="shared" si="104"/>
        <v>16</v>
      </c>
      <c r="BB37" s="33">
        <f t="shared" si="104"/>
        <v>7</v>
      </c>
      <c r="BC37" s="33">
        <f t="shared" si="104"/>
        <v>13</v>
      </c>
      <c r="BD37" s="33">
        <f t="shared" si="9"/>
        <v>18</v>
      </c>
      <c r="BE37" s="33">
        <f t="shared" si="9"/>
        <v>15</v>
      </c>
      <c r="BF37" s="33">
        <f t="shared" si="115"/>
        <v>14</v>
      </c>
      <c r="BG37" s="33">
        <f t="shared" si="115"/>
        <v>15</v>
      </c>
      <c r="BH37" s="33">
        <f t="shared" si="115"/>
        <v>15</v>
      </c>
      <c r="BI37" s="33">
        <f t="shared" si="115"/>
        <v>7</v>
      </c>
      <c r="BJ37" s="33">
        <f t="shared" si="115"/>
        <v>8</v>
      </c>
      <c r="BK37" s="33">
        <f t="shared" si="115"/>
        <v>9</v>
      </c>
      <c r="BL37" s="33">
        <f t="shared" ref="BL37:BM37" si="126">_xlfn.RANK.AVG(BL18,BL$7:BL$24,1)</f>
        <v>15</v>
      </c>
      <c r="BM37" s="33">
        <f t="shared" si="126"/>
        <v>13</v>
      </c>
      <c r="BN37" s="33">
        <f t="shared" ref="BN37:BO37" si="127">_xlfn.RANK.AVG(BN18,BN$7:BN$24,1)</f>
        <v>17</v>
      </c>
      <c r="BO37" s="33">
        <f t="shared" si="127"/>
        <v>17</v>
      </c>
      <c r="BP37" s="33">
        <f t="shared" ref="BP37:BQ37" si="128">_xlfn.RANK.AVG(BP18,BP$7:BP$24,1)</f>
        <v>17</v>
      </c>
      <c r="BQ37" s="33">
        <f t="shared" si="128"/>
        <v>17</v>
      </c>
      <c r="BR37" s="33">
        <f t="shared" ref="BR37:BS37" si="129">_xlfn.RANK.AVG(BR18,BR$7:BR$24,1)</f>
        <v>18</v>
      </c>
      <c r="BS37" s="33">
        <f t="shared" si="129"/>
        <v>16</v>
      </c>
      <c r="BT37" s="33">
        <f t="shared" ref="BT37:BU37" si="130">_xlfn.RANK.AVG(BT18,BT$7:BT$24,1)</f>
        <v>13.5</v>
      </c>
      <c r="BU37" s="33">
        <f t="shared" si="130"/>
        <v>9.5</v>
      </c>
      <c r="BV37" s="33">
        <f t="shared" ref="BV37:BW37" si="131">_xlfn.RANK.AVG(BV18,BV$7:BV$24,1)</f>
        <v>16</v>
      </c>
      <c r="BW37" s="33">
        <f t="shared" si="131"/>
        <v>18</v>
      </c>
      <c r="BX37" s="33">
        <f t="shared" ref="BX37:BY37" si="132">_xlfn.RANK.AVG(BX18,BX$7:BX$24,1)</f>
        <v>17</v>
      </c>
      <c r="BY37" s="33">
        <f t="shared" si="132"/>
        <v>17</v>
      </c>
      <c r="BZ37" s="33">
        <f t="shared" ref="BZ37:CA37" si="133">_xlfn.RANK.AVG(BZ18,BZ$7:BZ$24,1)</f>
        <v>16</v>
      </c>
      <c r="CA37" s="33">
        <f t="shared" si="133"/>
        <v>17</v>
      </c>
      <c r="CB37" s="33">
        <f t="shared" ref="CB37:CC37" si="134">_xlfn.RANK.AVG(CB18,CB$7:CB$24,1)</f>
        <v>11</v>
      </c>
      <c r="CC37" s="33">
        <f t="shared" si="134"/>
        <v>14</v>
      </c>
      <c r="CD37" s="33">
        <f t="shared" ref="CD37:CE37" si="135">_xlfn.RANK.AVG(CD18,CD$7:CD$24,1)</f>
        <v>18</v>
      </c>
      <c r="CE37" s="33">
        <f t="shared" si="135"/>
        <v>7</v>
      </c>
    </row>
    <row r="38" spans="1:83" x14ac:dyDescent="0.25">
      <c r="A38" s="51"/>
      <c r="B38" s="32" t="s">
        <v>148</v>
      </c>
      <c r="D38" s="33">
        <f t="shared" si="21"/>
        <v>76</v>
      </c>
      <c r="E38" s="34"/>
      <c r="F38" s="34"/>
      <c r="G38" s="33">
        <v>4</v>
      </c>
      <c r="H38" s="33">
        <v>-1</v>
      </c>
      <c r="I38" s="33">
        <v>-4</v>
      </c>
      <c r="J38" s="33">
        <v>-1</v>
      </c>
      <c r="K38" s="33">
        <f t="shared" si="6"/>
        <v>5</v>
      </c>
      <c r="L38" s="33">
        <f t="shared" si="6"/>
        <v>8</v>
      </c>
      <c r="M38" s="33">
        <f t="shared" si="6"/>
        <v>14</v>
      </c>
      <c r="N38" s="33">
        <f t="shared" si="6"/>
        <v>9.5</v>
      </c>
      <c r="O38" s="33">
        <f t="shared" si="6"/>
        <v>16</v>
      </c>
      <c r="P38" s="33">
        <f t="shared" si="6"/>
        <v>9</v>
      </c>
      <c r="Q38" s="33">
        <f t="shared" si="6"/>
        <v>8</v>
      </c>
      <c r="R38" s="33">
        <f t="shared" si="6"/>
        <v>11</v>
      </c>
      <c r="S38" s="33">
        <f t="shared" si="6"/>
        <v>11</v>
      </c>
      <c r="T38" s="33">
        <f t="shared" si="6"/>
        <v>13</v>
      </c>
      <c r="U38" s="33">
        <f t="shared" si="22"/>
        <v>17</v>
      </c>
      <c r="V38" s="33">
        <f t="shared" si="23"/>
        <v>9</v>
      </c>
      <c r="W38" s="33">
        <f t="shared" si="7"/>
        <v>14</v>
      </c>
      <c r="X38" s="33">
        <f t="shared" si="7"/>
        <v>12</v>
      </c>
      <c r="Y38" s="33">
        <f t="shared" si="7"/>
        <v>11</v>
      </c>
      <c r="Z38" s="33">
        <f t="shared" si="7"/>
        <v>13</v>
      </c>
      <c r="AA38" s="33">
        <f t="shared" si="7"/>
        <v>9</v>
      </c>
      <c r="AB38" s="33">
        <f t="shared" si="7"/>
        <v>9</v>
      </c>
      <c r="AC38" s="33">
        <f t="shared" si="7"/>
        <v>10</v>
      </c>
      <c r="AD38" s="33">
        <f t="shared" si="7"/>
        <v>16</v>
      </c>
      <c r="AE38" s="33">
        <f t="shared" si="7"/>
        <v>14</v>
      </c>
      <c r="AF38" s="33">
        <f t="shared" si="7"/>
        <v>6</v>
      </c>
      <c r="AG38" s="33">
        <f t="shared" si="7"/>
        <v>12</v>
      </c>
      <c r="AH38" s="33">
        <f t="shared" si="7"/>
        <v>2</v>
      </c>
      <c r="AI38" s="33">
        <f t="shared" si="104"/>
        <v>6</v>
      </c>
      <c r="AJ38" s="33">
        <f t="shared" si="104"/>
        <v>13</v>
      </c>
      <c r="AK38" s="33">
        <f t="shared" si="104"/>
        <v>15</v>
      </c>
      <c r="AL38" s="33">
        <f t="shared" si="104"/>
        <v>5</v>
      </c>
      <c r="AM38" s="33">
        <f t="shared" si="104"/>
        <v>8</v>
      </c>
      <c r="AN38" s="33">
        <f t="shared" si="104"/>
        <v>4</v>
      </c>
      <c r="AO38" s="33">
        <f t="shared" si="104"/>
        <v>16</v>
      </c>
      <c r="AP38" s="33">
        <f t="shared" si="104"/>
        <v>9</v>
      </c>
      <c r="AQ38" s="33">
        <f t="shared" si="104"/>
        <v>10</v>
      </c>
      <c r="AR38" s="33">
        <f t="shared" si="104"/>
        <v>9</v>
      </c>
      <c r="AS38" s="33">
        <f t="shared" si="104"/>
        <v>13</v>
      </c>
      <c r="AT38" s="33">
        <f t="shared" si="104"/>
        <v>16</v>
      </c>
      <c r="AU38" s="33">
        <f t="shared" si="104"/>
        <v>12</v>
      </c>
      <c r="AV38" s="33">
        <f t="shared" si="104"/>
        <v>8</v>
      </c>
      <c r="AW38" s="33">
        <f t="shared" si="104"/>
        <v>5</v>
      </c>
      <c r="AX38" s="33">
        <f t="shared" si="104"/>
        <v>6</v>
      </c>
      <c r="AY38" s="33">
        <f t="shared" si="104"/>
        <v>7</v>
      </c>
      <c r="AZ38" s="33">
        <f t="shared" si="104"/>
        <v>4</v>
      </c>
      <c r="BA38" s="33">
        <f t="shared" si="104"/>
        <v>5</v>
      </c>
      <c r="BB38" s="33">
        <f t="shared" si="104"/>
        <v>12</v>
      </c>
      <c r="BC38" s="33">
        <f t="shared" si="104"/>
        <v>1</v>
      </c>
      <c r="BD38" s="33">
        <f t="shared" si="9"/>
        <v>2</v>
      </c>
      <c r="BE38" s="33">
        <f t="shared" si="9"/>
        <v>3</v>
      </c>
      <c r="BF38" s="33">
        <f t="shared" si="115"/>
        <v>3</v>
      </c>
      <c r="BG38" s="33">
        <f t="shared" si="115"/>
        <v>17</v>
      </c>
      <c r="BH38" s="33">
        <f t="shared" si="115"/>
        <v>14</v>
      </c>
      <c r="BI38" s="33">
        <f t="shared" si="115"/>
        <v>3</v>
      </c>
      <c r="BJ38" s="33">
        <f t="shared" si="115"/>
        <v>3</v>
      </c>
      <c r="BK38" s="33">
        <f t="shared" si="115"/>
        <v>15</v>
      </c>
      <c r="BL38" s="33">
        <f t="shared" ref="BL38:BM38" si="136">_xlfn.RANK.AVG(BL19,BL$7:BL$24,1)</f>
        <v>2</v>
      </c>
      <c r="BM38" s="33">
        <f t="shared" si="136"/>
        <v>10</v>
      </c>
      <c r="BN38" s="33">
        <f t="shared" ref="BN38:BO38" si="137">_xlfn.RANK.AVG(BN19,BN$7:BN$24,1)</f>
        <v>2</v>
      </c>
      <c r="BO38" s="33">
        <f t="shared" si="137"/>
        <v>6</v>
      </c>
      <c r="BP38" s="33">
        <f t="shared" ref="BP38:BQ38" si="138">_xlfn.RANK.AVG(BP19,BP$7:BP$24,1)</f>
        <v>2</v>
      </c>
      <c r="BQ38" s="33">
        <f t="shared" si="138"/>
        <v>4</v>
      </c>
      <c r="BR38" s="33">
        <f t="shared" ref="BR38:BS38" si="139">_xlfn.RANK.AVG(BR19,BR$7:BR$24,1)</f>
        <v>2</v>
      </c>
      <c r="BS38" s="33">
        <f t="shared" si="139"/>
        <v>9</v>
      </c>
      <c r="BT38" s="33">
        <f t="shared" ref="BT38:BU38" si="140">_xlfn.RANK.AVG(BT19,BT$7:BT$24,1)</f>
        <v>2</v>
      </c>
      <c r="BU38" s="33">
        <f t="shared" si="140"/>
        <v>12</v>
      </c>
      <c r="BV38" s="33">
        <f t="shared" ref="BV38:BW38" si="141">_xlfn.RANK.AVG(BV19,BV$7:BV$24,1)</f>
        <v>12</v>
      </c>
      <c r="BW38" s="33">
        <f t="shared" si="141"/>
        <v>11</v>
      </c>
      <c r="BX38" s="33">
        <f t="shared" ref="BX38:BY38" si="142">_xlfn.RANK.AVG(BX19,BX$7:BX$24,1)</f>
        <v>3</v>
      </c>
      <c r="BY38" s="33">
        <f t="shared" si="142"/>
        <v>16</v>
      </c>
      <c r="BZ38" s="33">
        <f t="shared" ref="BZ38:CA38" si="143">_xlfn.RANK.AVG(BZ19,BZ$7:BZ$24,1)</f>
        <v>18</v>
      </c>
      <c r="CA38" s="33">
        <f t="shared" si="143"/>
        <v>8</v>
      </c>
      <c r="CB38" s="33">
        <f t="shared" ref="CB38:CC38" si="144">_xlfn.RANK.AVG(CB19,CB$7:CB$24,1)</f>
        <v>17</v>
      </c>
      <c r="CC38" s="33">
        <f t="shared" si="144"/>
        <v>3</v>
      </c>
      <c r="CD38" s="33">
        <f t="shared" ref="CD38:CE38" si="145">_xlfn.RANK.AVG(CD19,CD$7:CD$24,1)</f>
        <v>3</v>
      </c>
      <c r="CE38" s="33">
        <f t="shared" si="145"/>
        <v>15</v>
      </c>
    </row>
    <row r="39" spans="1:83" x14ac:dyDescent="0.25">
      <c r="A39" s="51"/>
      <c r="B39" s="32" t="s">
        <v>163</v>
      </c>
      <c r="D39" s="33">
        <f t="shared" si="21"/>
        <v>46</v>
      </c>
      <c r="E39" s="34"/>
      <c r="F39" s="34"/>
      <c r="G39" s="33">
        <v>-5</v>
      </c>
      <c r="H39" s="33">
        <v>-9</v>
      </c>
      <c r="I39" s="33">
        <v>-3</v>
      </c>
      <c r="J39" s="33">
        <v>0</v>
      </c>
      <c r="K39" s="33">
        <f t="shared" si="6"/>
        <v>1</v>
      </c>
      <c r="L39" s="33">
        <f t="shared" si="6"/>
        <v>7</v>
      </c>
      <c r="M39" s="33">
        <f t="shared" si="6"/>
        <v>9</v>
      </c>
      <c r="N39" s="33">
        <f t="shared" si="6"/>
        <v>7</v>
      </c>
      <c r="O39" s="33">
        <f t="shared" si="6"/>
        <v>12</v>
      </c>
      <c r="P39" s="33">
        <f t="shared" si="6"/>
        <v>11</v>
      </c>
      <c r="Q39" s="33">
        <f t="shared" si="6"/>
        <v>14</v>
      </c>
      <c r="R39" s="33">
        <f t="shared" si="6"/>
        <v>2</v>
      </c>
      <c r="S39" s="33">
        <f t="shared" si="6"/>
        <v>2</v>
      </c>
      <c r="T39" s="33">
        <f t="shared" si="6"/>
        <v>9</v>
      </c>
      <c r="U39" s="33">
        <f t="shared" si="22"/>
        <v>12</v>
      </c>
      <c r="V39" s="33">
        <f t="shared" si="23"/>
        <v>4</v>
      </c>
      <c r="W39" s="33">
        <f t="shared" si="7"/>
        <v>8</v>
      </c>
      <c r="X39" s="33">
        <f t="shared" si="7"/>
        <v>11</v>
      </c>
      <c r="Y39" s="33">
        <f t="shared" si="7"/>
        <v>7</v>
      </c>
      <c r="Z39" s="33">
        <f t="shared" si="7"/>
        <v>16</v>
      </c>
      <c r="AA39" s="33">
        <f t="shared" si="7"/>
        <v>16</v>
      </c>
      <c r="AB39" s="33">
        <f t="shared" si="7"/>
        <v>10</v>
      </c>
      <c r="AC39" s="33">
        <f t="shared" si="7"/>
        <v>13</v>
      </c>
      <c r="AD39" s="33">
        <f t="shared" si="7"/>
        <v>14</v>
      </c>
      <c r="AE39" s="33">
        <f t="shared" si="7"/>
        <v>7</v>
      </c>
      <c r="AF39" s="33">
        <f t="shared" si="7"/>
        <v>7</v>
      </c>
      <c r="AG39" s="33">
        <f t="shared" si="7"/>
        <v>15</v>
      </c>
      <c r="AH39" s="33">
        <f t="shared" si="7"/>
        <v>4</v>
      </c>
      <c r="AI39" s="33">
        <f t="shared" si="104"/>
        <v>4</v>
      </c>
      <c r="AJ39" s="33">
        <f t="shared" si="104"/>
        <v>2</v>
      </c>
      <c r="AK39" s="33">
        <f t="shared" si="104"/>
        <v>5</v>
      </c>
      <c r="AL39" s="33">
        <f t="shared" si="104"/>
        <v>10</v>
      </c>
      <c r="AM39" s="33">
        <f t="shared" si="104"/>
        <v>12</v>
      </c>
      <c r="AN39" s="33">
        <f t="shared" si="104"/>
        <v>5</v>
      </c>
      <c r="AO39" s="33">
        <f t="shared" si="104"/>
        <v>8</v>
      </c>
      <c r="AP39" s="33">
        <f t="shared" si="104"/>
        <v>5</v>
      </c>
      <c r="AQ39" s="33">
        <f t="shared" si="104"/>
        <v>12</v>
      </c>
      <c r="AR39" s="33">
        <f t="shared" si="104"/>
        <v>10</v>
      </c>
      <c r="AS39" s="33">
        <f t="shared" si="104"/>
        <v>12</v>
      </c>
      <c r="AT39" s="33">
        <f t="shared" si="104"/>
        <v>8.5</v>
      </c>
      <c r="AU39" s="33">
        <f t="shared" si="104"/>
        <v>8</v>
      </c>
      <c r="AV39" s="33">
        <f t="shared" si="104"/>
        <v>16</v>
      </c>
      <c r="AW39" s="33">
        <f t="shared" si="104"/>
        <v>18</v>
      </c>
      <c r="AX39" s="33">
        <f t="shared" si="104"/>
        <v>8</v>
      </c>
      <c r="AY39" s="33">
        <f t="shared" si="104"/>
        <v>10</v>
      </c>
      <c r="AZ39" s="33">
        <f t="shared" si="104"/>
        <v>14</v>
      </c>
      <c r="BA39" s="33">
        <f t="shared" si="104"/>
        <v>8</v>
      </c>
      <c r="BB39" s="33">
        <f t="shared" si="104"/>
        <v>2</v>
      </c>
      <c r="BC39" s="33">
        <f t="shared" si="104"/>
        <v>16</v>
      </c>
      <c r="BD39" s="33">
        <f t="shared" si="9"/>
        <v>8</v>
      </c>
      <c r="BE39" s="33">
        <f t="shared" si="9"/>
        <v>4</v>
      </c>
      <c r="BF39" s="33">
        <f t="shared" si="115"/>
        <v>15</v>
      </c>
      <c r="BG39" s="33">
        <f t="shared" si="115"/>
        <v>11</v>
      </c>
      <c r="BH39" s="33">
        <f t="shared" si="115"/>
        <v>8</v>
      </c>
      <c r="BI39" s="33">
        <f t="shared" si="115"/>
        <v>18</v>
      </c>
      <c r="BJ39" s="33">
        <f t="shared" si="115"/>
        <v>13</v>
      </c>
      <c r="BK39" s="33">
        <f t="shared" si="115"/>
        <v>16</v>
      </c>
      <c r="BL39" s="33">
        <f t="shared" ref="BL39:BM39" si="146">_xlfn.RANK.AVG(BL20,BL$7:BL$24,1)</f>
        <v>14</v>
      </c>
      <c r="BM39" s="33">
        <f t="shared" si="146"/>
        <v>16</v>
      </c>
      <c r="BN39" s="33">
        <f t="shared" ref="BN39:BO39" si="147">_xlfn.RANK.AVG(BN20,BN$7:BN$24,1)</f>
        <v>14</v>
      </c>
      <c r="BO39" s="33">
        <f t="shared" si="147"/>
        <v>16</v>
      </c>
      <c r="BP39" s="33">
        <f t="shared" ref="BP39:BQ39" si="148">_xlfn.RANK.AVG(BP20,BP$7:BP$24,1)</f>
        <v>1</v>
      </c>
      <c r="BQ39" s="33">
        <f t="shared" si="148"/>
        <v>18</v>
      </c>
      <c r="BR39" s="33">
        <f t="shared" ref="BR39:BS39" si="149">_xlfn.RANK.AVG(BR20,BR$7:BR$24,1)</f>
        <v>5</v>
      </c>
      <c r="BS39" s="33">
        <f t="shared" si="149"/>
        <v>7</v>
      </c>
      <c r="BT39" s="33">
        <f t="shared" ref="BT39:BU39" si="150">_xlfn.RANK.AVG(BT20,BT$7:BT$24,1)</f>
        <v>11</v>
      </c>
      <c r="BU39" s="33">
        <f t="shared" si="150"/>
        <v>18</v>
      </c>
      <c r="BV39" s="33">
        <f t="shared" ref="BV39:BW39" si="151">_xlfn.RANK.AVG(BV20,BV$7:BV$24,1)</f>
        <v>17</v>
      </c>
      <c r="BW39" s="33">
        <f t="shared" si="151"/>
        <v>16</v>
      </c>
      <c r="BX39" s="33">
        <f t="shared" ref="BX39:BY39" si="152">_xlfn.RANK.AVG(BX20,BX$7:BX$24,1)</f>
        <v>15</v>
      </c>
      <c r="BY39" s="33">
        <f t="shared" si="152"/>
        <v>8</v>
      </c>
      <c r="BZ39" s="33">
        <f t="shared" ref="BZ39:CA39" si="153">_xlfn.RANK.AVG(BZ20,BZ$7:BZ$24,1)</f>
        <v>7</v>
      </c>
      <c r="CA39" s="33">
        <f t="shared" si="153"/>
        <v>8</v>
      </c>
      <c r="CB39" s="33">
        <f t="shared" ref="CB39:CC39" si="154">_xlfn.RANK.AVG(CB20,CB$7:CB$24,1)</f>
        <v>12</v>
      </c>
      <c r="CC39" s="33">
        <f t="shared" si="154"/>
        <v>12</v>
      </c>
      <c r="CD39" s="33">
        <f t="shared" ref="CD39:CE39" si="155">_xlfn.RANK.AVG(CD20,CD$7:CD$24,1)</f>
        <v>17</v>
      </c>
      <c r="CE39" s="33">
        <f t="shared" si="155"/>
        <v>18</v>
      </c>
    </row>
    <row r="40" spans="1:83" x14ac:dyDescent="0.25">
      <c r="A40" s="51"/>
      <c r="B40" s="32" t="s">
        <v>483</v>
      </c>
      <c r="D40" s="33">
        <f t="shared" si="21"/>
        <v>36</v>
      </c>
      <c r="E40" s="34"/>
      <c r="F40" s="34"/>
      <c r="G40" s="33">
        <v>7</v>
      </c>
      <c r="H40" s="33">
        <v>5</v>
      </c>
      <c r="I40" s="33">
        <v>0</v>
      </c>
      <c r="J40" s="33">
        <v>0</v>
      </c>
      <c r="K40" s="33">
        <f t="shared" si="6"/>
        <v>17</v>
      </c>
      <c r="L40" s="33">
        <f t="shared" si="6"/>
        <v>2</v>
      </c>
      <c r="M40" s="33">
        <f t="shared" si="6"/>
        <v>4</v>
      </c>
      <c r="N40" s="33">
        <f t="shared" si="6"/>
        <v>1</v>
      </c>
      <c r="O40" s="33">
        <f t="shared" si="6"/>
        <v>15</v>
      </c>
      <c r="P40" s="33">
        <f t="shared" si="6"/>
        <v>18</v>
      </c>
      <c r="Q40" s="33">
        <f t="shared" si="6"/>
        <v>1</v>
      </c>
      <c r="R40" s="33">
        <f t="shared" si="6"/>
        <v>1</v>
      </c>
      <c r="S40" s="33">
        <f t="shared" si="6"/>
        <v>15</v>
      </c>
      <c r="T40" s="33">
        <f t="shared" si="6"/>
        <v>15</v>
      </c>
      <c r="U40" s="33">
        <f t="shared" si="22"/>
        <v>1</v>
      </c>
      <c r="V40" s="33">
        <f t="shared" si="23"/>
        <v>2</v>
      </c>
      <c r="W40" s="33">
        <f t="shared" si="7"/>
        <v>2</v>
      </c>
      <c r="X40" s="33">
        <f t="shared" si="7"/>
        <v>1</v>
      </c>
      <c r="Y40" s="33">
        <f t="shared" si="7"/>
        <v>1</v>
      </c>
      <c r="Z40" s="33">
        <f t="shared" si="7"/>
        <v>1</v>
      </c>
      <c r="AA40" s="33">
        <f t="shared" si="7"/>
        <v>1</v>
      </c>
      <c r="AB40" s="33">
        <f t="shared" si="7"/>
        <v>3</v>
      </c>
      <c r="AC40" s="33">
        <f t="shared" si="7"/>
        <v>2</v>
      </c>
      <c r="AD40" s="33">
        <f t="shared" si="7"/>
        <v>1</v>
      </c>
      <c r="AE40" s="33">
        <f t="shared" si="7"/>
        <v>4</v>
      </c>
      <c r="AF40" s="33">
        <f t="shared" si="7"/>
        <v>17</v>
      </c>
      <c r="AG40" s="33">
        <f t="shared" si="7"/>
        <v>6</v>
      </c>
      <c r="AH40" s="33">
        <f t="shared" si="7"/>
        <v>9</v>
      </c>
      <c r="AI40" s="33">
        <f t="shared" si="104"/>
        <v>13</v>
      </c>
      <c r="AJ40" s="33">
        <f t="shared" si="104"/>
        <v>1</v>
      </c>
      <c r="AK40" s="33">
        <f t="shared" si="104"/>
        <v>2</v>
      </c>
      <c r="AL40" s="33">
        <f t="shared" si="104"/>
        <v>3</v>
      </c>
      <c r="AM40" s="33">
        <f t="shared" si="104"/>
        <v>2</v>
      </c>
      <c r="AN40" s="33">
        <f t="shared" si="104"/>
        <v>3</v>
      </c>
      <c r="AO40" s="33">
        <f t="shared" si="104"/>
        <v>11</v>
      </c>
      <c r="AP40" s="33">
        <f t="shared" si="104"/>
        <v>17</v>
      </c>
      <c r="AQ40" s="33">
        <f t="shared" si="104"/>
        <v>16</v>
      </c>
      <c r="AR40" s="33">
        <f t="shared" si="104"/>
        <v>15</v>
      </c>
      <c r="AS40" s="33">
        <f t="shared" si="104"/>
        <v>14</v>
      </c>
      <c r="AT40" s="33">
        <f t="shared" si="104"/>
        <v>4</v>
      </c>
      <c r="AU40" s="33">
        <f t="shared" si="104"/>
        <v>5</v>
      </c>
      <c r="AV40" s="33">
        <f t="shared" si="104"/>
        <v>1</v>
      </c>
      <c r="AW40" s="33">
        <f t="shared" si="104"/>
        <v>15</v>
      </c>
      <c r="AX40" s="33">
        <f t="shared" si="104"/>
        <v>2</v>
      </c>
      <c r="AY40" s="33">
        <f t="shared" si="104"/>
        <v>1</v>
      </c>
      <c r="AZ40" s="33">
        <f t="shared" si="104"/>
        <v>18</v>
      </c>
      <c r="BA40" s="33">
        <f t="shared" si="104"/>
        <v>18</v>
      </c>
      <c r="BB40" s="33">
        <f t="shared" si="104"/>
        <v>6</v>
      </c>
      <c r="BC40" s="33">
        <f t="shared" si="104"/>
        <v>18</v>
      </c>
      <c r="BD40" s="33">
        <f t="shared" si="9"/>
        <v>11</v>
      </c>
      <c r="BE40" s="33">
        <f t="shared" si="9"/>
        <v>18</v>
      </c>
      <c r="BF40" s="33">
        <f t="shared" si="115"/>
        <v>1</v>
      </c>
      <c r="BG40" s="33">
        <f t="shared" si="115"/>
        <v>1</v>
      </c>
      <c r="BH40" s="33">
        <f t="shared" si="115"/>
        <v>2</v>
      </c>
      <c r="BI40" s="33">
        <f t="shared" si="115"/>
        <v>1</v>
      </c>
      <c r="BJ40" s="33">
        <f t="shared" si="115"/>
        <v>14</v>
      </c>
      <c r="BK40" s="33">
        <f t="shared" si="115"/>
        <v>9</v>
      </c>
      <c r="BL40" s="33">
        <f t="shared" ref="BL40:BM40" si="156">_xlfn.RANK.AVG(BL21,BL$7:BL$24,1)</f>
        <v>8</v>
      </c>
      <c r="BM40" s="33">
        <f t="shared" si="156"/>
        <v>17</v>
      </c>
      <c r="BN40" s="33">
        <f t="shared" ref="BN40:BO40" si="157">_xlfn.RANK.AVG(BN21,BN$7:BN$24,1)</f>
        <v>18</v>
      </c>
      <c r="BO40" s="33">
        <f t="shared" si="157"/>
        <v>18</v>
      </c>
      <c r="BP40" s="33">
        <f t="shared" ref="BP40:BQ40" si="158">_xlfn.RANK.AVG(BP21,BP$7:BP$24,1)</f>
        <v>18</v>
      </c>
      <c r="BQ40" s="33">
        <f t="shared" si="158"/>
        <v>2</v>
      </c>
      <c r="BR40" s="33">
        <f t="shared" ref="BR40:BS40" si="159">_xlfn.RANK.AVG(BR21,BR$7:BR$24,1)</f>
        <v>1</v>
      </c>
      <c r="BS40" s="33">
        <f t="shared" si="159"/>
        <v>2</v>
      </c>
      <c r="BT40" s="33">
        <f t="shared" ref="BT40:BU40" si="160">_xlfn.RANK.AVG(BT21,BT$7:BT$24,1)</f>
        <v>1</v>
      </c>
      <c r="BU40" s="33">
        <f t="shared" si="160"/>
        <v>3</v>
      </c>
      <c r="BV40" s="33">
        <f t="shared" ref="BV40:BW40" si="161">_xlfn.RANK.AVG(BV21,BV$7:BV$24,1)</f>
        <v>9.5</v>
      </c>
      <c r="BW40" s="33">
        <f t="shared" si="161"/>
        <v>7</v>
      </c>
      <c r="BX40" s="33">
        <f t="shared" ref="BX40:BY40" si="162">_xlfn.RANK.AVG(BX21,BX$7:BX$24,1)</f>
        <v>8.5</v>
      </c>
      <c r="BY40" s="33">
        <f t="shared" si="162"/>
        <v>7</v>
      </c>
      <c r="BZ40" s="33">
        <f t="shared" ref="BZ40:CA40" si="163">_xlfn.RANK.AVG(BZ21,BZ$7:BZ$24,1)</f>
        <v>3</v>
      </c>
      <c r="CA40" s="33">
        <f t="shared" si="163"/>
        <v>8</v>
      </c>
      <c r="CB40" s="33">
        <f t="shared" ref="CB40:CC40" si="164">_xlfn.RANK.AVG(CB21,CB$7:CB$24,1)</f>
        <v>1</v>
      </c>
      <c r="CC40" s="33">
        <f t="shared" si="164"/>
        <v>11</v>
      </c>
      <c r="CD40" s="33">
        <f t="shared" ref="CD40:CE40" si="165">_xlfn.RANK.AVG(CD21,CD$7:CD$24,1)</f>
        <v>12.5</v>
      </c>
      <c r="CE40" s="33">
        <f t="shared" si="165"/>
        <v>5</v>
      </c>
    </row>
    <row r="41" spans="1:83" x14ac:dyDescent="0.25">
      <c r="A41" s="51"/>
      <c r="B41" s="38" t="s">
        <v>484</v>
      </c>
      <c r="D41" s="33">
        <f t="shared" si="21"/>
        <v>73</v>
      </c>
      <c r="E41" s="34"/>
      <c r="F41" s="34"/>
      <c r="G41" s="33">
        <v>8</v>
      </c>
      <c r="H41" s="33">
        <v>3</v>
      </c>
      <c r="I41" s="33">
        <v>-7</v>
      </c>
      <c r="J41" s="33">
        <v>-10</v>
      </c>
      <c r="K41" s="33">
        <f t="shared" si="6"/>
        <v>3</v>
      </c>
      <c r="L41" s="33">
        <f t="shared" si="6"/>
        <v>4</v>
      </c>
      <c r="M41" s="33">
        <f t="shared" si="6"/>
        <v>18</v>
      </c>
      <c r="N41" s="33">
        <f t="shared" si="6"/>
        <v>5</v>
      </c>
      <c r="O41" s="33">
        <f t="shared" si="6"/>
        <v>13</v>
      </c>
      <c r="P41" s="33">
        <f t="shared" si="6"/>
        <v>2</v>
      </c>
      <c r="Q41" s="33">
        <f t="shared" si="6"/>
        <v>4</v>
      </c>
      <c r="R41" s="33">
        <f t="shared" si="6"/>
        <v>12</v>
      </c>
      <c r="S41" s="33">
        <f t="shared" si="6"/>
        <v>18</v>
      </c>
      <c r="T41" s="33">
        <f t="shared" si="6"/>
        <v>16</v>
      </c>
      <c r="U41" s="33">
        <f t="shared" si="22"/>
        <v>15</v>
      </c>
      <c r="V41" s="33">
        <f t="shared" si="23"/>
        <v>7</v>
      </c>
      <c r="W41" s="33">
        <f t="shared" si="7"/>
        <v>1</v>
      </c>
      <c r="X41" s="33">
        <f t="shared" si="7"/>
        <v>16</v>
      </c>
      <c r="Y41" s="33">
        <f t="shared" si="7"/>
        <v>6</v>
      </c>
      <c r="Z41" s="33">
        <f t="shared" si="7"/>
        <v>4</v>
      </c>
      <c r="AA41" s="33">
        <f t="shared" si="7"/>
        <v>18</v>
      </c>
      <c r="AB41" s="33">
        <f t="shared" si="7"/>
        <v>18</v>
      </c>
      <c r="AC41" s="33">
        <f t="shared" si="7"/>
        <v>17</v>
      </c>
      <c r="AD41" s="33">
        <f t="shared" si="7"/>
        <v>15</v>
      </c>
      <c r="AE41" s="33">
        <f t="shared" si="7"/>
        <v>8</v>
      </c>
      <c r="AF41" s="33">
        <f t="shared" si="7"/>
        <v>1</v>
      </c>
      <c r="AG41" s="33">
        <f t="shared" si="7"/>
        <v>1</v>
      </c>
      <c r="AH41" s="33">
        <f t="shared" si="7"/>
        <v>11</v>
      </c>
      <c r="AI41" s="33">
        <f t="shared" si="104"/>
        <v>16</v>
      </c>
      <c r="AJ41" s="33">
        <f t="shared" si="104"/>
        <v>4</v>
      </c>
      <c r="AK41" s="33">
        <f t="shared" si="104"/>
        <v>16</v>
      </c>
      <c r="AL41" s="33">
        <f t="shared" si="104"/>
        <v>3</v>
      </c>
      <c r="AM41" s="33">
        <f t="shared" si="104"/>
        <v>17</v>
      </c>
      <c r="AN41" s="33">
        <f t="shared" si="104"/>
        <v>12</v>
      </c>
      <c r="AO41" s="33">
        <f t="shared" si="104"/>
        <v>5</v>
      </c>
      <c r="AP41" s="33">
        <f t="shared" si="104"/>
        <v>2.5</v>
      </c>
      <c r="AQ41" s="33">
        <f t="shared" si="104"/>
        <v>17</v>
      </c>
      <c r="AR41" s="33">
        <f t="shared" si="104"/>
        <v>11</v>
      </c>
      <c r="AS41" s="33">
        <f t="shared" si="104"/>
        <v>8</v>
      </c>
      <c r="AT41" s="33">
        <f t="shared" si="104"/>
        <v>2</v>
      </c>
      <c r="AU41" s="33">
        <f t="shared" si="104"/>
        <v>4</v>
      </c>
      <c r="AV41" s="33">
        <f t="shared" si="104"/>
        <v>4</v>
      </c>
      <c r="AW41" s="33">
        <f t="shared" si="104"/>
        <v>15</v>
      </c>
      <c r="AX41" s="33">
        <f t="shared" si="104"/>
        <v>16</v>
      </c>
      <c r="AY41" s="33">
        <f t="shared" si="104"/>
        <v>4</v>
      </c>
      <c r="AZ41" s="33">
        <f t="shared" si="104"/>
        <v>3</v>
      </c>
      <c r="BA41" s="33">
        <f t="shared" si="104"/>
        <v>12.5</v>
      </c>
      <c r="BB41" s="33">
        <f t="shared" si="104"/>
        <v>4</v>
      </c>
      <c r="BC41" s="33">
        <f t="shared" si="104"/>
        <v>3</v>
      </c>
      <c r="BD41" s="33">
        <f t="shared" si="9"/>
        <v>4</v>
      </c>
      <c r="BE41" s="33">
        <f t="shared" si="9"/>
        <v>6</v>
      </c>
      <c r="BF41" s="33">
        <f t="shared" si="115"/>
        <v>16</v>
      </c>
      <c r="BG41" s="33">
        <f t="shared" si="115"/>
        <v>2</v>
      </c>
      <c r="BH41" s="33">
        <f t="shared" si="115"/>
        <v>6</v>
      </c>
      <c r="BI41" s="33">
        <f t="shared" si="115"/>
        <v>6</v>
      </c>
      <c r="BJ41" s="33">
        <f t="shared" si="115"/>
        <v>17</v>
      </c>
      <c r="BK41" s="33">
        <f t="shared" si="115"/>
        <v>9</v>
      </c>
      <c r="BL41" s="33">
        <f t="shared" ref="BL41:BM41" si="166">_xlfn.RANK.AVG(BL22,BL$7:BL$24,1)</f>
        <v>18</v>
      </c>
      <c r="BM41" s="33">
        <f t="shared" si="166"/>
        <v>15</v>
      </c>
      <c r="BN41" s="33">
        <f t="shared" ref="BN41:BO41" si="167">_xlfn.RANK.AVG(BN22,BN$7:BN$24,1)</f>
        <v>15</v>
      </c>
      <c r="BO41" s="33">
        <f t="shared" si="167"/>
        <v>1</v>
      </c>
      <c r="BP41" s="33">
        <f t="shared" ref="BP41:BQ41" si="168">_xlfn.RANK.AVG(BP22,BP$7:BP$24,1)</f>
        <v>12.5</v>
      </c>
      <c r="BQ41" s="33">
        <f t="shared" si="168"/>
        <v>1</v>
      </c>
      <c r="BR41" s="33">
        <f t="shared" ref="BR41:BS41" si="169">_xlfn.RANK.AVG(BR22,BR$7:BR$24,1)</f>
        <v>16</v>
      </c>
      <c r="BS41" s="33">
        <f t="shared" si="169"/>
        <v>1</v>
      </c>
      <c r="BT41" s="33">
        <f t="shared" ref="BT41:BU41" si="170">_xlfn.RANK.AVG(BT22,BT$7:BT$24,1)</f>
        <v>13.5</v>
      </c>
      <c r="BU41" s="33">
        <f t="shared" si="170"/>
        <v>1</v>
      </c>
      <c r="BV41" s="33">
        <f t="shared" ref="BV41:BW41" si="171">_xlfn.RANK.AVG(BV22,BV$7:BV$24,1)</f>
        <v>18</v>
      </c>
      <c r="BW41" s="33">
        <f t="shared" si="171"/>
        <v>2</v>
      </c>
      <c r="BX41" s="33">
        <f t="shared" ref="BX41:BY41" si="172">_xlfn.RANK.AVG(BX22,BX$7:BX$24,1)</f>
        <v>18</v>
      </c>
      <c r="BY41" s="33">
        <f t="shared" si="172"/>
        <v>14</v>
      </c>
      <c r="BZ41" s="33">
        <f t="shared" ref="BZ41:CA41" si="173">_xlfn.RANK.AVG(BZ22,BZ$7:BZ$24,1)</f>
        <v>9.5</v>
      </c>
      <c r="CA41" s="33">
        <f t="shared" si="173"/>
        <v>1</v>
      </c>
      <c r="CB41" s="33">
        <f t="shared" ref="CB41:CC41" si="174">_xlfn.RANK.AVG(CB22,CB$7:CB$24,1)</f>
        <v>15</v>
      </c>
      <c r="CC41" s="33">
        <f t="shared" si="174"/>
        <v>18</v>
      </c>
      <c r="CD41" s="33">
        <f t="shared" ref="CD41:CE41" si="175">_xlfn.RANK.AVG(CD22,CD$7:CD$24,1)</f>
        <v>16</v>
      </c>
      <c r="CE41" s="33">
        <f t="shared" si="175"/>
        <v>1</v>
      </c>
    </row>
    <row r="42" spans="1:83" x14ac:dyDescent="0.25">
      <c r="A42" s="51"/>
      <c r="B42" s="38" t="s">
        <v>137</v>
      </c>
      <c r="D42" s="33">
        <f t="shared" si="21"/>
        <v>22</v>
      </c>
      <c r="E42" s="34"/>
      <c r="F42" s="34"/>
      <c r="G42" s="33">
        <v>-3</v>
      </c>
      <c r="H42" s="33">
        <v>-5</v>
      </c>
      <c r="I42" s="33">
        <v>-8</v>
      </c>
      <c r="J42" s="33">
        <v>-5</v>
      </c>
      <c r="K42" s="33">
        <f t="shared" ref="K42:T43" si="176">_xlfn.RANK.AVG(K23,K$7:K$24,1)</f>
        <v>4</v>
      </c>
      <c r="L42" s="33">
        <f t="shared" si="176"/>
        <v>6</v>
      </c>
      <c r="M42" s="33">
        <f t="shared" si="176"/>
        <v>5</v>
      </c>
      <c r="N42" s="33">
        <f t="shared" si="176"/>
        <v>6</v>
      </c>
      <c r="O42" s="33">
        <f t="shared" si="176"/>
        <v>2</v>
      </c>
      <c r="P42" s="33">
        <f t="shared" si="176"/>
        <v>3</v>
      </c>
      <c r="Q42" s="33">
        <f t="shared" si="176"/>
        <v>3</v>
      </c>
      <c r="R42" s="33">
        <f t="shared" si="176"/>
        <v>3</v>
      </c>
      <c r="S42" s="33">
        <f t="shared" si="176"/>
        <v>1</v>
      </c>
      <c r="T42" s="33">
        <f t="shared" si="176"/>
        <v>1</v>
      </c>
      <c r="U42" s="33">
        <f t="shared" si="22"/>
        <v>4</v>
      </c>
      <c r="V42" s="33">
        <f>_xlfn.RANK.AVG(V23,$V$7:$V$24,1)</f>
        <v>5</v>
      </c>
      <c r="W42" s="33">
        <f t="shared" ref="W42:AI43" si="177">_xlfn.RANK.AVG(W23,W$7:W$24,1)</f>
        <v>6</v>
      </c>
      <c r="X42" s="33">
        <f t="shared" si="177"/>
        <v>5</v>
      </c>
      <c r="Y42" s="33">
        <f t="shared" si="177"/>
        <v>12</v>
      </c>
      <c r="Z42" s="33">
        <f t="shared" si="177"/>
        <v>12</v>
      </c>
      <c r="AA42" s="33">
        <f t="shared" si="177"/>
        <v>11</v>
      </c>
      <c r="AB42" s="33">
        <f t="shared" si="177"/>
        <v>7</v>
      </c>
      <c r="AC42" s="33">
        <f t="shared" si="177"/>
        <v>5</v>
      </c>
      <c r="AD42" s="33">
        <f t="shared" si="177"/>
        <v>6</v>
      </c>
      <c r="AE42" s="33">
        <f t="shared" si="177"/>
        <v>11</v>
      </c>
      <c r="AF42" s="33">
        <f t="shared" si="177"/>
        <v>5</v>
      </c>
      <c r="AG42" s="33">
        <f t="shared" si="177"/>
        <v>8</v>
      </c>
      <c r="AH42" s="33">
        <f t="shared" si="177"/>
        <v>5</v>
      </c>
      <c r="AI42" s="33">
        <f t="shared" si="104"/>
        <v>3</v>
      </c>
      <c r="AJ42" s="33">
        <f t="shared" si="104"/>
        <v>6</v>
      </c>
      <c r="AK42" s="33">
        <f t="shared" si="104"/>
        <v>6</v>
      </c>
      <c r="AL42" s="33">
        <f t="shared" si="104"/>
        <v>11</v>
      </c>
      <c r="AM42" s="33">
        <f t="shared" si="104"/>
        <v>15</v>
      </c>
      <c r="AN42" s="33">
        <f t="shared" si="104"/>
        <v>11</v>
      </c>
      <c r="AO42" s="33">
        <f t="shared" si="104"/>
        <v>12</v>
      </c>
      <c r="AP42" s="33">
        <f t="shared" si="104"/>
        <v>12</v>
      </c>
      <c r="AQ42" s="33">
        <f t="shared" si="104"/>
        <v>9</v>
      </c>
      <c r="AR42" s="33">
        <f t="shared" si="104"/>
        <v>13</v>
      </c>
      <c r="AS42" s="33">
        <f t="shared" si="104"/>
        <v>16</v>
      </c>
      <c r="AT42" s="33">
        <f t="shared" si="104"/>
        <v>13</v>
      </c>
      <c r="AU42" s="33">
        <f t="shared" si="104"/>
        <v>14</v>
      </c>
      <c r="AV42" s="33">
        <f t="shared" si="104"/>
        <v>13</v>
      </c>
      <c r="AW42" s="33">
        <f t="shared" si="104"/>
        <v>12</v>
      </c>
      <c r="AX42" s="33">
        <f t="shared" si="104"/>
        <v>17</v>
      </c>
      <c r="AY42" s="33">
        <f t="shared" si="104"/>
        <v>17</v>
      </c>
      <c r="AZ42" s="33">
        <f t="shared" si="104"/>
        <v>12</v>
      </c>
      <c r="BA42" s="33">
        <f t="shared" si="104"/>
        <v>14</v>
      </c>
      <c r="BB42" s="33">
        <f t="shared" si="104"/>
        <v>16</v>
      </c>
      <c r="BC42" s="33">
        <f t="shared" si="104"/>
        <v>15</v>
      </c>
      <c r="BD42" s="33">
        <f t="shared" si="9"/>
        <v>14</v>
      </c>
      <c r="BE42" s="33">
        <f t="shared" si="9"/>
        <v>17</v>
      </c>
      <c r="BF42" s="33">
        <f t="shared" si="115"/>
        <v>11</v>
      </c>
      <c r="BG42" s="33">
        <f t="shared" si="115"/>
        <v>13</v>
      </c>
      <c r="BH42" s="33">
        <f t="shared" si="115"/>
        <v>16</v>
      </c>
      <c r="BI42" s="33">
        <f t="shared" si="115"/>
        <v>15</v>
      </c>
      <c r="BJ42" s="33">
        <f t="shared" si="115"/>
        <v>16</v>
      </c>
      <c r="BK42" s="33">
        <f t="shared" si="115"/>
        <v>11</v>
      </c>
      <c r="BL42" s="33">
        <f t="shared" ref="BL42:BM42" si="178">_xlfn.RANK.AVG(BL23,BL$7:BL$24,1)</f>
        <v>10</v>
      </c>
      <c r="BM42" s="33">
        <f t="shared" si="178"/>
        <v>12</v>
      </c>
      <c r="BN42" s="33">
        <f t="shared" ref="BN42:BO42" si="179">_xlfn.RANK.AVG(BN23,BN$7:BN$24,1)</f>
        <v>6</v>
      </c>
      <c r="BO42" s="33">
        <f t="shared" si="179"/>
        <v>5</v>
      </c>
      <c r="BP42" s="33">
        <f t="shared" ref="BP42:BQ42" si="180">_xlfn.RANK.AVG(BP23,BP$7:BP$24,1)</f>
        <v>5</v>
      </c>
      <c r="BQ42" s="33">
        <f t="shared" si="180"/>
        <v>7</v>
      </c>
      <c r="BR42" s="33">
        <f t="shared" ref="BR42:BS42" si="181">_xlfn.RANK.AVG(BR23,BR$7:BR$24,1)</f>
        <v>6</v>
      </c>
      <c r="BS42" s="33">
        <f t="shared" si="181"/>
        <v>3</v>
      </c>
      <c r="BT42" s="33">
        <f t="shared" ref="BT42:BU42" si="182">_xlfn.RANK.AVG(BT23,BT$7:BT$24,1)</f>
        <v>5</v>
      </c>
      <c r="BU42" s="33">
        <f t="shared" si="182"/>
        <v>6</v>
      </c>
      <c r="BV42" s="33">
        <f t="shared" ref="BV42:BW42" si="183">_xlfn.RANK.AVG(BV23,BV$7:BV$24,1)</f>
        <v>13</v>
      </c>
      <c r="BW42" s="33">
        <f t="shared" si="183"/>
        <v>9</v>
      </c>
      <c r="BX42" s="33">
        <f t="shared" ref="BX42:BY42" si="184">_xlfn.RANK.AVG(BX23,BX$7:BX$24,1)</f>
        <v>12</v>
      </c>
      <c r="BY42" s="33">
        <f t="shared" si="184"/>
        <v>5</v>
      </c>
      <c r="BZ42" s="33">
        <f t="shared" ref="BZ42:CA42" si="185">_xlfn.RANK.AVG(BZ23,BZ$7:BZ$24,1)</f>
        <v>5</v>
      </c>
      <c r="CA42" s="33">
        <f t="shared" si="185"/>
        <v>5</v>
      </c>
      <c r="CB42" s="33">
        <f t="shared" ref="CB42:CC42" si="186">_xlfn.RANK.AVG(CB23,CB$7:CB$24,1)</f>
        <v>8</v>
      </c>
      <c r="CC42" s="33">
        <f t="shared" si="186"/>
        <v>4</v>
      </c>
      <c r="CD42" s="33">
        <f t="shared" ref="CD42:CE42" si="187">_xlfn.RANK.AVG(CD23,CD$7:CD$24,1)</f>
        <v>8</v>
      </c>
      <c r="CE42" s="33">
        <f t="shared" si="187"/>
        <v>16</v>
      </c>
    </row>
    <row r="43" spans="1:83" x14ac:dyDescent="0.25">
      <c r="A43" s="51"/>
      <c r="B43" s="32" t="s">
        <v>485</v>
      </c>
      <c r="D43" s="33">
        <f t="shared" si="21"/>
        <v>95</v>
      </c>
      <c r="E43" s="41"/>
      <c r="F43" s="41"/>
      <c r="G43" s="33">
        <v>-4</v>
      </c>
      <c r="H43" s="33">
        <v>6</v>
      </c>
      <c r="I43" s="33">
        <v>-9</v>
      </c>
      <c r="J43" s="33">
        <v>-9</v>
      </c>
      <c r="K43" s="33">
        <f t="shared" si="176"/>
        <v>15</v>
      </c>
      <c r="L43" s="33">
        <f t="shared" si="176"/>
        <v>1</v>
      </c>
      <c r="M43" s="33">
        <f t="shared" si="176"/>
        <v>1</v>
      </c>
      <c r="N43" s="33">
        <f t="shared" si="176"/>
        <v>17</v>
      </c>
      <c r="O43" s="33">
        <f t="shared" si="176"/>
        <v>18</v>
      </c>
      <c r="P43" s="33">
        <f t="shared" si="176"/>
        <v>15</v>
      </c>
      <c r="Q43" s="33">
        <f t="shared" si="176"/>
        <v>11</v>
      </c>
      <c r="R43" s="33">
        <f t="shared" si="176"/>
        <v>13</v>
      </c>
      <c r="S43" s="33">
        <f t="shared" si="176"/>
        <v>17</v>
      </c>
      <c r="T43" s="33">
        <f t="shared" si="176"/>
        <v>18</v>
      </c>
      <c r="U43" s="33">
        <f t="shared" si="22"/>
        <v>18</v>
      </c>
      <c r="V43" s="33">
        <f t="shared" si="23"/>
        <v>17</v>
      </c>
      <c r="W43" s="33">
        <f t="shared" si="177"/>
        <v>10</v>
      </c>
      <c r="X43" s="33">
        <f t="shared" si="177"/>
        <v>15</v>
      </c>
      <c r="Y43" s="33">
        <f t="shared" si="177"/>
        <v>16</v>
      </c>
      <c r="Z43" s="33">
        <f t="shared" si="177"/>
        <v>9</v>
      </c>
      <c r="AA43" s="33">
        <f t="shared" si="177"/>
        <v>10</v>
      </c>
      <c r="AB43" s="33">
        <f t="shared" si="177"/>
        <v>1</v>
      </c>
      <c r="AC43" s="33">
        <f t="shared" si="177"/>
        <v>1</v>
      </c>
      <c r="AD43" s="33">
        <f t="shared" si="177"/>
        <v>5</v>
      </c>
      <c r="AE43" s="33">
        <f t="shared" si="177"/>
        <v>3</v>
      </c>
      <c r="AF43" s="33">
        <f t="shared" si="177"/>
        <v>3</v>
      </c>
      <c r="AG43" s="33">
        <f t="shared" si="177"/>
        <v>7</v>
      </c>
      <c r="AH43" s="33">
        <f t="shared" si="177"/>
        <v>1</v>
      </c>
      <c r="AI43" s="33">
        <f t="shared" si="177"/>
        <v>1</v>
      </c>
      <c r="AJ43" s="33">
        <f t="shared" si="104"/>
        <v>4</v>
      </c>
      <c r="AK43" s="33">
        <f t="shared" si="104"/>
        <v>1</v>
      </c>
      <c r="AL43" s="33">
        <f t="shared" si="104"/>
        <v>3</v>
      </c>
      <c r="AM43" s="33">
        <f t="shared" si="104"/>
        <v>1</v>
      </c>
      <c r="AN43" s="33">
        <f t="shared" si="104"/>
        <v>1</v>
      </c>
      <c r="AO43" s="33">
        <f t="shared" si="104"/>
        <v>2</v>
      </c>
      <c r="AP43" s="33">
        <f t="shared" si="104"/>
        <v>2.5</v>
      </c>
      <c r="AQ43" s="33">
        <f t="shared" si="104"/>
        <v>2</v>
      </c>
      <c r="AR43" s="33">
        <f t="shared" si="104"/>
        <v>1</v>
      </c>
      <c r="AS43" s="33">
        <f t="shared" si="104"/>
        <v>1</v>
      </c>
      <c r="AT43" s="33">
        <f t="shared" si="104"/>
        <v>3</v>
      </c>
      <c r="AU43" s="33">
        <f t="shared" si="104"/>
        <v>2</v>
      </c>
      <c r="AV43" s="33">
        <f t="shared" si="104"/>
        <v>2</v>
      </c>
      <c r="AW43" s="33">
        <f t="shared" si="104"/>
        <v>1</v>
      </c>
      <c r="AX43" s="33">
        <f t="shared" si="104"/>
        <v>1</v>
      </c>
      <c r="AY43" s="33">
        <f t="shared" si="104"/>
        <v>3</v>
      </c>
      <c r="AZ43" s="33">
        <f t="shared" si="104"/>
        <v>6</v>
      </c>
      <c r="BA43" s="33">
        <f t="shared" si="104"/>
        <v>2</v>
      </c>
      <c r="BB43" s="33">
        <f t="shared" si="104"/>
        <v>1</v>
      </c>
      <c r="BC43" s="33">
        <f t="shared" si="104"/>
        <v>2</v>
      </c>
      <c r="BD43" s="33">
        <f t="shared" si="9"/>
        <v>5</v>
      </c>
      <c r="BE43" s="33">
        <f t="shared" si="9"/>
        <v>11</v>
      </c>
      <c r="BF43" s="33">
        <f t="shared" si="115"/>
        <v>6</v>
      </c>
      <c r="BG43" s="33">
        <f t="shared" si="115"/>
        <v>6</v>
      </c>
      <c r="BH43" s="33">
        <f t="shared" si="115"/>
        <v>13</v>
      </c>
      <c r="BI43" s="33">
        <f t="shared" si="115"/>
        <v>9</v>
      </c>
      <c r="BJ43" s="33">
        <f t="shared" si="115"/>
        <v>1</v>
      </c>
      <c r="BK43" s="33">
        <f t="shared" si="115"/>
        <v>3</v>
      </c>
      <c r="BL43" s="33">
        <f t="shared" ref="BL43:BM43" si="188">_xlfn.RANK.AVG(BL24,BL$7:BL$24,1)</f>
        <v>8</v>
      </c>
      <c r="BM43" s="33">
        <f t="shared" si="188"/>
        <v>4</v>
      </c>
      <c r="BN43" s="33">
        <f t="shared" ref="BN43:BO43" si="189">_xlfn.RANK.AVG(BN24,BN$7:BN$24,1)</f>
        <v>1</v>
      </c>
      <c r="BO43" s="33">
        <f t="shared" si="189"/>
        <v>4</v>
      </c>
      <c r="BP43" s="33">
        <f t="shared" ref="BP43:BQ43" si="190">_xlfn.RANK.AVG(BP24,BP$7:BP$24,1)</f>
        <v>8</v>
      </c>
      <c r="BQ43" s="33">
        <f t="shared" si="190"/>
        <v>8</v>
      </c>
      <c r="BR43" s="33">
        <f t="shared" ref="BR43:BS43" si="191">_xlfn.RANK.AVG(BR24,BR$7:BR$24,1)</f>
        <v>3</v>
      </c>
      <c r="BS43" s="33">
        <f t="shared" si="191"/>
        <v>12.5</v>
      </c>
      <c r="BT43" s="33">
        <f t="shared" ref="BT43:BU43" si="192">_xlfn.RANK.AVG(BT24,BT$7:BT$24,1)</f>
        <v>13.5</v>
      </c>
      <c r="BU43" s="33">
        <f t="shared" si="192"/>
        <v>16</v>
      </c>
      <c r="BV43" s="33">
        <f t="shared" ref="BV43:BW43" si="193">_xlfn.RANK.AVG(BV24,BV$7:BV$24,1)</f>
        <v>3</v>
      </c>
      <c r="BW43" s="33">
        <f t="shared" si="193"/>
        <v>15</v>
      </c>
      <c r="BX43" s="33">
        <f t="shared" ref="BX43:BY43" si="194">_xlfn.RANK.AVG(BX24,BX$7:BX$24,1)</f>
        <v>1</v>
      </c>
      <c r="BY43" s="33">
        <f t="shared" si="194"/>
        <v>1</v>
      </c>
      <c r="BZ43" s="33">
        <f t="shared" ref="BZ43:CA43" si="195">_xlfn.RANK.AVG(BZ24,BZ$7:BZ$24,1)</f>
        <v>2</v>
      </c>
      <c r="CA43" s="33">
        <f t="shared" si="195"/>
        <v>2</v>
      </c>
      <c r="CB43" s="33">
        <f t="shared" ref="CB43:CC43" si="196">_xlfn.RANK.AVG(CB24,CB$7:CB$24,1)</f>
        <v>5</v>
      </c>
      <c r="CC43" s="33">
        <f t="shared" si="196"/>
        <v>2</v>
      </c>
      <c r="CD43" s="33">
        <f t="shared" ref="CD43:CE43" si="197">_xlfn.RANK.AVG(CD24,CD$7:CD$24,1)</f>
        <v>1</v>
      </c>
      <c r="CE43" s="33">
        <f t="shared" si="197"/>
        <v>6</v>
      </c>
    </row>
    <row r="44" spans="1:83" s="39" customFormat="1" x14ac:dyDescent="0.25">
      <c r="B44" s="39" t="s">
        <v>486</v>
      </c>
      <c r="E44" s="40"/>
      <c r="F44" s="40"/>
      <c r="G44" s="40"/>
      <c r="H44" s="45">
        <f>AVERAGE(H45:H62)</f>
        <v>-1.5</v>
      </c>
      <c r="I44" s="45">
        <f t="shared" ref="I44:P44" si="198">AVERAGE(I45:I62)</f>
        <v>-3.3333333333333335</v>
      </c>
      <c r="J44" s="45">
        <f t="shared" si="198"/>
        <v>-3.3333333333333335</v>
      </c>
      <c r="K44" s="45">
        <f t="shared" si="198"/>
        <v>-2.2222222222222223</v>
      </c>
      <c r="L44" s="45">
        <f t="shared" si="198"/>
        <v>-3.5</v>
      </c>
      <c r="M44" s="45">
        <f t="shared" si="198"/>
        <v>-4</v>
      </c>
      <c r="N44" s="45">
        <f t="shared" si="198"/>
        <v>2.2222222222222223</v>
      </c>
      <c r="O44" s="45">
        <f t="shared" si="198"/>
        <v>7.3888888888888893</v>
      </c>
      <c r="P44" s="45">
        <f t="shared" si="198"/>
        <v>0</v>
      </c>
      <c r="Q44" s="45"/>
      <c r="R44" s="45"/>
      <c r="S44" s="45"/>
      <c r="T44" s="45"/>
      <c r="U44" s="45"/>
      <c r="V44" s="45"/>
      <c r="W44" s="45"/>
      <c r="X44" s="45"/>
      <c r="Y44" s="45"/>
    </row>
    <row r="45" spans="1:83" s="34" customFormat="1" x14ac:dyDescent="0.25">
      <c r="A45" s="51" t="s">
        <v>474</v>
      </c>
      <c r="B45" s="38" t="s">
        <v>482</v>
      </c>
      <c r="C45" s="21"/>
      <c r="D45" s="33">
        <f>IF(COUNTIF(P45:U45,"&gt;0")=0,(COUNTIF(P45:U45,"&lt;0")*-1),COUNTIF(P45:U45,"&gt;0"))</f>
        <v>1</v>
      </c>
      <c r="E45" s="41"/>
      <c r="F45" s="41"/>
      <c r="G45" s="33">
        <v>-6</v>
      </c>
      <c r="H45" s="33">
        <v>-10</v>
      </c>
      <c r="I45" s="33">
        <v>-11</v>
      </c>
      <c r="J45" s="33">
        <v>-11</v>
      </c>
      <c r="K45" s="33">
        <v>-9</v>
      </c>
      <c r="L45" s="33">
        <v>5</v>
      </c>
      <c r="M45" s="33">
        <v>0</v>
      </c>
      <c r="N45" s="33">
        <v>-3</v>
      </c>
      <c r="O45" s="33">
        <v>12</v>
      </c>
      <c r="P45" s="33">
        <v>7</v>
      </c>
      <c r="Q45" s="33">
        <v>0</v>
      </c>
      <c r="R45" s="33">
        <v>0</v>
      </c>
      <c r="S45" s="33">
        <v>0</v>
      </c>
      <c r="T45" s="33">
        <v>0</v>
      </c>
      <c r="U45" s="33">
        <v>0</v>
      </c>
      <c r="V45" s="33">
        <v>-3</v>
      </c>
      <c r="W45" s="33">
        <v>16</v>
      </c>
      <c r="X45" s="33">
        <v>15</v>
      </c>
      <c r="Y45" s="33">
        <v>13</v>
      </c>
      <c r="Z45" s="33">
        <v>0</v>
      </c>
      <c r="AA45" s="33">
        <v>0</v>
      </c>
      <c r="AB45" s="33">
        <v>15</v>
      </c>
      <c r="AC45" s="33">
        <v>0</v>
      </c>
      <c r="AD45" s="33">
        <v>0</v>
      </c>
      <c r="AE45" s="33">
        <v>0</v>
      </c>
      <c r="AF45" s="33">
        <v>0</v>
      </c>
      <c r="AG45" s="33">
        <v>0</v>
      </c>
      <c r="AH45" s="33">
        <v>0</v>
      </c>
      <c r="AI45" s="33">
        <v>14</v>
      </c>
      <c r="AJ45" s="33">
        <v>10</v>
      </c>
      <c r="AK45" s="33">
        <v>0</v>
      </c>
      <c r="AL45" s="33">
        <v>11</v>
      </c>
      <c r="AM45" s="33">
        <v>13</v>
      </c>
      <c r="AN45" s="33">
        <v>13</v>
      </c>
      <c r="AO45" s="33">
        <v>0</v>
      </c>
      <c r="AP45" s="33">
        <v>11</v>
      </c>
      <c r="AQ45" s="33">
        <v>7</v>
      </c>
      <c r="AR45" s="33">
        <v>0</v>
      </c>
      <c r="AS45" s="33">
        <v>0</v>
      </c>
      <c r="AT45" s="33">
        <v>-7</v>
      </c>
      <c r="AU45" s="33">
        <v>3</v>
      </c>
      <c r="AV45" s="33">
        <v>1</v>
      </c>
      <c r="AW45" s="33">
        <v>0</v>
      </c>
      <c r="AX45" s="33">
        <v>-15</v>
      </c>
      <c r="AY45" s="33">
        <v>0</v>
      </c>
      <c r="AZ45" s="33">
        <v>0</v>
      </c>
      <c r="BA45" s="33">
        <v>0</v>
      </c>
      <c r="BB45" s="33">
        <v>0</v>
      </c>
      <c r="BC45" s="33">
        <v>0</v>
      </c>
      <c r="BD45" s="33">
        <v>-12</v>
      </c>
      <c r="BE45" s="33">
        <v>0</v>
      </c>
      <c r="BF45" s="33">
        <v>0</v>
      </c>
      <c r="BG45" s="33">
        <v>0</v>
      </c>
      <c r="BH45" s="33">
        <v>0</v>
      </c>
      <c r="BI45" s="33">
        <v>-12</v>
      </c>
      <c r="BJ45" s="33">
        <v>5</v>
      </c>
      <c r="BK45" s="33">
        <v>11</v>
      </c>
      <c r="BL45" s="33">
        <v>0</v>
      </c>
      <c r="BM45" s="33">
        <v>0</v>
      </c>
      <c r="BN45" s="33">
        <v>0</v>
      </c>
      <c r="BO45" s="33">
        <v>0</v>
      </c>
      <c r="BP45" s="33">
        <v>0</v>
      </c>
      <c r="BQ45" s="33">
        <v>0</v>
      </c>
      <c r="BR45" s="33">
        <v>0</v>
      </c>
      <c r="BS45" s="33">
        <v>3</v>
      </c>
      <c r="BT45" s="33">
        <v>0</v>
      </c>
      <c r="BU45" s="33">
        <v>0</v>
      </c>
      <c r="BV45" s="33">
        <v>0</v>
      </c>
      <c r="BW45" s="33">
        <v>0</v>
      </c>
      <c r="BX45" s="33">
        <v>0</v>
      </c>
      <c r="BY45" s="33">
        <v>8</v>
      </c>
      <c r="BZ45" s="33">
        <v>8</v>
      </c>
      <c r="CA45" s="33">
        <v>7</v>
      </c>
      <c r="CB45" s="33">
        <v>4</v>
      </c>
      <c r="CC45" s="33">
        <v>8</v>
      </c>
      <c r="CD45" s="33">
        <v>0</v>
      </c>
      <c r="CE45" s="33">
        <v>-11</v>
      </c>
    </row>
    <row r="46" spans="1:83" s="34" customFormat="1" x14ac:dyDescent="0.25">
      <c r="A46" s="51"/>
      <c r="B46" s="32" t="s">
        <v>136</v>
      </c>
      <c r="D46" s="33">
        <f t="shared" ref="D46:D61" si="199">IF(COUNTIF(P46:U46,"&gt;0")=0,(COUNTIF(P46:U46,"&lt;0")*-1),COUNTIF(P46:U46,"&gt;0"))</f>
        <v>4</v>
      </c>
      <c r="E46" s="41"/>
      <c r="F46" s="41"/>
      <c r="G46" s="33">
        <v>6</v>
      </c>
      <c r="H46" s="33">
        <v>2</v>
      </c>
      <c r="I46" s="33">
        <v>1</v>
      </c>
      <c r="J46" s="33">
        <v>1</v>
      </c>
      <c r="K46" s="33">
        <v>-1</v>
      </c>
      <c r="L46" s="33">
        <v>-2</v>
      </c>
      <c r="M46" s="33">
        <v>-2</v>
      </c>
      <c r="N46" s="33">
        <v>3</v>
      </c>
      <c r="O46" s="33">
        <v>1</v>
      </c>
      <c r="P46" s="33">
        <v>2</v>
      </c>
      <c r="Q46" s="33">
        <v>-1</v>
      </c>
      <c r="R46" s="33">
        <v>-3</v>
      </c>
      <c r="S46" s="33">
        <v>6</v>
      </c>
      <c r="T46" s="33">
        <v>9</v>
      </c>
      <c r="U46" s="33">
        <v>11</v>
      </c>
      <c r="V46" s="33">
        <v>2</v>
      </c>
      <c r="W46" s="33">
        <v>5</v>
      </c>
      <c r="X46" s="33">
        <v>7</v>
      </c>
      <c r="Y46" s="33">
        <v>3</v>
      </c>
      <c r="Z46" s="33">
        <v>5</v>
      </c>
      <c r="AA46" s="33">
        <v>7</v>
      </c>
      <c r="AB46" s="33">
        <v>3</v>
      </c>
      <c r="AC46" s="33">
        <v>9</v>
      </c>
      <c r="AD46" s="33">
        <v>8</v>
      </c>
      <c r="AE46" s="33">
        <v>8</v>
      </c>
      <c r="AF46" s="33">
        <v>8</v>
      </c>
      <c r="AG46" s="33">
        <v>5</v>
      </c>
      <c r="AH46" s="33">
        <v>7</v>
      </c>
      <c r="AI46" s="33">
        <v>9</v>
      </c>
      <c r="AJ46" s="33">
        <v>1</v>
      </c>
      <c r="AK46" s="33">
        <v>5</v>
      </c>
      <c r="AL46" s="33">
        <v>1</v>
      </c>
      <c r="AM46" s="33">
        <v>5</v>
      </c>
      <c r="AN46" s="33">
        <v>6</v>
      </c>
      <c r="AO46" s="33">
        <v>2</v>
      </c>
      <c r="AP46" s="33">
        <v>3</v>
      </c>
      <c r="AQ46" s="33">
        <v>-2</v>
      </c>
      <c r="AR46" s="33">
        <v>-2</v>
      </c>
      <c r="AS46" s="33">
        <v>-5</v>
      </c>
      <c r="AT46" s="33">
        <v>-4</v>
      </c>
      <c r="AU46" s="33">
        <v>-2</v>
      </c>
      <c r="AV46" s="33">
        <v>-5</v>
      </c>
      <c r="AW46" s="33">
        <v>-7</v>
      </c>
      <c r="AX46" s="33">
        <v>-3</v>
      </c>
      <c r="AY46" s="33">
        <v>0</v>
      </c>
      <c r="AZ46" s="33">
        <v>-1</v>
      </c>
      <c r="BA46" s="33">
        <v>-4</v>
      </c>
      <c r="BB46" s="33">
        <v>-4</v>
      </c>
      <c r="BC46" s="33">
        <v>-2</v>
      </c>
      <c r="BD46" s="33">
        <v>1</v>
      </c>
      <c r="BE46" s="33">
        <v>-1</v>
      </c>
      <c r="BF46" s="33">
        <v>-1</v>
      </c>
      <c r="BG46" s="33">
        <v>0</v>
      </c>
      <c r="BH46" s="33">
        <v>-4</v>
      </c>
      <c r="BI46" s="33">
        <v>1</v>
      </c>
      <c r="BJ46" s="33">
        <v>3</v>
      </c>
      <c r="BK46" s="33">
        <v>6</v>
      </c>
      <c r="BL46" s="33">
        <v>2</v>
      </c>
      <c r="BM46" s="33">
        <v>2</v>
      </c>
      <c r="BN46" s="33">
        <v>1</v>
      </c>
      <c r="BO46" s="33">
        <v>2</v>
      </c>
      <c r="BP46" s="33">
        <v>1</v>
      </c>
      <c r="BQ46" s="33">
        <v>-2</v>
      </c>
      <c r="BR46" s="33">
        <v>-1</v>
      </c>
      <c r="BS46" s="33">
        <v>-5</v>
      </c>
      <c r="BT46" s="33">
        <v>-3</v>
      </c>
      <c r="BU46" s="33">
        <v>0</v>
      </c>
      <c r="BV46" s="33">
        <v>5</v>
      </c>
      <c r="BW46" s="33">
        <v>1</v>
      </c>
      <c r="BX46" s="33">
        <v>-1</v>
      </c>
      <c r="BY46" s="33">
        <v>1</v>
      </c>
      <c r="BZ46" s="33">
        <v>-2</v>
      </c>
      <c r="CA46" s="33">
        <v>-4</v>
      </c>
      <c r="CB46" s="33">
        <v>-2</v>
      </c>
      <c r="CC46" s="33">
        <v>0</v>
      </c>
      <c r="CD46" s="33">
        <v>-1</v>
      </c>
      <c r="CE46" s="33">
        <v>-4</v>
      </c>
    </row>
    <row r="47" spans="1:83" s="34" customFormat="1" x14ac:dyDescent="0.25">
      <c r="A47" s="51"/>
      <c r="B47" s="32" t="s">
        <v>134</v>
      </c>
      <c r="D47" s="33">
        <f t="shared" si="199"/>
        <v>4</v>
      </c>
      <c r="E47" s="41"/>
      <c r="F47" s="41"/>
      <c r="G47" s="33">
        <v>1</v>
      </c>
      <c r="H47" s="33">
        <v>1</v>
      </c>
      <c r="I47" s="33">
        <v>-1</v>
      </c>
      <c r="J47" s="33">
        <v>-3</v>
      </c>
      <c r="K47" s="33">
        <v>2</v>
      </c>
      <c r="L47" s="33">
        <v>-1</v>
      </c>
      <c r="M47" s="33">
        <v>-3</v>
      </c>
      <c r="N47" s="33">
        <v>6</v>
      </c>
      <c r="O47" s="33">
        <v>7</v>
      </c>
      <c r="P47" s="33">
        <v>1</v>
      </c>
      <c r="Q47" s="33">
        <v>-4</v>
      </c>
      <c r="R47" s="33">
        <v>-6</v>
      </c>
      <c r="S47" s="33">
        <v>1</v>
      </c>
      <c r="T47" s="33">
        <v>2</v>
      </c>
      <c r="U47" s="33">
        <v>12</v>
      </c>
      <c r="V47" s="33">
        <v>0</v>
      </c>
      <c r="W47" s="33">
        <v>9</v>
      </c>
      <c r="X47" s="33">
        <v>5</v>
      </c>
      <c r="Y47" s="33">
        <v>8</v>
      </c>
      <c r="Z47" s="33">
        <v>1</v>
      </c>
      <c r="AA47" s="33">
        <v>3</v>
      </c>
      <c r="AB47" s="33">
        <v>7</v>
      </c>
      <c r="AC47" s="33">
        <v>2</v>
      </c>
      <c r="AD47" s="33">
        <v>11</v>
      </c>
      <c r="AE47" s="33">
        <v>7</v>
      </c>
      <c r="AF47" s="33">
        <v>14</v>
      </c>
      <c r="AG47" s="33">
        <v>13</v>
      </c>
      <c r="AH47" s="33">
        <v>9</v>
      </c>
      <c r="AI47" s="33">
        <v>4</v>
      </c>
      <c r="AJ47" s="33">
        <v>6</v>
      </c>
      <c r="AK47" s="33">
        <v>1</v>
      </c>
      <c r="AL47" s="33">
        <v>6</v>
      </c>
      <c r="AM47" s="33">
        <v>9</v>
      </c>
      <c r="AN47" s="33">
        <v>3</v>
      </c>
      <c r="AO47" s="33">
        <v>10</v>
      </c>
      <c r="AP47" s="33">
        <v>10</v>
      </c>
      <c r="AQ47" s="33">
        <v>2</v>
      </c>
      <c r="AR47" s="33">
        <v>1</v>
      </c>
      <c r="AS47" s="33">
        <v>5</v>
      </c>
      <c r="AT47" s="33">
        <v>2</v>
      </c>
      <c r="AU47" s="33">
        <v>0</v>
      </c>
      <c r="AV47" s="33">
        <v>-1</v>
      </c>
      <c r="AW47" s="33">
        <v>-2</v>
      </c>
      <c r="AX47" s="33">
        <v>-2</v>
      </c>
      <c r="AY47" s="33">
        <v>-1</v>
      </c>
      <c r="AZ47" s="33">
        <v>-6</v>
      </c>
      <c r="BA47" s="33">
        <v>-3</v>
      </c>
      <c r="BB47" s="33">
        <v>-8</v>
      </c>
      <c r="BC47" s="33">
        <v>-5</v>
      </c>
      <c r="BD47" s="33">
        <v>-2</v>
      </c>
      <c r="BE47" s="33">
        <v>-5</v>
      </c>
      <c r="BF47" s="33">
        <v>-2</v>
      </c>
      <c r="BG47" s="33">
        <v>-6</v>
      </c>
      <c r="BH47" s="33">
        <v>-8</v>
      </c>
      <c r="BI47" s="33">
        <v>-2</v>
      </c>
      <c r="BJ47" s="33">
        <v>-1</v>
      </c>
      <c r="BK47" s="33">
        <v>1</v>
      </c>
      <c r="BL47" s="33">
        <v>5</v>
      </c>
      <c r="BM47" s="33">
        <v>3</v>
      </c>
      <c r="BN47" s="33">
        <v>0</v>
      </c>
      <c r="BO47" s="33">
        <v>3</v>
      </c>
      <c r="BP47" s="33">
        <v>3</v>
      </c>
      <c r="BQ47" s="33">
        <v>1</v>
      </c>
      <c r="BR47" s="33">
        <v>2</v>
      </c>
      <c r="BS47" s="33">
        <v>1</v>
      </c>
      <c r="BT47" s="33">
        <v>2</v>
      </c>
      <c r="BU47" s="33">
        <v>1</v>
      </c>
      <c r="BV47" s="33">
        <v>0</v>
      </c>
      <c r="BW47" s="33">
        <v>-2</v>
      </c>
      <c r="BX47" s="33">
        <v>0</v>
      </c>
      <c r="BY47" s="33">
        <v>3</v>
      </c>
      <c r="BZ47" s="33">
        <v>-3</v>
      </c>
      <c r="CA47" s="33">
        <v>1</v>
      </c>
      <c r="CB47" s="33">
        <v>-1</v>
      </c>
      <c r="CC47" s="33">
        <v>4</v>
      </c>
      <c r="CD47" s="33">
        <v>-4</v>
      </c>
      <c r="CE47" s="33">
        <v>-3</v>
      </c>
    </row>
    <row r="48" spans="1:83" s="34" customFormat="1" x14ac:dyDescent="0.25">
      <c r="A48" s="51"/>
      <c r="B48" s="38" t="s">
        <v>152</v>
      </c>
      <c r="D48" s="33">
        <f t="shared" si="199"/>
        <v>4</v>
      </c>
      <c r="E48" s="41"/>
      <c r="F48" s="41"/>
      <c r="G48" s="33">
        <v>0</v>
      </c>
      <c r="H48" s="33">
        <v>-6</v>
      </c>
      <c r="I48" s="33">
        <v>0</v>
      </c>
      <c r="J48" s="33">
        <v>-8</v>
      </c>
      <c r="K48" s="33">
        <v>0</v>
      </c>
      <c r="L48" s="33">
        <v>4</v>
      </c>
      <c r="M48" s="33">
        <v>-6</v>
      </c>
      <c r="N48" s="33">
        <v>-2</v>
      </c>
      <c r="O48" s="33">
        <v>11</v>
      </c>
      <c r="P48" s="33">
        <v>5</v>
      </c>
      <c r="Q48" s="33">
        <v>-7</v>
      </c>
      <c r="R48" s="33">
        <v>-1</v>
      </c>
      <c r="S48" s="33">
        <v>4</v>
      </c>
      <c r="T48" s="33">
        <v>8</v>
      </c>
      <c r="U48" s="33">
        <v>1</v>
      </c>
      <c r="V48" s="33">
        <v>11</v>
      </c>
      <c r="W48" s="33">
        <v>11</v>
      </c>
      <c r="X48" s="33">
        <v>11</v>
      </c>
      <c r="Y48" s="33">
        <v>2</v>
      </c>
      <c r="Z48" s="33">
        <v>12</v>
      </c>
      <c r="AA48" s="33">
        <v>9</v>
      </c>
      <c r="AB48" s="33">
        <v>14</v>
      </c>
      <c r="AC48" s="33">
        <v>16</v>
      </c>
      <c r="AD48" s="33">
        <v>14</v>
      </c>
      <c r="AE48" s="33">
        <v>10</v>
      </c>
      <c r="AF48" s="33">
        <v>9</v>
      </c>
      <c r="AG48" s="33">
        <v>1</v>
      </c>
      <c r="AH48" s="33">
        <v>2</v>
      </c>
      <c r="AI48" s="33">
        <v>3</v>
      </c>
      <c r="AJ48" s="33">
        <v>4</v>
      </c>
      <c r="AK48" s="33">
        <v>11</v>
      </c>
      <c r="AL48" s="33">
        <v>5</v>
      </c>
      <c r="AM48" s="33">
        <v>7</v>
      </c>
      <c r="AN48" s="33">
        <v>9</v>
      </c>
      <c r="AO48" s="33">
        <v>-1</v>
      </c>
      <c r="AP48" s="33">
        <v>0</v>
      </c>
      <c r="AQ48" s="33">
        <v>-3</v>
      </c>
      <c r="AR48" s="33">
        <v>0</v>
      </c>
      <c r="AS48" s="33">
        <v>-6</v>
      </c>
      <c r="AT48" s="33">
        <v>-3</v>
      </c>
      <c r="AU48" s="33">
        <v>0</v>
      </c>
      <c r="AV48" s="33">
        <v>-9</v>
      </c>
      <c r="AW48" s="33">
        <v>-4</v>
      </c>
      <c r="AX48" s="33">
        <v>-12</v>
      </c>
      <c r="AY48" s="33">
        <v>-2</v>
      </c>
      <c r="AZ48" s="33">
        <v>-3</v>
      </c>
      <c r="BA48" s="33">
        <v>-5</v>
      </c>
      <c r="BB48" s="33">
        <v>-10</v>
      </c>
      <c r="BC48" s="33">
        <v>-6</v>
      </c>
      <c r="BD48" s="33">
        <v>-6</v>
      </c>
      <c r="BE48" s="33">
        <v>-9</v>
      </c>
      <c r="BF48" s="33">
        <v>-6</v>
      </c>
      <c r="BG48" s="33">
        <v>-8</v>
      </c>
      <c r="BH48" s="33">
        <v>-13</v>
      </c>
      <c r="BI48" s="33">
        <v>-1</v>
      </c>
      <c r="BJ48" s="33">
        <v>-4</v>
      </c>
      <c r="BK48" s="33">
        <v>3</v>
      </c>
      <c r="BL48" s="33">
        <v>0</v>
      </c>
      <c r="BM48" s="33">
        <v>-2</v>
      </c>
      <c r="BN48" s="33">
        <v>-4</v>
      </c>
      <c r="BO48" s="33">
        <v>-2</v>
      </c>
      <c r="BP48" s="33">
        <v>-3</v>
      </c>
      <c r="BQ48" s="33">
        <v>-5</v>
      </c>
      <c r="BR48" s="33">
        <v>-3</v>
      </c>
      <c r="BS48" s="33">
        <v>-2</v>
      </c>
      <c r="BT48" s="33">
        <v>4</v>
      </c>
      <c r="BU48" s="33">
        <v>6</v>
      </c>
      <c r="BV48" s="33">
        <v>1</v>
      </c>
      <c r="BW48" s="33">
        <v>7</v>
      </c>
      <c r="BX48" s="33">
        <v>-3</v>
      </c>
      <c r="BY48" s="33">
        <v>0</v>
      </c>
      <c r="BZ48" s="33">
        <v>4</v>
      </c>
      <c r="CA48" s="33">
        <v>-3</v>
      </c>
      <c r="CB48" s="33">
        <v>0</v>
      </c>
      <c r="CC48" s="33">
        <v>2</v>
      </c>
      <c r="CD48" s="33">
        <v>1</v>
      </c>
      <c r="CE48" s="33">
        <v>-1</v>
      </c>
    </row>
    <row r="49" spans="1:83" s="34" customFormat="1" x14ac:dyDescent="0.25">
      <c r="A49" s="51"/>
      <c r="B49" s="32" t="s">
        <v>144</v>
      </c>
      <c r="D49" s="33">
        <f t="shared" si="199"/>
        <v>2</v>
      </c>
      <c r="E49" s="41"/>
      <c r="F49" s="41"/>
      <c r="G49" s="33">
        <v>-1</v>
      </c>
      <c r="H49" s="33">
        <v>-7</v>
      </c>
      <c r="I49" s="33">
        <v>-6</v>
      </c>
      <c r="J49" s="33">
        <v>-2</v>
      </c>
      <c r="K49" s="33">
        <v>1</v>
      </c>
      <c r="L49" s="33">
        <v>-7</v>
      </c>
      <c r="M49" s="33">
        <v>-7</v>
      </c>
      <c r="N49" s="33">
        <v>2</v>
      </c>
      <c r="O49" s="33">
        <v>4</v>
      </c>
      <c r="P49" s="33">
        <v>-2</v>
      </c>
      <c r="Q49" s="33">
        <v>-9</v>
      </c>
      <c r="R49" s="33">
        <v>-9</v>
      </c>
      <c r="S49" s="33">
        <v>-2</v>
      </c>
      <c r="T49" s="33">
        <v>6</v>
      </c>
      <c r="U49" s="33">
        <v>5</v>
      </c>
      <c r="V49" s="33">
        <v>5</v>
      </c>
      <c r="W49" s="33">
        <v>12</v>
      </c>
      <c r="X49" s="33">
        <v>10</v>
      </c>
      <c r="Y49" s="33">
        <v>7</v>
      </c>
      <c r="Z49" s="33">
        <v>6</v>
      </c>
      <c r="AA49" s="33">
        <v>5</v>
      </c>
      <c r="AB49" s="33">
        <v>8</v>
      </c>
      <c r="AC49" s="33">
        <v>14</v>
      </c>
      <c r="AD49" s="33">
        <v>6</v>
      </c>
      <c r="AE49" s="33">
        <v>6</v>
      </c>
      <c r="AF49" s="33">
        <v>5</v>
      </c>
      <c r="AG49" s="33">
        <v>2</v>
      </c>
      <c r="AH49" s="33">
        <v>1</v>
      </c>
      <c r="AI49" s="33">
        <v>2</v>
      </c>
      <c r="AJ49" s="33">
        <v>-1</v>
      </c>
      <c r="AK49" s="33">
        <v>4</v>
      </c>
      <c r="AL49" s="33">
        <v>8</v>
      </c>
      <c r="AM49" s="33">
        <v>2</v>
      </c>
      <c r="AN49" s="33">
        <v>5</v>
      </c>
      <c r="AO49" s="33">
        <v>5</v>
      </c>
      <c r="AP49" s="33">
        <v>1</v>
      </c>
      <c r="AQ49" s="33">
        <v>0</v>
      </c>
      <c r="AR49" s="33">
        <v>-5</v>
      </c>
      <c r="AS49" s="33">
        <v>-4</v>
      </c>
      <c r="AT49" s="33">
        <v>-5</v>
      </c>
      <c r="AU49" s="33">
        <v>-7</v>
      </c>
      <c r="AV49" s="33">
        <v>-8</v>
      </c>
      <c r="AW49" s="33">
        <v>-9</v>
      </c>
      <c r="AX49" s="33">
        <v>-8</v>
      </c>
      <c r="AY49" s="33">
        <v>-3</v>
      </c>
      <c r="AZ49" s="33">
        <v>1</v>
      </c>
      <c r="BA49" s="33">
        <v>6</v>
      </c>
      <c r="BB49" s="33">
        <v>-2</v>
      </c>
      <c r="BC49" s="33">
        <v>-1</v>
      </c>
      <c r="BD49" s="33">
        <v>-5</v>
      </c>
      <c r="BE49" s="33">
        <v>-6</v>
      </c>
      <c r="BF49" s="33">
        <v>2</v>
      </c>
      <c r="BG49" s="33">
        <v>-2</v>
      </c>
      <c r="BH49" s="33">
        <v>-5</v>
      </c>
      <c r="BI49" s="33">
        <v>-4</v>
      </c>
      <c r="BJ49" s="33">
        <v>1</v>
      </c>
      <c r="BK49" s="33">
        <v>7</v>
      </c>
      <c r="BL49" s="33">
        <v>4</v>
      </c>
      <c r="BM49" s="33">
        <v>1</v>
      </c>
      <c r="BN49" s="33">
        <v>-3</v>
      </c>
      <c r="BO49" s="33">
        <v>-6</v>
      </c>
      <c r="BP49" s="33">
        <v>-6</v>
      </c>
      <c r="BQ49" s="33">
        <v>-8</v>
      </c>
      <c r="BR49" s="33">
        <v>0</v>
      </c>
      <c r="BS49" s="33">
        <v>-1</v>
      </c>
      <c r="BT49" s="33">
        <v>-7</v>
      </c>
      <c r="BU49" s="33">
        <v>-3</v>
      </c>
      <c r="BV49" s="33">
        <v>2</v>
      </c>
      <c r="BW49" s="33">
        <v>3</v>
      </c>
      <c r="BX49" s="33">
        <v>3</v>
      </c>
      <c r="BY49" s="33">
        <v>2</v>
      </c>
      <c r="BZ49" s="33">
        <v>2</v>
      </c>
      <c r="CA49" s="33">
        <v>-1</v>
      </c>
      <c r="CB49" s="33">
        <v>-4</v>
      </c>
      <c r="CC49" s="33">
        <v>-3</v>
      </c>
      <c r="CD49" s="33">
        <v>4</v>
      </c>
      <c r="CE49" s="33">
        <v>2</v>
      </c>
    </row>
    <row r="50" spans="1:83" s="34" customFormat="1" x14ac:dyDescent="0.25">
      <c r="A50" s="51"/>
      <c r="B50" s="32" t="s">
        <v>140</v>
      </c>
      <c r="D50" s="33">
        <f t="shared" si="199"/>
        <v>6</v>
      </c>
      <c r="E50" s="41"/>
      <c r="F50" s="41"/>
      <c r="G50" s="33">
        <v>5</v>
      </c>
      <c r="H50" s="33">
        <v>4</v>
      </c>
      <c r="I50" s="33">
        <v>0</v>
      </c>
      <c r="J50" s="33">
        <v>2</v>
      </c>
      <c r="K50" s="33">
        <v>3</v>
      </c>
      <c r="L50" s="33">
        <v>2</v>
      </c>
      <c r="M50" s="33">
        <v>2</v>
      </c>
      <c r="N50" s="33">
        <v>5</v>
      </c>
      <c r="O50" s="33">
        <v>2</v>
      </c>
      <c r="P50" s="33">
        <v>6</v>
      </c>
      <c r="Q50" s="33">
        <v>2</v>
      </c>
      <c r="R50" s="33">
        <v>2</v>
      </c>
      <c r="S50" s="33">
        <v>7</v>
      </c>
      <c r="T50" s="33">
        <v>7</v>
      </c>
      <c r="U50" s="33">
        <v>7</v>
      </c>
      <c r="V50" s="33">
        <v>6</v>
      </c>
      <c r="W50" s="33">
        <v>7</v>
      </c>
      <c r="X50" s="33">
        <v>3</v>
      </c>
      <c r="Y50" s="33">
        <v>1</v>
      </c>
      <c r="Z50" s="33">
        <v>4</v>
      </c>
      <c r="AA50" s="33">
        <v>2</v>
      </c>
      <c r="AB50" s="33">
        <v>6</v>
      </c>
      <c r="AC50" s="33">
        <v>6</v>
      </c>
      <c r="AD50" s="33">
        <v>5</v>
      </c>
      <c r="AE50" s="33">
        <v>1</v>
      </c>
      <c r="AF50" s="33">
        <v>7</v>
      </c>
      <c r="AG50" s="33">
        <v>9</v>
      </c>
      <c r="AH50" s="33">
        <v>12</v>
      </c>
      <c r="AI50" s="33">
        <v>8</v>
      </c>
      <c r="AJ50" s="33">
        <v>3</v>
      </c>
      <c r="AK50" s="33">
        <v>10</v>
      </c>
      <c r="AL50" s="33">
        <v>7</v>
      </c>
      <c r="AM50" s="33">
        <v>1</v>
      </c>
      <c r="AN50" s="33">
        <v>12</v>
      </c>
      <c r="AO50" s="33">
        <v>8</v>
      </c>
      <c r="AP50" s="33">
        <v>8</v>
      </c>
      <c r="AQ50" s="33">
        <v>-1</v>
      </c>
      <c r="AR50" s="33">
        <v>0</v>
      </c>
      <c r="AS50" s="33">
        <v>-3</v>
      </c>
      <c r="AT50" s="33">
        <v>-1</v>
      </c>
      <c r="AU50" s="33">
        <v>-4</v>
      </c>
      <c r="AV50" s="33">
        <v>-2</v>
      </c>
      <c r="AW50" s="33">
        <v>-8</v>
      </c>
      <c r="AX50" s="33">
        <v>-5</v>
      </c>
      <c r="AY50" s="33">
        <v>0</v>
      </c>
      <c r="AZ50" s="33">
        <v>-5</v>
      </c>
      <c r="BA50" s="33">
        <v>0</v>
      </c>
      <c r="BB50" s="33">
        <v>-3</v>
      </c>
      <c r="BC50" s="33">
        <v>0</v>
      </c>
      <c r="BD50" s="33">
        <v>-8</v>
      </c>
      <c r="BE50" s="33">
        <v>0</v>
      </c>
      <c r="BF50" s="33">
        <v>4</v>
      </c>
      <c r="BG50" s="33">
        <v>0</v>
      </c>
      <c r="BH50" s="33">
        <v>2</v>
      </c>
      <c r="BI50" s="33">
        <v>0</v>
      </c>
      <c r="BJ50" s="33">
        <v>-2</v>
      </c>
      <c r="BK50" s="33">
        <v>-2</v>
      </c>
      <c r="BL50" s="33">
        <v>3</v>
      </c>
      <c r="BM50" s="33">
        <v>-4</v>
      </c>
      <c r="BN50" s="33">
        <v>-2</v>
      </c>
      <c r="BO50" s="33">
        <v>-1</v>
      </c>
      <c r="BP50" s="33">
        <v>-5</v>
      </c>
      <c r="BQ50" s="33">
        <v>-1</v>
      </c>
      <c r="BR50" s="33">
        <v>1</v>
      </c>
      <c r="BS50" s="33">
        <v>2</v>
      </c>
      <c r="BT50" s="33">
        <v>3</v>
      </c>
      <c r="BU50" s="33">
        <v>4</v>
      </c>
      <c r="BV50" s="33">
        <v>-1</v>
      </c>
      <c r="BW50" s="33">
        <v>2</v>
      </c>
      <c r="BX50" s="33">
        <v>2</v>
      </c>
      <c r="BY50" s="33">
        <v>-1</v>
      </c>
      <c r="BZ50" s="33">
        <v>-5</v>
      </c>
      <c r="CA50" s="33">
        <v>2</v>
      </c>
      <c r="CB50" s="33">
        <v>0</v>
      </c>
      <c r="CC50" s="33">
        <v>5</v>
      </c>
      <c r="CD50" s="33">
        <v>-2</v>
      </c>
      <c r="CE50" s="33">
        <v>0</v>
      </c>
    </row>
    <row r="51" spans="1:83" s="34" customFormat="1" x14ac:dyDescent="0.25">
      <c r="A51" s="51"/>
      <c r="B51" s="32" t="s">
        <v>146</v>
      </c>
      <c r="D51" s="33">
        <f t="shared" si="199"/>
        <v>3</v>
      </c>
      <c r="E51" s="41"/>
      <c r="F51" s="41"/>
      <c r="G51" s="33">
        <v>10</v>
      </c>
      <c r="H51" s="33">
        <v>7</v>
      </c>
      <c r="I51" s="33">
        <v>0</v>
      </c>
      <c r="J51" s="33">
        <v>0</v>
      </c>
      <c r="K51" s="33">
        <v>4</v>
      </c>
      <c r="L51" s="33">
        <v>-9</v>
      </c>
      <c r="M51" s="33">
        <v>-11</v>
      </c>
      <c r="N51" s="33">
        <v>9</v>
      </c>
      <c r="O51" s="33">
        <v>8</v>
      </c>
      <c r="P51" s="33">
        <v>-4</v>
      </c>
      <c r="Q51" s="33">
        <v>-10</v>
      </c>
      <c r="R51" s="33">
        <v>0</v>
      </c>
      <c r="S51" s="33">
        <v>5</v>
      </c>
      <c r="T51" s="33">
        <v>12</v>
      </c>
      <c r="U51" s="33">
        <v>4</v>
      </c>
      <c r="V51" s="33">
        <v>9</v>
      </c>
      <c r="W51" s="33">
        <v>10</v>
      </c>
      <c r="X51" s="33">
        <v>0</v>
      </c>
      <c r="Y51" s="33">
        <v>11</v>
      </c>
      <c r="Z51" s="33">
        <v>2</v>
      </c>
      <c r="AA51" s="33">
        <v>0</v>
      </c>
      <c r="AB51" s="33">
        <v>10</v>
      </c>
      <c r="AC51" s="33">
        <v>8</v>
      </c>
      <c r="AD51" s="33">
        <v>15</v>
      </c>
      <c r="AE51" s="33">
        <v>15</v>
      </c>
      <c r="AF51" s="33">
        <v>15</v>
      </c>
      <c r="AG51" s="33">
        <v>14</v>
      </c>
      <c r="AH51" s="33">
        <v>11</v>
      </c>
      <c r="AI51" s="33">
        <v>13</v>
      </c>
      <c r="AJ51" s="33">
        <v>8</v>
      </c>
      <c r="AK51" s="33">
        <v>12</v>
      </c>
      <c r="AL51" s="33">
        <v>10</v>
      </c>
      <c r="AM51" s="33">
        <v>0</v>
      </c>
      <c r="AN51" s="33">
        <v>4</v>
      </c>
      <c r="AO51" s="33">
        <v>7</v>
      </c>
      <c r="AP51" s="33">
        <v>0</v>
      </c>
      <c r="AQ51" s="33">
        <v>-6</v>
      </c>
      <c r="AR51" s="33">
        <v>-6</v>
      </c>
      <c r="AS51" s="33">
        <v>-7</v>
      </c>
      <c r="AT51" s="33">
        <v>-11</v>
      </c>
      <c r="AU51" s="33">
        <v>-11</v>
      </c>
      <c r="AV51" s="33">
        <v>0</v>
      </c>
      <c r="AW51" s="33">
        <v>-6</v>
      </c>
      <c r="AX51" s="33">
        <v>-11</v>
      </c>
      <c r="AY51" s="33">
        <v>-8</v>
      </c>
      <c r="AZ51" s="33">
        <v>-9</v>
      </c>
      <c r="BA51" s="33">
        <v>-6</v>
      </c>
      <c r="BB51" s="33">
        <v>3</v>
      </c>
      <c r="BC51" s="33">
        <v>3</v>
      </c>
      <c r="BD51" s="33">
        <v>4</v>
      </c>
      <c r="BE51" s="33">
        <v>-8</v>
      </c>
      <c r="BF51" s="33">
        <v>-7</v>
      </c>
      <c r="BG51" s="33">
        <v>-3</v>
      </c>
      <c r="BH51" s="33">
        <v>-10</v>
      </c>
      <c r="BI51" s="33">
        <v>-9</v>
      </c>
      <c r="BJ51" s="33">
        <v>-8</v>
      </c>
      <c r="BK51" s="33">
        <v>-4</v>
      </c>
      <c r="BL51" s="33">
        <v>-2</v>
      </c>
      <c r="BM51" s="33">
        <v>0</v>
      </c>
      <c r="BN51" s="33">
        <v>0</v>
      </c>
      <c r="BO51" s="33">
        <v>4</v>
      </c>
      <c r="BP51" s="33">
        <v>2</v>
      </c>
      <c r="BQ51" s="33">
        <v>-6</v>
      </c>
      <c r="BR51" s="33">
        <v>0</v>
      </c>
      <c r="BS51" s="33">
        <v>-6</v>
      </c>
      <c r="BT51" s="33">
        <v>-8</v>
      </c>
      <c r="BU51" s="33">
        <v>0</v>
      </c>
      <c r="BV51" s="33">
        <v>-2</v>
      </c>
      <c r="BW51" s="33">
        <v>-4</v>
      </c>
      <c r="BX51" s="33">
        <v>-6</v>
      </c>
      <c r="BY51" s="33">
        <v>-4</v>
      </c>
      <c r="BZ51" s="33">
        <v>3</v>
      </c>
      <c r="CA51" s="33">
        <v>5</v>
      </c>
      <c r="CB51" s="33">
        <v>0</v>
      </c>
      <c r="CC51" s="33">
        <v>0</v>
      </c>
      <c r="CD51" s="33">
        <v>5</v>
      </c>
      <c r="CE51" s="33">
        <v>-7</v>
      </c>
    </row>
    <row r="52" spans="1:83" s="34" customFormat="1" x14ac:dyDescent="0.25">
      <c r="A52" s="51"/>
      <c r="B52" s="38" t="s">
        <v>142</v>
      </c>
      <c r="D52" s="33">
        <f t="shared" si="199"/>
        <v>3</v>
      </c>
      <c r="G52" s="33">
        <v>-2</v>
      </c>
      <c r="H52" s="33">
        <v>0</v>
      </c>
      <c r="I52" s="33">
        <v>2</v>
      </c>
      <c r="J52" s="33">
        <v>0</v>
      </c>
      <c r="K52" s="33">
        <v>-3</v>
      </c>
      <c r="L52" s="33">
        <v>-5</v>
      </c>
      <c r="M52" s="33">
        <v>-1</v>
      </c>
      <c r="N52" s="33">
        <v>1</v>
      </c>
      <c r="O52" s="33">
        <v>3</v>
      </c>
      <c r="P52" s="33">
        <v>-1</v>
      </c>
      <c r="Q52" s="33">
        <v>-8</v>
      </c>
      <c r="R52" s="33">
        <v>-4</v>
      </c>
      <c r="S52" s="33">
        <v>2</v>
      </c>
      <c r="T52" s="33">
        <v>1</v>
      </c>
      <c r="U52" s="33">
        <v>9</v>
      </c>
      <c r="V52" s="33">
        <v>3</v>
      </c>
      <c r="W52" s="33">
        <v>6</v>
      </c>
      <c r="X52" s="33">
        <v>6</v>
      </c>
      <c r="Y52" s="33">
        <v>9</v>
      </c>
      <c r="Z52" s="33">
        <v>11</v>
      </c>
      <c r="AA52" s="33">
        <v>6</v>
      </c>
      <c r="AB52" s="33">
        <v>9</v>
      </c>
      <c r="AC52" s="33">
        <v>10</v>
      </c>
      <c r="AD52" s="33">
        <v>9</v>
      </c>
      <c r="AE52" s="33">
        <v>9</v>
      </c>
      <c r="AF52" s="33">
        <v>12</v>
      </c>
      <c r="AG52" s="33">
        <v>11</v>
      </c>
      <c r="AH52" s="33">
        <v>8</v>
      </c>
      <c r="AI52" s="33">
        <v>7</v>
      </c>
      <c r="AJ52" s="33">
        <v>7</v>
      </c>
      <c r="AK52" s="33">
        <v>6</v>
      </c>
      <c r="AL52" s="33">
        <v>2</v>
      </c>
      <c r="AM52" s="33">
        <v>3</v>
      </c>
      <c r="AN52" s="33">
        <v>1</v>
      </c>
      <c r="AO52" s="33">
        <v>4</v>
      </c>
      <c r="AP52" s="33">
        <v>6</v>
      </c>
      <c r="AQ52" s="33">
        <v>0</v>
      </c>
      <c r="AR52" s="33">
        <v>-1</v>
      </c>
      <c r="AS52" s="33">
        <v>-2</v>
      </c>
      <c r="AT52" s="33">
        <v>1</v>
      </c>
      <c r="AU52" s="33">
        <v>0</v>
      </c>
      <c r="AV52" s="33">
        <v>-7</v>
      </c>
      <c r="AW52" s="33">
        <v>-1</v>
      </c>
      <c r="AX52" s="33">
        <v>-7</v>
      </c>
      <c r="AY52" s="33">
        <v>-6</v>
      </c>
      <c r="AZ52" s="33">
        <v>-2</v>
      </c>
      <c r="BA52" s="33">
        <v>-2</v>
      </c>
      <c r="BB52" s="33">
        <v>-7</v>
      </c>
      <c r="BC52" s="33">
        <v>-4</v>
      </c>
      <c r="BD52" s="33">
        <v>-7</v>
      </c>
      <c r="BE52" s="33">
        <v>-4</v>
      </c>
      <c r="BF52" s="33">
        <v>-4</v>
      </c>
      <c r="BG52" s="33">
        <v>-5</v>
      </c>
      <c r="BH52" s="33">
        <v>-7</v>
      </c>
      <c r="BI52" s="33">
        <v>-5</v>
      </c>
      <c r="BJ52" s="33">
        <v>-7</v>
      </c>
      <c r="BK52" s="33">
        <v>-1</v>
      </c>
      <c r="BL52" s="33">
        <v>0</v>
      </c>
      <c r="BM52" s="33">
        <v>-3</v>
      </c>
      <c r="BN52" s="33">
        <v>-1</v>
      </c>
      <c r="BO52" s="33">
        <v>-4</v>
      </c>
      <c r="BP52" s="33">
        <v>-4</v>
      </c>
      <c r="BQ52" s="33">
        <v>-3</v>
      </c>
      <c r="BR52" s="33">
        <v>-4</v>
      </c>
      <c r="BS52" s="33">
        <v>-4</v>
      </c>
      <c r="BT52" s="33">
        <v>1</v>
      </c>
      <c r="BU52" s="33">
        <v>-1</v>
      </c>
      <c r="BV52" s="33">
        <v>6</v>
      </c>
      <c r="BW52" s="33">
        <v>4</v>
      </c>
      <c r="BX52" s="33">
        <v>-4</v>
      </c>
      <c r="BY52" s="33">
        <v>5</v>
      </c>
      <c r="BZ52" s="33">
        <v>1</v>
      </c>
      <c r="CA52" s="33">
        <v>-2</v>
      </c>
      <c r="CB52" s="33">
        <v>-3</v>
      </c>
      <c r="CC52" s="33">
        <v>-1</v>
      </c>
      <c r="CD52" s="33">
        <v>-3</v>
      </c>
      <c r="CE52" s="33">
        <v>-1</v>
      </c>
    </row>
    <row r="53" spans="1:83" s="34" customFormat="1" x14ac:dyDescent="0.25">
      <c r="A53" s="51"/>
      <c r="B53" s="38" t="s">
        <v>150</v>
      </c>
      <c r="D53" s="33">
        <f t="shared" si="199"/>
        <v>3</v>
      </c>
      <c r="G53" s="33">
        <v>3</v>
      </c>
      <c r="H53" s="33">
        <v>-3</v>
      </c>
      <c r="I53" s="33">
        <v>-2</v>
      </c>
      <c r="J53" s="33">
        <v>3</v>
      </c>
      <c r="K53" s="33">
        <v>-2</v>
      </c>
      <c r="L53" s="33">
        <v>1</v>
      </c>
      <c r="M53" s="33">
        <v>1</v>
      </c>
      <c r="N53" s="33">
        <v>7</v>
      </c>
      <c r="O53" s="33">
        <v>6</v>
      </c>
      <c r="P53" s="33">
        <v>-3</v>
      </c>
      <c r="Q53" s="33">
        <v>-5</v>
      </c>
      <c r="R53" s="33">
        <v>-8</v>
      </c>
      <c r="S53" s="33">
        <v>3</v>
      </c>
      <c r="T53" s="33">
        <v>4</v>
      </c>
      <c r="U53" s="33">
        <v>3</v>
      </c>
      <c r="V53" s="33">
        <v>-1</v>
      </c>
      <c r="W53" s="33">
        <v>1</v>
      </c>
      <c r="X53" s="33">
        <v>4</v>
      </c>
      <c r="Y53" s="33">
        <v>-1</v>
      </c>
      <c r="Z53" s="33">
        <v>3</v>
      </c>
      <c r="AA53" s="33">
        <v>-1</v>
      </c>
      <c r="AB53" s="33">
        <v>1</v>
      </c>
      <c r="AC53" s="33">
        <v>7</v>
      </c>
      <c r="AD53" s="33">
        <v>1</v>
      </c>
      <c r="AE53" s="33">
        <v>12</v>
      </c>
      <c r="AF53" s="33">
        <v>11</v>
      </c>
      <c r="AG53" s="33">
        <v>4</v>
      </c>
      <c r="AH53" s="33">
        <v>6</v>
      </c>
      <c r="AI53" s="33">
        <v>5</v>
      </c>
      <c r="AJ53" s="33">
        <v>5</v>
      </c>
      <c r="AK53" s="33">
        <v>9</v>
      </c>
      <c r="AL53" s="33">
        <v>0</v>
      </c>
      <c r="AM53" s="33">
        <v>8</v>
      </c>
      <c r="AN53" s="33">
        <v>11</v>
      </c>
      <c r="AO53" s="33">
        <v>3</v>
      </c>
      <c r="AP53" s="33">
        <v>5</v>
      </c>
      <c r="AQ53" s="33">
        <v>1</v>
      </c>
      <c r="AR53" s="33">
        <v>-4</v>
      </c>
      <c r="AS53" s="33">
        <v>-1</v>
      </c>
      <c r="AT53" s="33">
        <v>3</v>
      </c>
      <c r="AU53" s="33">
        <v>-1</v>
      </c>
      <c r="AV53" s="33">
        <v>-3</v>
      </c>
      <c r="AW53" s="33">
        <v>-3</v>
      </c>
      <c r="AX53" s="33">
        <v>-4</v>
      </c>
      <c r="AY53" s="33">
        <v>1</v>
      </c>
      <c r="AZ53" s="33">
        <v>4</v>
      </c>
      <c r="BA53" s="33">
        <v>2</v>
      </c>
      <c r="BB53" s="33">
        <v>1</v>
      </c>
      <c r="BC53" s="33">
        <v>-3</v>
      </c>
      <c r="BD53" s="33">
        <v>-1</v>
      </c>
      <c r="BE53" s="33">
        <v>-3</v>
      </c>
      <c r="BF53" s="33">
        <v>5</v>
      </c>
      <c r="BG53" s="33">
        <v>-1</v>
      </c>
      <c r="BH53" s="33">
        <v>-2</v>
      </c>
      <c r="BI53" s="33">
        <v>2</v>
      </c>
      <c r="BJ53" s="33">
        <v>-3</v>
      </c>
      <c r="BK53" s="33">
        <v>2</v>
      </c>
      <c r="BL53" s="33">
        <v>1</v>
      </c>
      <c r="BM53" s="33">
        <v>-1</v>
      </c>
      <c r="BN53" s="33">
        <v>2</v>
      </c>
      <c r="BO53" s="33">
        <v>1</v>
      </c>
      <c r="BP53" s="33">
        <v>-1</v>
      </c>
      <c r="BQ53" s="33">
        <v>-4</v>
      </c>
      <c r="BR53" s="33">
        <v>-2</v>
      </c>
      <c r="BS53" s="33">
        <v>0</v>
      </c>
      <c r="BT53" s="33">
        <v>-4</v>
      </c>
      <c r="BU53" s="33">
        <v>3</v>
      </c>
      <c r="BV53" s="33">
        <v>-4</v>
      </c>
      <c r="BW53" s="33">
        <v>6</v>
      </c>
      <c r="BX53" s="33">
        <v>0</v>
      </c>
      <c r="BY53" s="33">
        <v>0</v>
      </c>
      <c r="BZ53" s="33">
        <v>-1</v>
      </c>
      <c r="CA53" s="33">
        <v>3</v>
      </c>
      <c r="CB53" s="33">
        <v>1</v>
      </c>
      <c r="CC53" s="33">
        <v>1</v>
      </c>
      <c r="CD53" s="33">
        <v>3</v>
      </c>
      <c r="CE53" s="33">
        <v>-2</v>
      </c>
    </row>
    <row r="54" spans="1:83" s="34" customFormat="1" x14ac:dyDescent="0.25">
      <c r="A54" s="51"/>
      <c r="B54" s="38" t="s">
        <v>202</v>
      </c>
      <c r="D54" s="33">
        <f t="shared" si="199"/>
        <v>2</v>
      </c>
      <c r="G54" s="33">
        <v>9</v>
      </c>
      <c r="H54" s="33">
        <v>-4</v>
      </c>
      <c r="I54" s="33">
        <v>3</v>
      </c>
      <c r="J54" s="33">
        <v>-7</v>
      </c>
      <c r="K54" s="33">
        <v>-5</v>
      </c>
      <c r="L54" s="33">
        <v>-4</v>
      </c>
      <c r="M54" s="33">
        <v>-10</v>
      </c>
      <c r="N54" s="33">
        <v>0</v>
      </c>
      <c r="O54" s="33">
        <v>5</v>
      </c>
      <c r="P54" s="33">
        <v>-5</v>
      </c>
      <c r="Q54" s="33">
        <v>-13</v>
      </c>
      <c r="R54" s="33">
        <v>3</v>
      </c>
      <c r="S54" s="33">
        <v>0</v>
      </c>
      <c r="T54" s="33">
        <v>0</v>
      </c>
      <c r="U54" s="33">
        <v>10</v>
      </c>
      <c r="V54" s="33">
        <v>4</v>
      </c>
      <c r="W54" s="33">
        <v>2</v>
      </c>
      <c r="X54" s="33">
        <v>8</v>
      </c>
      <c r="Y54" s="33">
        <v>-3</v>
      </c>
      <c r="Z54" s="33">
        <v>0</v>
      </c>
      <c r="AA54" s="33">
        <v>0</v>
      </c>
      <c r="AB54" s="33">
        <v>11</v>
      </c>
      <c r="AC54" s="33">
        <v>11</v>
      </c>
      <c r="AD54" s="33">
        <v>16</v>
      </c>
      <c r="AE54" s="33">
        <v>11</v>
      </c>
      <c r="AF54" s="33">
        <v>3</v>
      </c>
      <c r="AG54" s="33">
        <v>-1</v>
      </c>
      <c r="AH54" s="33">
        <v>4</v>
      </c>
      <c r="AI54" s="33">
        <v>-2</v>
      </c>
      <c r="AJ54" s="33">
        <v>-3</v>
      </c>
      <c r="AK54" s="33">
        <v>0</v>
      </c>
      <c r="AL54" s="33">
        <v>0</v>
      </c>
      <c r="AM54" s="33">
        <v>-1</v>
      </c>
      <c r="AN54" s="33">
        <v>0</v>
      </c>
      <c r="AO54" s="33">
        <v>0</v>
      </c>
      <c r="AP54" s="33">
        <v>0</v>
      </c>
      <c r="AQ54" s="33">
        <v>6</v>
      </c>
      <c r="AR54" s="33">
        <v>4</v>
      </c>
      <c r="AS54" s="33">
        <v>4</v>
      </c>
      <c r="AT54" s="33">
        <v>5</v>
      </c>
      <c r="AU54" s="33">
        <v>-5</v>
      </c>
      <c r="AV54" s="33">
        <v>-10</v>
      </c>
      <c r="AW54" s="33">
        <v>-10</v>
      </c>
      <c r="AX54" s="33">
        <v>-13</v>
      </c>
      <c r="AY54" s="33">
        <v>-11</v>
      </c>
      <c r="AZ54" s="33">
        <v>-10</v>
      </c>
      <c r="BA54" s="33">
        <v>5</v>
      </c>
      <c r="BB54" s="33">
        <v>0</v>
      </c>
      <c r="BC54" s="33">
        <v>4</v>
      </c>
      <c r="BD54" s="33">
        <v>2</v>
      </c>
      <c r="BE54" s="33">
        <v>4</v>
      </c>
      <c r="BF54" s="33">
        <v>1</v>
      </c>
      <c r="BG54" s="33">
        <v>-4</v>
      </c>
      <c r="BH54" s="33">
        <v>-6</v>
      </c>
      <c r="BI54" s="33">
        <v>-10</v>
      </c>
      <c r="BJ54" s="33">
        <v>-9</v>
      </c>
      <c r="BK54" s="33">
        <v>0</v>
      </c>
      <c r="BL54" s="33">
        <v>12</v>
      </c>
      <c r="BM54" s="33">
        <v>7</v>
      </c>
      <c r="BN54" s="33">
        <v>-6</v>
      </c>
      <c r="BO54" s="33">
        <v>0</v>
      </c>
      <c r="BP54" s="33">
        <v>6</v>
      </c>
      <c r="BQ54" s="33">
        <v>-11</v>
      </c>
      <c r="BR54" s="33">
        <v>-6</v>
      </c>
      <c r="BS54" s="33">
        <v>-8</v>
      </c>
      <c r="BT54" s="33">
        <v>-9</v>
      </c>
      <c r="BU54" s="33">
        <v>-6</v>
      </c>
      <c r="BV54" s="33">
        <v>-5</v>
      </c>
      <c r="BW54" s="33">
        <v>-6</v>
      </c>
      <c r="BX54" s="33">
        <v>4</v>
      </c>
      <c r="BY54" s="33">
        <v>-2</v>
      </c>
      <c r="BZ54" s="33">
        <v>5</v>
      </c>
      <c r="CA54" s="33">
        <v>4</v>
      </c>
      <c r="CB54" s="33">
        <v>-5</v>
      </c>
      <c r="CC54" s="33">
        <v>3</v>
      </c>
      <c r="CD54" s="33">
        <v>-8</v>
      </c>
      <c r="CE54" s="33">
        <v>-6</v>
      </c>
    </row>
    <row r="55" spans="1:83" s="34" customFormat="1" x14ac:dyDescent="0.25">
      <c r="A55" s="51"/>
      <c r="B55" s="32" t="s">
        <v>203</v>
      </c>
      <c r="D55" s="33">
        <f t="shared" si="199"/>
        <v>4</v>
      </c>
      <c r="G55" s="33">
        <v>2</v>
      </c>
      <c r="H55" s="33">
        <v>-2</v>
      </c>
      <c r="I55" s="33">
        <v>-10</v>
      </c>
      <c r="J55" s="33">
        <v>-4</v>
      </c>
      <c r="K55" s="33">
        <v>0</v>
      </c>
      <c r="L55" s="33">
        <v>3</v>
      </c>
      <c r="M55" s="33">
        <v>-5</v>
      </c>
      <c r="N55" s="33">
        <v>0</v>
      </c>
      <c r="O55" s="33">
        <v>15</v>
      </c>
      <c r="P55" s="33">
        <v>3</v>
      </c>
      <c r="Q55" s="33">
        <v>1</v>
      </c>
      <c r="R55" s="33">
        <v>1</v>
      </c>
      <c r="S55" s="33">
        <v>0</v>
      </c>
      <c r="T55" s="33">
        <v>-1</v>
      </c>
      <c r="U55" s="33">
        <v>8</v>
      </c>
      <c r="V55" s="33">
        <v>8</v>
      </c>
      <c r="W55" s="33">
        <v>8</v>
      </c>
      <c r="X55" s="33">
        <v>9</v>
      </c>
      <c r="Y55" s="33">
        <v>0</v>
      </c>
      <c r="Z55" s="33">
        <v>7</v>
      </c>
      <c r="AA55" s="33">
        <v>13</v>
      </c>
      <c r="AB55" s="33">
        <v>12</v>
      </c>
      <c r="AC55" s="33">
        <v>12</v>
      </c>
      <c r="AD55" s="33">
        <v>13</v>
      </c>
      <c r="AE55" s="33">
        <v>5</v>
      </c>
      <c r="AF55" s="33">
        <v>10</v>
      </c>
      <c r="AG55" s="33">
        <v>10</v>
      </c>
      <c r="AH55" s="33">
        <v>5</v>
      </c>
      <c r="AI55" s="33">
        <v>0</v>
      </c>
      <c r="AJ55" s="33">
        <v>2</v>
      </c>
      <c r="AK55" s="33">
        <v>-1</v>
      </c>
      <c r="AL55" s="33">
        <v>0</v>
      </c>
      <c r="AM55" s="33">
        <v>12</v>
      </c>
      <c r="AN55" s="33">
        <v>7</v>
      </c>
      <c r="AO55" s="33">
        <v>6</v>
      </c>
      <c r="AP55" s="33">
        <v>0</v>
      </c>
      <c r="AQ55" s="33">
        <v>-5</v>
      </c>
      <c r="AR55" s="33">
        <v>0</v>
      </c>
      <c r="AS55" s="33">
        <v>0</v>
      </c>
      <c r="AT55" s="33">
        <v>-6</v>
      </c>
      <c r="AU55" s="33">
        <v>-9</v>
      </c>
      <c r="AV55" s="33">
        <v>-12</v>
      </c>
      <c r="AW55" s="33">
        <v>0</v>
      </c>
      <c r="AX55" s="33">
        <v>-14</v>
      </c>
      <c r="AY55" s="33">
        <v>-12</v>
      </c>
      <c r="AZ55" s="33">
        <v>-11</v>
      </c>
      <c r="BA55" s="33">
        <v>7</v>
      </c>
      <c r="BB55" s="33">
        <v>-5</v>
      </c>
      <c r="BC55" s="33">
        <v>1</v>
      </c>
      <c r="BD55" s="33">
        <v>-10</v>
      </c>
      <c r="BE55" s="33">
        <v>2</v>
      </c>
      <c r="BF55" s="33">
        <v>0</v>
      </c>
      <c r="BG55" s="33">
        <v>0</v>
      </c>
      <c r="BH55" s="33">
        <v>-9</v>
      </c>
      <c r="BI55" s="33">
        <v>-6</v>
      </c>
      <c r="BJ55" s="33">
        <v>0</v>
      </c>
      <c r="BK55" s="33">
        <v>10</v>
      </c>
      <c r="BL55" s="33">
        <v>11</v>
      </c>
      <c r="BM55" s="33">
        <v>5</v>
      </c>
      <c r="BN55" s="33">
        <v>0</v>
      </c>
      <c r="BO55" s="33">
        <v>0</v>
      </c>
      <c r="BP55" s="33">
        <v>5</v>
      </c>
      <c r="BQ55" s="33">
        <v>4</v>
      </c>
      <c r="BR55" s="33">
        <v>-9</v>
      </c>
      <c r="BS55" s="33">
        <v>-9</v>
      </c>
      <c r="BT55" s="33">
        <v>-5</v>
      </c>
      <c r="BU55" s="33">
        <v>5</v>
      </c>
      <c r="BV55" s="33">
        <v>0</v>
      </c>
      <c r="BW55" s="33">
        <v>-5</v>
      </c>
      <c r="BX55" s="33">
        <v>-8</v>
      </c>
      <c r="BY55" s="33">
        <v>-5</v>
      </c>
      <c r="BZ55" s="33">
        <v>-7</v>
      </c>
      <c r="CA55" s="33">
        <v>-7</v>
      </c>
      <c r="CB55" s="33">
        <v>-8</v>
      </c>
      <c r="CC55" s="33">
        <v>-6</v>
      </c>
      <c r="CD55" s="33">
        <v>-6</v>
      </c>
      <c r="CE55" s="33">
        <v>-9</v>
      </c>
    </row>
    <row r="56" spans="1:83" s="34" customFormat="1" x14ac:dyDescent="0.25">
      <c r="A56" s="51"/>
      <c r="B56" s="32" t="s">
        <v>201</v>
      </c>
      <c r="D56" s="33">
        <f t="shared" si="199"/>
        <v>2</v>
      </c>
      <c r="G56" s="33">
        <v>0</v>
      </c>
      <c r="H56" s="33">
        <v>-8</v>
      </c>
      <c r="I56" s="33">
        <v>-5</v>
      </c>
      <c r="J56" s="33">
        <v>-6</v>
      </c>
      <c r="K56" s="33">
        <v>-4</v>
      </c>
      <c r="L56" s="33">
        <v>-6</v>
      </c>
      <c r="M56" s="33">
        <v>0</v>
      </c>
      <c r="N56" s="33">
        <v>0</v>
      </c>
      <c r="O56" s="33">
        <v>-2</v>
      </c>
      <c r="P56" s="33">
        <v>-9</v>
      </c>
      <c r="Q56" s="33">
        <v>-11</v>
      </c>
      <c r="R56" s="33">
        <v>-7</v>
      </c>
      <c r="S56" s="33">
        <v>0</v>
      </c>
      <c r="T56" s="33">
        <v>5</v>
      </c>
      <c r="U56" s="33">
        <v>6</v>
      </c>
      <c r="V56" s="33">
        <v>0</v>
      </c>
      <c r="W56" s="33">
        <v>4</v>
      </c>
      <c r="X56" s="33">
        <v>-1</v>
      </c>
      <c r="Y56" s="33">
        <v>10</v>
      </c>
      <c r="Z56" s="33">
        <v>0</v>
      </c>
      <c r="AA56" s="33">
        <v>0</v>
      </c>
      <c r="AB56" s="33">
        <v>0</v>
      </c>
      <c r="AC56" s="33">
        <v>1</v>
      </c>
      <c r="AD56" s="33">
        <v>3</v>
      </c>
      <c r="AE56" s="33">
        <v>3</v>
      </c>
      <c r="AF56" s="33">
        <v>4</v>
      </c>
      <c r="AG56" s="33">
        <v>6</v>
      </c>
      <c r="AH56" s="33">
        <v>10</v>
      </c>
      <c r="AI56" s="33">
        <v>6</v>
      </c>
      <c r="AJ56" s="33">
        <v>0</v>
      </c>
      <c r="AK56" s="33">
        <v>8</v>
      </c>
      <c r="AL56" s="33">
        <v>-1</v>
      </c>
      <c r="AM56" s="33">
        <v>6</v>
      </c>
      <c r="AN56" s="33">
        <v>-1</v>
      </c>
      <c r="AO56" s="33">
        <v>0</v>
      </c>
      <c r="AP56" s="33">
        <v>7</v>
      </c>
      <c r="AQ56" s="33">
        <v>5</v>
      </c>
      <c r="AR56" s="33">
        <v>0</v>
      </c>
      <c r="AS56" s="33">
        <v>0</v>
      </c>
      <c r="AT56" s="33">
        <v>0</v>
      </c>
      <c r="AU56" s="33">
        <v>2</v>
      </c>
      <c r="AV56" s="33">
        <v>0</v>
      </c>
      <c r="AW56" s="33">
        <v>0</v>
      </c>
      <c r="AX56" s="33">
        <v>-6</v>
      </c>
      <c r="AY56" s="33">
        <v>3</v>
      </c>
      <c r="AZ56" s="33">
        <v>2</v>
      </c>
      <c r="BA56" s="33">
        <v>4</v>
      </c>
      <c r="BB56" s="33">
        <v>-6</v>
      </c>
      <c r="BC56" s="33">
        <v>0</v>
      </c>
      <c r="BD56" s="33">
        <v>0</v>
      </c>
      <c r="BE56" s="33">
        <v>-7</v>
      </c>
      <c r="BF56" s="33">
        <v>-5</v>
      </c>
      <c r="BG56" s="33">
        <v>0</v>
      </c>
      <c r="BH56" s="33">
        <v>0</v>
      </c>
      <c r="BI56" s="33">
        <v>-7</v>
      </c>
      <c r="BJ56" s="33">
        <v>-5</v>
      </c>
      <c r="BK56" s="33">
        <v>0</v>
      </c>
      <c r="BL56" s="33">
        <v>7</v>
      </c>
      <c r="BM56" s="33">
        <v>0</v>
      </c>
      <c r="BN56" s="33">
        <v>3</v>
      </c>
      <c r="BO56" s="33">
        <v>5</v>
      </c>
      <c r="BP56" s="33">
        <v>4</v>
      </c>
      <c r="BQ56" s="33">
        <v>0</v>
      </c>
      <c r="BR56" s="33">
        <v>0</v>
      </c>
      <c r="BS56" s="33">
        <v>0</v>
      </c>
      <c r="BT56" s="33">
        <v>0</v>
      </c>
      <c r="BU56" s="33">
        <v>0</v>
      </c>
      <c r="BV56" s="33">
        <v>7</v>
      </c>
      <c r="BW56" s="33">
        <v>9</v>
      </c>
      <c r="BX56" s="33">
        <v>5</v>
      </c>
      <c r="BY56" s="33">
        <v>7</v>
      </c>
      <c r="BZ56" s="33">
        <v>6</v>
      </c>
      <c r="CA56" s="33">
        <v>6</v>
      </c>
      <c r="CB56" s="33">
        <v>-6</v>
      </c>
      <c r="CC56" s="33">
        <v>0</v>
      </c>
      <c r="CD56" s="33">
        <v>0</v>
      </c>
      <c r="CE56" s="33">
        <v>-8</v>
      </c>
    </row>
    <row r="57" spans="1:83" x14ac:dyDescent="0.25">
      <c r="A57" s="51"/>
      <c r="B57" s="32" t="s">
        <v>148</v>
      </c>
      <c r="D57" s="33">
        <f t="shared" si="199"/>
        <v>4</v>
      </c>
      <c r="E57" s="34"/>
      <c r="F57" s="34"/>
      <c r="G57" s="33">
        <v>4</v>
      </c>
      <c r="H57" s="33">
        <v>-1</v>
      </c>
      <c r="I57" s="33">
        <v>-4</v>
      </c>
      <c r="J57" s="33">
        <v>-1</v>
      </c>
      <c r="K57" s="33">
        <v>-6</v>
      </c>
      <c r="L57" s="33">
        <v>-3</v>
      </c>
      <c r="M57" s="33">
        <v>0</v>
      </c>
      <c r="N57" s="33">
        <v>4</v>
      </c>
      <c r="O57" s="33">
        <v>10</v>
      </c>
      <c r="P57" s="33">
        <v>4</v>
      </c>
      <c r="Q57" s="33">
        <v>-6</v>
      </c>
      <c r="R57" s="33">
        <v>-5</v>
      </c>
      <c r="S57" s="33">
        <v>10</v>
      </c>
      <c r="T57" s="33">
        <v>10</v>
      </c>
      <c r="U57" s="33">
        <v>14</v>
      </c>
      <c r="V57" s="33">
        <v>10</v>
      </c>
      <c r="W57" s="33">
        <v>14</v>
      </c>
      <c r="X57" s="33">
        <v>14</v>
      </c>
      <c r="Y57" s="33">
        <v>5</v>
      </c>
      <c r="Z57" s="33">
        <v>10</v>
      </c>
      <c r="AA57" s="33">
        <v>1</v>
      </c>
      <c r="AB57" s="33">
        <v>2</v>
      </c>
      <c r="AC57" s="33">
        <v>3</v>
      </c>
      <c r="AD57" s="33">
        <v>10</v>
      </c>
      <c r="AE57" s="33">
        <v>4</v>
      </c>
      <c r="AF57" s="33">
        <v>2</v>
      </c>
      <c r="AG57" s="33">
        <v>7</v>
      </c>
      <c r="AH57" s="33">
        <v>0</v>
      </c>
      <c r="AI57" s="33">
        <v>1</v>
      </c>
      <c r="AJ57" s="33">
        <v>9</v>
      </c>
      <c r="AK57" s="33">
        <v>2</v>
      </c>
      <c r="AL57" s="33">
        <v>3</v>
      </c>
      <c r="AM57" s="33">
        <v>4</v>
      </c>
      <c r="AN57" s="33">
        <v>2</v>
      </c>
      <c r="AO57" s="33">
        <v>1</v>
      </c>
      <c r="AP57" s="33">
        <v>4</v>
      </c>
      <c r="AQ57" s="33">
        <v>3</v>
      </c>
      <c r="AR57" s="33">
        <v>-3</v>
      </c>
      <c r="AS57" s="33">
        <v>1</v>
      </c>
      <c r="AT57" s="33">
        <v>0</v>
      </c>
      <c r="AU57" s="33">
        <v>1</v>
      </c>
      <c r="AV57" s="33">
        <v>-6</v>
      </c>
      <c r="AW57" s="33">
        <v>-5</v>
      </c>
      <c r="AX57" s="33">
        <v>-10</v>
      </c>
      <c r="AY57" s="33">
        <v>-5</v>
      </c>
      <c r="AZ57" s="33">
        <v>-7</v>
      </c>
      <c r="BA57" s="33">
        <v>3</v>
      </c>
      <c r="BB57" s="33">
        <v>2</v>
      </c>
      <c r="BC57" s="33">
        <v>-8</v>
      </c>
      <c r="BD57" s="33">
        <v>-9</v>
      </c>
      <c r="BE57" s="33">
        <v>-2</v>
      </c>
      <c r="BF57" s="33">
        <v>0</v>
      </c>
      <c r="BG57" s="33">
        <v>3</v>
      </c>
      <c r="BH57" s="33">
        <v>1</v>
      </c>
      <c r="BI57" s="33">
        <v>-8</v>
      </c>
      <c r="BJ57" s="33">
        <v>-6</v>
      </c>
      <c r="BK57" s="33">
        <v>9</v>
      </c>
      <c r="BL57" s="33">
        <v>6</v>
      </c>
      <c r="BM57" s="33">
        <v>6</v>
      </c>
      <c r="BN57" s="33">
        <v>0</v>
      </c>
      <c r="BO57" s="33">
        <v>0</v>
      </c>
      <c r="BP57" s="33">
        <v>-2</v>
      </c>
      <c r="BQ57" s="33">
        <v>-9</v>
      </c>
      <c r="BR57" s="33">
        <v>-11</v>
      </c>
      <c r="BS57" s="33">
        <v>0</v>
      </c>
      <c r="BT57" s="33">
        <v>-6</v>
      </c>
      <c r="BU57" s="33">
        <v>-2</v>
      </c>
      <c r="BV57" s="33">
        <v>3</v>
      </c>
      <c r="BW57" s="33">
        <v>-3</v>
      </c>
      <c r="BX57" s="33">
        <v>-5</v>
      </c>
      <c r="BY57" s="33">
        <v>6</v>
      </c>
      <c r="BZ57" s="33">
        <v>7</v>
      </c>
      <c r="CA57" s="33">
        <v>0</v>
      </c>
      <c r="CB57" s="33">
        <v>3</v>
      </c>
      <c r="CC57" s="33">
        <v>-4</v>
      </c>
      <c r="CD57" s="33">
        <v>-7</v>
      </c>
      <c r="CE57" s="33">
        <v>3</v>
      </c>
    </row>
    <row r="58" spans="1:83" x14ac:dyDescent="0.25">
      <c r="A58" s="51"/>
      <c r="B58" s="32" t="s">
        <v>163</v>
      </c>
      <c r="D58" s="33">
        <f t="shared" si="199"/>
        <v>2</v>
      </c>
      <c r="E58" s="34"/>
      <c r="F58" s="34"/>
      <c r="G58" s="33">
        <v>-5</v>
      </c>
      <c r="H58" s="33">
        <v>-9</v>
      </c>
      <c r="I58" s="33">
        <v>-3</v>
      </c>
      <c r="J58" s="33">
        <v>0</v>
      </c>
      <c r="K58" s="33">
        <v>-10</v>
      </c>
      <c r="L58" s="33">
        <v>0</v>
      </c>
      <c r="M58" s="33">
        <v>-4</v>
      </c>
      <c r="N58" s="33">
        <v>8</v>
      </c>
      <c r="O58" s="33">
        <v>13</v>
      </c>
      <c r="P58" s="33">
        <v>-7</v>
      </c>
      <c r="Q58" s="33">
        <v>-2</v>
      </c>
      <c r="R58" s="33">
        <v>-10</v>
      </c>
      <c r="S58" s="33">
        <v>0</v>
      </c>
      <c r="T58" s="33">
        <v>11</v>
      </c>
      <c r="U58" s="33">
        <v>15</v>
      </c>
      <c r="V58" s="33">
        <v>0</v>
      </c>
      <c r="W58" s="33">
        <v>13</v>
      </c>
      <c r="X58" s="33">
        <v>2</v>
      </c>
      <c r="Y58" s="33">
        <v>4</v>
      </c>
      <c r="Z58" s="33">
        <v>13</v>
      </c>
      <c r="AA58" s="33">
        <v>11</v>
      </c>
      <c r="AB58" s="33">
        <v>5</v>
      </c>
      <c r="AC58" s="33">
        <v>13</v>
      </c>
      <c r="AD58" s="33">
        <v>12</v>
      </c>
      <c r="AE58" s="33">
        <v>2</v>
      </c>
      <c r="AF58" s="33">
        <v>1</v>
      </c>
      <c r="AG58" s="33">
        <v>8</v>
      </c>
      <c r="AH58" s="33">
        <v>13</v>
      </c>
      <c r="AI58" s="33">
        <v>10</v>
      </c>
      <c r="AJ58" s="33">
        <v>-4</v>
      </c>
      <c r="AK58" s="33">
        <v>7</v>
      </c>
      <c r="AL58" s="33">
        <v>9</v>
      </c>
      <c r="AM58" s="33">
        <v>0</v>
      </c>
      <c r="AN58" s="33">
        <v>0</v>
      </c>
      <c r="AO58" s="33">
        <v>-2</v>
      </c>
      <c r="AP58" s="33">
        <v>9</v>
      </c>
      <c r="AQ58" s="33">
        <v>4</v>
      </c>
      <c r="AR58" s="33">
        <v>2</v>
      </c>
      <c r="AS58" s="33">
        <v>2</v>
      </c>
      <c r="AT58" s="33">
        <v>-2</v>
      </c>
      <c r="AU58" s="33">
        <v>-6</v>
      </c>
      <c r="AV58" s="33">
        <v>-11</v>
      </c>
      <c r="AW58" s="33">
        <v>2</v>
      </c>
      <c r="AX58" s="33">
        <v>-9</v>
      </c>
      <c r="AY58" s="33">
        <v>-4</v>
      </c>
      <c r="AZ58" s="33">
        <v>3</v>
      </c>
      <c r="BA58" s="33">
        <v>-1</v>
      </c>
      <c r="BB58" s="33">
        <v>-9</v>
      </c>
      <c r="BC58" s="33">
        <v>0</v>
      </c>
      <c r="BD58" s="33">
        <v>-4</v>
      </c>
      <c r="BE58" s="33">
        <v>0</v>
      </c>
      <c r="BF58" s="33">
        <v>3</v>
      </c>
      <c r="BG58" s="33">
        <v>2</v>
      </c>
      <c r="BH58" s="33">
        <v>-3</v>
      </c>
      <c r="BI58" s="33">
        <v>3</v>
      </c>
      <c r="BJ58" s="33">
        <v>4</v>
      </c>
      <c r="BK58" s="33">
        <v>5</v>
      </c>
      <c r="BL58" s="33">
        <v>10</v>
      </c>
      <c r="BM58" s="33">
        <v>4</v>
      </c>
      <c r="BN58" s="33">
        <v>0</v>
      </c>
      <c r="BO58" s="33">
        <v>6</v>
      </c>
      <c r="BP58" s="33">
        <v>-8</v>
      </c>
      <c r="BQ58" s="33">
        <v>3</v>
      </c>
      <c r="BR58" s="33">
        <v>-8</v>
      </c>
      <c r="BS58" s="33">
        <v>-3</v>
      </c>
      <c r="BT58" s="33">
        <v>-1</v>
      </c>
      <c r="BU58" s="33">
        <v>2</v>
      </c>
      <c r="BV58" s="33">
        <v>8</v>
      </c>
      <c r="BW58" s="33">
        <v>5</v>
      </c>
      <c r="BX58" s="33">
        <v>1</v>
      </c>
      <c r="BY58" s="33">
        <v>4</v>
      </c>
      <c r="BZ58" s="33">
        <v>-4</v>
      </c>
      <c r="CA58" s="33">
        <v>0</v>
      </c>
      <c r="CB58" s="33">
        <v>2</v>
      </c>
      <c r="CC58" s="33">
        <v>6</v>
      </c>
      <c r="CD58" s="33">
        <v>2</v>
      </c>
      <c r="CE58" s="33">
        <v>4</v>
      </c>
    </row>
    <row r="59" spans="1:83" x14ac:dyDescent="0.25">
      <c r="A59" s="51"/>
      <c r="B59" s="32" t="s">
        <v>483</v>
      </c>
      <c r="D59" s="33">
        <f t="shared" si="199"/>
        <v>2</v>
      </c>
      <c r="E59" s="34"/>
      <c r="F59" s="34"/>
      <c r="G59" s="33">
        <v>7</v>
      </c>
      <c r="H59" s="33">
        <v>5</v>
      </c>
      <c r="I59" s="33">
        <v>0</v>
      </c>
      <c r="J59" s="33">
        <v>0</v>
      </c>
      <c r="K59" s="33">
        <v>0</v>
      </c>
      <c r="L59" s="33">
        <v>-10</v>
      </c>
      <c r="M59" s="33">
        <v>-9</v>
      </c>
      <c r="N59" s="33">
        <v>-5</v>
      </c>
      <c r="O59" s="33">
        <v>14</v>
      </c>
      <c r="P59" s="33">
        <v>8</v>
      </c>
      <c r="Q59" s="33">
        <v>-14</v>
      </c>
      <c r="R59" s="33">
        <v>-12</v>
      </c>
      <c r="S59" s="33">
        <v>8</v>
      </c>
      <c r="T59" s="33">
        <v>0</v>
      </c>
      <c r="U59" s="33">
        <v>-1</v>
      </c>
      <c r="V59" s="33">
        <v>7</v>
      </c>
      <c r="W59" s="33">
        <v>0</v>
      </c>
      <c r="X59" s="33">
        <v>-2</v>
      </c>
      <c r="Y59" s="33">
        <v>0</v>
      </c>
      <c r="Z59" s="33">
        <v>-2</v>
      </c>
      <c r="AA59" s="33">
        <v>4</v>
      </c>
      <c r="AB59" s="33">
        <v>0</v>
      </c>
      <c r="AC59" s="33">
        <v>-1</v>
      </c>
      <c r="AD59" s="33">
        <v>-1</v>
      </c>
      <c r="AE59" s="33">
        <v>14</v>
      </c>
      <c r="AF59" s="33">
        <v>13</v>
      </c>
      <c r="AG59" s="33">
        <v>12</v>
      </c>
      <c r="AH59" s="33">
        <v>-2</v>
      </c>
      <c r="AI59" s="33">
        <v>12</v>
      </c>
      <c r="AJ59" s="33">
        <v>-5</v>
      </c>
      <c r="AK59" s="33">
        <v>0</v>
      </c>
      <c r="AL59" s="33">
        <v>0</v>
      </c>
      <c r="AM59" s="33">
        <v>0</v>
      </c>
      <c r="AN59" s="33">
        <v>0</v>
      </c>
      <c r="AO59" s="33">
        <v>11</v>
      </c>
      <c r="AP59" s="33">
        <v>0</v>
      </c>
      <c r="AQ59" s="33">
        <v>0</v>
      </c>
      <c r="AR59" s="33">
        <v>3</v>
      </c>
      <c r="AS59" s="33">
        <v>0</v>
      </c>
      <c r="AT59" s="33">
        <v>-8</v>
      </c>
      <c r="AU59" s="33">
        <v>-10</v>
      </c>
      <c r="AV59" s="33">
        <v>-13</v>
      </c>
      <c r="AW59" s="33">
        <v>0</v>
      </c>
      <c r="AX59" s="33">
        <v>0</v>
      </c>
      <c r="AY59" s="33">
        <v>-9</v>
      </c>
      <c r="AZ59" s="33">
        <v>5</v>
      </c>
      <c r="BA59" s="33">
        <v>8</v>
      </c>
      <c r="BB59" s="33">
        <v>0</v>
      </c>
      <c r="BC59" s="33">
        <v>5</v>
      </c>
      <c r="BD59" s="33">
        <v>0</v>
      </c>
      <c r="BE59" s="33">
        <v>0</v>
      </c>
      <c r="BF59" s="33">
        <v>-8</v>
      </c>
      <c r="BG59" s="33">
        <v>-9</v>
      </c>
      <c r="BH59" s="33">
        <v>0</v>
      </c>
      <c r="BI59" s="33">
        <v>-13</v>
      </c>
      <c r="BJ59" s="33">
        <v>0</v>
      </c>
      <c r="BK59" s="33">
        <v>0</v>
      </c>
      <c r="BL59" s="33">
        <v>9</v>
      </c>
      <c r="BM59" s="33">
        <v>8</v>
      </c>
      <c r="BN59" s="33">
        <v>4</v>
      </c>
      <c r="BO59" s="33">
        <v>0</v>
      </c>
      <c r="BP59" s="33">
        <v>0</v>
      </c>
      <c r="BQ59" s="33">
        <v>-10</v>
      </c>
      <c r="BR59" s="33">
        <v>-10</v>
      </c>
      <c r="BS59" s="33">
        <v>-10</v>
      </c>
      <c r="BT59" s="33">
        <v>0</v>
      </c>
      <c r="BU59" s="33">
        <v>-7</v>
      </c>
      <c r="BV59" s="33">
        <v>0</v>
      </c>
      <c r="BW59" s="33">
        <v>0</v>
      </c>
      <c r="BX59" s="33">
        <v>0</v>
      </c>
      <c r="BY59" s="33">
        <v>0</v>
      </c>
      <c r="BZ59" s="33">
        <v>0</v>
      </c>
      <c r="CA59" s="33">
        <v>0</v>
      </c>
      <c r="CB59" s="33">
        <v>0</v>
      </c>
      <c r="CC59" s="33">
        <v>0</v>
      </c>
      <c r="CD59" s="33">
        <v>0</v>
      </c>
      <c r="CE59" s="33">
        <v>0</v>
      </c>
    </row>
    <row r="60" spans="1:83" x14ac:dyDescent="0.25">
      <c r="A60" s="51"/>
      <c r="B60" s="38" t="s">
        <v>484</v>
      </c>
      <c r="D60" s="33">
        <f t="shared" si="199"/>
        <v>2</v>
      </c>
      <c r="E60" s="34"/>
      <c r="F60" s="34"/>
      <c r="G60" s="33">
        <v>8</v>
      </c>
      <c r="H60" s="33">
        <v>3</v>
      </c>
      <c r="I60" s="33">
        <v>-7</v>
      </c>
      <c r="J60" s="33">
        <v>-10</v>
      </c>
      <c r="K60" s="33">
        <v>-8</v>
      </c>
      <c r="L60" s="33">
        <v>-11</v>
      </c>
      <c r="M60" s="33">
        <v>3</v>
      </c>
      <c r="N60" s="33">
        <v>-4</v>
      </c>
      <c r="O60" s="33">
        <v>9</v>
      </c>
      <c r="P60" s="33">
        <v>-6</v>
      </c>
      <c r="Q60" s="33">
        <v>-15</v>
      </c>
      <c r="R60" s="33">
        <v>4</v>
      </c>
      <c r="S60" s="33">
        <v>11</v>
      </c>
      <c r="T60" s="33">
        <v>-2</v>
      </c>
      <c r="U60" s="33">
        <v>0</v>
      </c>
      <c r="V60" s="33">
        <v>-2</v>
      </c>
      <c r="W60" s="33">
        <v>-1</v>
      </c>
      <c r="X60" s="33">
        <v>13</v>
      </c>
      <c r="Y60" s="33" t="s">
        <v>487</v>
      </c>
      <c r="Z60" s="33">
        <v>-1</v>
      </c>
      <c r="AA60" s="33">
        <v>10</v>
      </c>
      <c r="AB60" s="33">
        <v>13</v>
      </c>
      <c r="AC60" s="33">
        <v>15</v>
      </c>
      <c r="AD60" s="33">
        <v>7</v>
      </c>
      <c r="AE60" s="33">
        <v>0</v>
      </c>
      <c r="AF60" s="33">
        <v>-1</v>
      </c>
      <c r="AG60" s="33">
        <v>0</v>
      </c>
      <c r="AH60" s="33">
        <v>0</v>
      </c>
      <c r="AI60" s="33">
        <v>11</v>
      </c>
      <c r="AJ60" s="33">
        <v>0</v>
      </c>
      <c r="AK60" s="33">
        <v>13</v>
      </c>
      <c r="AL60" s="33">
        <v>-2</v>
      </c>
      <c r="AM60" s="33">
        <v>10</v>
      </c>
      <c r="AN60" s="33">
        <v>10</v>
      </c>
      <c r="AO60" s="33">
        <v>-3</v>
      </c>
      <c r="AP60" s="33">
        <v>0</v>
      </c>
      <c r="AQ60" s="33">
        <v>8</v>
      </c>
      <c r="AR60" s="33">
        <v>0</v>
      </c>
      <c r="AS60" s="33">
        <v>6</v>
      </c>
      <c r="AT60" s="33">
        <v>-9</v>
      </c>
      <c r="AU60" s="33">
        <v>-8</v>
      </c>
      <c r="AV60" s="33">
        <v>0</v>
      </c>
      <c r="AW60" s="33">
        <v>3</v>
      </c>
      <c r="AX60" s="33">
        <v>-16</v>
      </c>
      <c r="AY60" s="33">
        <v>-10</v>
      </c>
      <c r="AZ60" s="33">
        <v>-8</v>
      </c>
      <c r="BA60" s="33">
        <v>0</v>
      </c>
      <c r="BB60" s="33">
        <v>-11</v>
      </c>
      <c r="BC60" s="33">
        <v>-7</v>
      </c>
      <c r="BD60" s="33">
        <v>3</v>
      </c>
      <c r="BE60" s="33">
        <v>3</v>
      </c>
      <c r="BF60" s="33">
        <v>0</v>
      </c>
      <c r="BG60" s="33">
        <v>-7</v>
      </c>
      <c r="BH60" s="33">
        <v>-12</v>
      </c>
      <c r="BI60" s="33">
        <v>4</v>
      </c>
      <c r="BJ60" s="33">
        <v>0</v>
      </c>
      <c r="BK60" s="33">
        <v>-3</v>
      </c>
      <c r="BL60" s="33">
        <v>0</v>
      </c>
      <c r="BM60" s="33">
        <v>-5</v>
      </c>
      <c r="BN60" s="33">
        <v>-7</v>
      </c>
      <c r="BO60" s="33">
        <v>-5</v>
      </c>
      <c r="BP60" s="33">
        <v>0</v>
      </c>
      <c r="BQ60" s="33">
        <v>0</v>
      </c>
      <c r="BR60" s="33">
        <v>0</v>
      </c>
      <c r="BS60" s="33">
        <v>-11</v>
      </c>
      <c r="BT60" s="33">
        <v>5</v>
      </c>
      <c r="BU60" s="33">
        <v>-8</v>
      </c>
      <c r="BV60" s="33">
        <v>9</v>
      </c>
      <c r="BW60" s="33">
        <v>0</v>
      </c>
      <c r="BX60" s="33">
        <v>6</v>
      </c>
      <c r="BY60" s="33">
        <v>0</v>
      </c>
      <c r="BZ60" s="33">
        <v>0</v>
      </c>
      <c r="CA60" s="33">
        <v>-6</v>
      </c>
      <c r="CB60" s="33">
        <v>0</v>
      </c>
      <c r="CC60" s="33">
        <v>7</v>
      </c>
      <c r="CD60" s="33">
        <v>6</v>
      </c>
      <c r="CE60" s="33">
        <v>-10</v>
      </c>
    </row>
    <row r="61" spans="1:83" x14ac:dyDescent="0.25">
      <c r="A61" s="51"/>
      <c r="B61" s="38" t="s">
        <v>137</v>
      </c>
      <c r="D61" s="33">
        <f t="shared" si="199"/>
        <v>2</v>
      </c>
      <c r="E61" s="34"/>
      <c r="F61" s="34"/>
      <c r="G61" s="33">
        <v>-3</v>
      </c>
      <c r="H61" s="33">
        <v>-5</v>
      </c>
      <c r="I61" s="33">
        <v>-8</v>
      </c>
      <c r="J61" s="33">
        <v>-5</v>
      </c>
      <c r="K61" s="33">
        <v>-7</v>
      </c>
      <c r="L61" s="33">
        <v>-8</v>
      </c>
      <c r="M61" s="33">
        <v>-8</v>
      </c>
      <c r="N61" s="33">
        <v>-1</v>
      </c>
      <c r="O61" s="33">
        <v>-1</v>
      </c>
      <c r="P61" s="33">
        <v>-8</v>
      </c>
      <c r="Q61" s="33">
        <v>-12</v>
      </c>
      <c r="R61" s="33">
        <v>-11</v>
      </c>
      <c r="S61" s="33">
        <v>-1</v>
      </c>
      <c r="T61" s="33">
        <v>3</v>
      </c>
      <c r="U61" s="33">
        <v>2</v>
      </c>
      <c r="V61" s="33">
        <v>1</v>
      </c>
      <c r="W61" s="33">
        <v>3</v>
      </c>
      <c r="X61" s="33">
        <v>1</v>
      </c>
      <c r="Y61" s="33">
        <v>6</v>
      </c>
      <c r="Z61" s="33">
        <v>9</v>
      </c>
      <c r="AA61" s="33">
        <v>8</v>
      </c>
      <c r="AB61" s="33">
        <v>4</v>
      </c>
      <c r="AC61" s="33">
        <v>5</v>
      </c>
      <c r="AD61" s="33">
        <v>2</v>
      </c>
      <c r="AE61" s="33">
        <v>13</v>
      </c>
      <c r="AF61" s="33">
        <v>6</v>
      </c>
      <c r="AG61" s="33">
        <v>3</v>
      </c>
      <c r="AH61" s="33">
        <v>3</v>
      </c>
      <c r="AI61" s="33">
        <v>1</v>
      </c>
      <c r="AJ61" s="33">
        <v>-2</v>
      </c>
      <c r="AK61" s="33">
        <v>3</v>
      </c>
      <c r="AL61" s="33">
        <v>4</v>
      </c>
      <c r="AM61" s="33">
        <v>11</v>
      </c>
      <c r="AN61" s="33">
        <v>8</v>
      </c>
      <c r="AO61" s="33">
        <v>9</v>
      </c>
      <c r="AP61" s="33">
        <v>2</v>
      </c>
      <c r="AQ61" s="33">
        <v>-4</v>
      </c>
      <c r="AR61" s="33">
        <v>0</v>
      </c>
      <c r="AS61" s="33">
        <v>3</v>
      </c>
      <c r="AT61" s="33">
        <v>4</v>
      </c>
      <c r="AU61" s="33">
        <v>-3</v>
      </c>
      <c r="AV61" s="33">
        <v>-4</v>
      </c>
      <c r="AW61" s="33">
        <v>1</v>
      </c>
      <c r="AX61" s="33">
        <v>-1</v>
      </c>
      <c r="AY61" s="33">
        <v>2</v>
      </c>
      <c r="AZ61" s="33">
        <v>-4</v>
      </c>
      <c r="BA61" s="33">
        <v>1</v>
      </c>
      <c r="BB61" s="33">
        <v>-1</v>
      </c>
      <c r="BC61" s="33">
        <v>2</v>
      </c>
      <c r="BD61" s="33">
        <v>-3</v>
      </c>
      <c r="BE61" s="33">
        <v>1</v>
      </c>
      <c r="BF61" s="33">
        <v>-3</v>
      </c>
      <c r="BG61" s="33">
        <v>1</v>
      </c>
      <c r="BH61" s="33">
        <v>-1</v>
      </c>
      <c r="BI61" s="33">
        <v>-3</v>
      </c>
      <c r="BJ61" s="33">
        <v>2</v>
      </c>
      <c r="BK61" s="33">
        <v>4</v>
      </c>
      <c r="BL61" s="33">
        <v>-1</v>
      </c>
      <c r="BM61" s="33">
        <v>0</v>
      </c>
      <c r="BN61" s="33">
        <v>-5</v>
      </c>
      <c r="BO61" s="33">
        <v>-3</v>
      </c>
      <c r="BP61" s="33">
        <v>-7</v>
      </c>
      <c r="BQ61" s="33">
        <v>-7</v>
      </c>
      <c r="BR61" s="33">
        <v>-5</v>
      </c>
      <c r="BS61" s="33">
        <v>-7</v>
      </c>
      <c r="BT61" s="33">
        <v>-2</v>
      </c>
      <c r="BU61" s="33">
        <v>-4</v>
      </c>
      <c r="BV61" s="33">
        <v>4</v>
      </c>
      <c r="BW61" s="33">
        <v>-1</v>
      </c>
      <c r="BX61" s="33">
        <v>-2</v>
      </c>
      <c r="BY61" s="33">
        <v>-3</v>
      </c>
      <c r="BZ61" s="33">
        <v>0</v>
      </c>
      <c r="CA61" s="33">
        <v>-5</v>
      </c>
      <c r="CB61" s="33">
        <v>0</v>
      </c>
      <c r="CC61" s="33">
        <v>-2</v>
      </c>
      <c r="CD61" s="33">
        <v>-5</v>
      </c>
      <c r="CE61" s="33">
        <v>1</v>
      </c>
    </row>
    <row r="62" spans="1:83" x14ac:dyDescent="0.25">
      <c r="A62" s="51"/>
      <c r="B62" s="32" t="s">
        <v>485</v>
      </c>
      <c r="D62" s="33">
        <f>IF(COUNTIF(P62:U62,"&gt;0")=0,(COUNTIF(P62:U62,"&lt;0")*-1),COUNTIF(P62:U62,"&gt;0"))</f>
        <v>4</v>
      </c>
      <c r="E62" s="41"/>
      <c r="F62" s="41"/>
      <c r="G62" s="33">
        <v>-4</v>
      </c>
      <c r="H62" s="33">
        <v>6</v>
      </c>
      <c r="I62" s="33">
        <v>-9</v>
      </c>
      <c r="J62" s="33">
        <v>-9</v>
      </c>
      <c r="K62" s="33">
        <v>5</v>
      </c>
      <c r="L62" s="33">
        <v>-12</v>
      </c>
      <c r="M62" s="33">
        <v>-12</v>
      </c>
      <c r="N62" s="33">
        <v>10</v>
      </c>
      <c r="O62" s="33">
        <v>16</v>
      </c>
      <c r="P62" s="33">
        <v>9</v>
      </c>
      <c r="Q62" s="33">
        <v>-3</v>
      </c>
      <c r="R62" s="33">
        <v>-2</v>
      </c>
      <c r="S62" s="33">
        <v>9</v>
      </c>
      <c r="T62" s="33">
        <v>13</v>
      </c>
      <c r="U62" s="33">
        <v>13</v>
      </c>
      <c r="V62" s="33">
        <v>12</v>
      </c>
      <c r="W62" s="33">
        <v>15</v>
      </c>
      <c r="X62" s="33">
        <v>12</v>
      </c>
      <c r="Y62" s="33">
        <v>12</v>
      </c>
      <c r="Z62" s="33">
        <v>8</v>
      </c>
      <c r="AA62" s="33">
        <v>12</v>
      </c>
      <c r="AB62" s="33">
        <v>-1</v>
      </c>
      <c r="AC62" s="33">
        <v>4</v>
      </c>
      <c r="AD62" s="33">
        <v>4</v>
      </c>
      <c r="AE62" s="33">
        <v>-1</v>
      </c>
      <c r="AF62" s="33">
        <v>0</v>
      </c>
      <c r="AG62" s="33">
        <v>0</v>
      </c>
      <c r="AH62" s="33">
        <v>-1</v>
      </c>
      <c r="AI62" s="33">
        <v>0</v>
      </c>
      <c r="AJ62" s="33">
        <v>0</v>
      </c>
      <c r="AK62" s="33">
        <v>-2</v>
      </c>
      <c r="AL62" s="33">
        <v>0</v>
      </c>
      <c r="AM62" s="33">
        <v>0</v>
      </c>
      <c r="AN62" s="33">
        <v>0</v>
      </c>
      <c r="AO62" s="33">
        <v>0</v>
      </c>
      <c r="AP62" s="33">
        <v>-1</v>
      </c>
      <c r="AQ62" s="33">
        <v>-7</v>
      </c>
      <c r="AR62" s="33">
        <v>-7</v>
      </c>
      <c r="AS62" s="33">
        <v>-8</v>
      </c>
      <c r="AT62" s="33">
        <v>-10</v>
      </c>
      <c r="AU62" s="33">
        <v>-12</v>
      </c>
      <c r="AV62" s="33">
        <v>-14</v>
      </c>
      <c r="AW62" s="33">
        <v>-11</v>
      </c>
      <c r="AX62" s="33">
        <v>-17</v>
      </c>
      <c r="AY62" s="33">
        <v>-7</v>
      </c>
      <c r="AZ62" s="33">
        <v>0</v>
      </c>
      <c r="BA62" s="33">
        <v>0</v>
      </c>
      <c r="BB62" s="33">
        <v>-12</v>
      </c>
      <c r="BC62" s="33">
        <v>-9</v>
      </c>
      <c r="BD62" s="33">
        <v>-11</v>
      </c>
      <c r="BE62" s="33">
        <v>0</v>
      </c>
      <c r="BF62" s="33">
        <v>0</v>
      </c>
      <c r="BG62" s="33">
        <v>-10</v>
      </c>
      <c r="BH62" s="33">
        <v>-11</v>
      </c>
      <c r="BI62" s="33">
        <v>-11</v>
      </c>
      <c r="BJ62" s="33">
        <v>-10</v>
      </c>
      <c r="BK62" s="33">
        <v>8</v>
      </c>
      <c r="BL62" s="33">
        <v>8</v>
      </c>
      <c r="BM62" s="33">
        <v>0</v>
      </c>
      <c r="BN62" s="33">
        <v>-8</v>
      </c>
      <c r="BO62" s="33">
        <v>0</v>
      </c>
      <c r="BP62" s="33">
        <v>0</v>
      </c>
      <c r="BQ62" s="33">
        <v>2</v>
      </c>
      <c r="BR62" s="33">
        <v>-7</v>
      </c>
      <c r="BS62" s="33">
        <v>0</v>
      </c>
      <c r="BT62" s="33">
        <v>-10</v>
      </c>
      <c r="BU62" s="33">
        <v>-5</v>
      </c>
      <c r="BV62" s="33">
        <v>-2</v>
      </c>
      <c r="BW62" s="33">
        <v>8</v>
      </c>
      <c r="BX62" s="33">
        <v>-7</v>
      </c>
      <c r="BY62" s="33">
        <v>-6</v>
      </c>
      <c r="BZ62" s="33">
        <v>-6</v>
      </c>
      <c r="CA62" s="33">
        <v>0</v>
      </c>
      <c r="CB62" s="33">
        <v>-7</v>
      </c>
      <c r="CC62" s="33">
        <v>-5</v>
      </c>
      <c r="CD62" s="33">
        <v>-9</v>
      </c>
      <c r="CE62" s="33">
        <v>0</v>
      </c>
    </row>
    <row r="63" spans="1:83" s="39" customFormat="1" x14ac:dyDescent="0.25">
      <c r="E63" s="40"/>
      <c r="F63" s="40"/>
      <c r="G63" s="40"/>
      <c r="H63" s="40"/>
      <c r="I63" s="40"/>
      <c r="J63" s="40"/>
      <c r="K63" s="40"/>
      <c r="L63" s="40"/>
      <c r="M63" s="40"/>
      <c r="N63" s="40"/>
      <c r="O63" s="40"/>
      <c r="P63" s="40"/>
      <c r="Q63" s="40"/>
      <c r="R63" s="40"/>
      <c r="S63" s="40"/>
      <c r="T63" s="40"/>
      <c r="U63" s="40"/>
      <c r="V63" s="40"/>
      <c r="W63" s="40"/>
      <c r="X63" s="40"/>
      <c r="Y63" s="40"/>
    </row>
    <row r="64" spans="1:83" x14ac:dyDescent="0.25">
      <c r="A64" s="51" t="s">
        <v>488</v>
      </c>
      <c r="B64" s="38" t="s">
        <v>482</v>
      </c>
      <c r="E64" s="41"/>
      <c r="F64" s="41"/>
      <c r="G64" s="33">
        <v>-5</v>
      </c>
      <c r="H64" s="33">
        <v>-10</v>
      </c>
      <c r="I64" s="33">
        <v>-9</v>
      </c>
      <c r="J64" s="33">
        <v>-11</v>
      </c>
      <c r="K64" s="33">
        <v>-9</v>
      </c>
      <c r="L64" s="33">
        <v>7</v>
      </c>
      <c r="M64" s="33">
        <v>-14</v>
      </c>
      <c r="N64" s="33">
        <v>-7</v>
      </c>
      <c r="O64" s="41"/>
      <c r="P64" s="41"/>
      <c r="Q64" s="41"/>
      <c r="R64" s="41"/>
      <c r="S64" s="41"/>
      <c r="T64" s="41"/>
      <c r="U64" s="41"/>
      <c r="V64" s="41"/>
      <c r="W64" s="41"/>
      <c r="X64" s="41"/>
      <c r="Y64" s="41"/>
    </row>
    <row r="65" spans="1:25" x14ac:dyDescent="0.25">
      <c r="A65" s="51"/>
      <c r="B65" s="32" t="s">
        <v>136</v>
      </c>
      <c r="C65" s="34"/>
      <c r="D65" s="34"/>
      <c r="E65" s="41"/>
      <c r="F65" s="41"/>
      <c r="G65" s="33">
        <v>6</v>
      </c>
      <c r="H65" s="33">
        <v>2</v>
      </c>
      <c r="I65" s="33">
        <v>1</v>
      </c>
      <c r="J65" s="33">
        <v>3</v>
      </c>
      <c r="K65" s="33">
        <v>-2</v>
      </c>
      <c r="L65" s="33">
        <v>1</v>
      </c>
      <c r="M65" s="33">
        <v>-5</v>
      </c>
      <c r="N65" s="33">
        <v>1</v>
      </c>
      <c r="O65" s="41"/>
      <c r="P65" s="41"/>
      <c r="Q65" s="41"/>
      <c r="R65" s="41"/>
      <c r="S65" s="41"/>
      <c r="T65" s="41"/>
      <c r="U65" s="41"/>
      <c r="V65" s="41"/>
      <c r="W65" s="41"/>
      <c r="X65" s="41"/>
      <c r="Y65" s="41"/>
    </row>
    <row r="66" spans="1:25" x14ac:dyDescent="0.25">
      <c r="A66" s="51"/>
      <c r="B66" s="32" t="s">
        <v>134</v>
      </c>
      <c r="C66" s="34"/>
      <c r="D66" s="34"/>
      <c r="E66" s="41"/>
      <c r="F66" s="41"/>
      <c r="G66" s="33">
        <v>4</v>
      </c>
      <c r="H66" s="33">
        <v>1</v>
      </c>
      <c r="I66" s="33">
        <v>0</v>
      </c>
      <c r="J66" s="33">
        <v>2</v>
      </c>
      <c r="K66" s="33">
        <v>0</v>
      </c>
      <c r="L66" s="33">
        <v>-2</v>
      </c>
      <c r="M66" s="33">
        <v>-1</v>
      </c>
      <c r="N66" s="33">
        <v>3</v>
      </c>
      <c r="O66" s="41"/>
      <c r="P66" s="41"/>
      <c r="Q66" s="41"/>
      <c r="R66" s="41"/>
      <c r="S66" s="41"/>
      <c r="T66" s="41"/>
      <c r="U66" s="41"/>
      <c r="V66" s="41"/>
      <c r="W66" s="41"/>
      <c r="X66" s="41"/>
      <c r="Y66" s="41"/>
    </row>
    <row r="67" spans="1:25" x14ac:dyDescent="0.25">
      <c r="A67" s="51"/>
      <c r="B67" s="38" t="s">
        <v>152</v>
      </c>
      <c r="C67" s="34"/>
      <c r="D67" s="34"/>
      <c r="E67" s="41"/>
      <c r="F67" s="41"/>
      <c r="G67" s="33">
        <v>5</v>
      </c>
      <c r="H67" s="33">
        <v>-8</v>
      </c>
      <c r="I67" s="33">
        <v>-4</v>
      </c>
      <c r="J67" s="33">
        <v>-2</v>
      </c>
      <c r="K67" s="33">
        <v>2</v>
      </c>
      <c r="L67" s="33">
        <v>3</v>
      </c>
      <c r="M67" s="33">
        <v>-3</v>
      </c>
      <c r="N67" s="33">
        <v>-5</v>
      </c>
      <c r="O67" s="41"/>
      <c r="P67" s="41"/>
      <c r="Q67" s="41"/>
      <c r="R67" s="41"/>
      <c r="S67" s="41"/>
      <c r="T67" s="41"/>
      <c r="U67" s="41"/>
      <c r="V67" s="41"/>
      <c r="W67" s="41"/>
      <c r="X67" s="41"/>
      <c r="Y67" s="41"/>
    </row>
    <row r="68" spans="1:25" x14ac:dyDescent="0.25">
      <c r="A68" s="51"/>
      <c r="B68" s="32" t="s">
        <v>144</v>
      </c>
      <c r="C68" s="34"/>
      <c r="D68" s="34"/>
      <c r="E68" s="41"/>
      <c r="F68" s="41"/>
      <c r="G68" s="33">
        <v>-2</v>
      </c>
      <c r="H68" s="33">
        <v>-4</v>
      </c>
      <c r="I68" s="33">
        <v>-2</v>
      </c>
      <c r="J68" s="33">
        <v>-1</v>
      </c>
      <c r="K68" s="33">
        <v>1</v>
      </c>
      <c r="L68" s="33">
        <v>-4</v>
      </c>
      <c r="M68" s="33">
        <v>-7</v>
      </c>
      <c r="N68" s="33">
        <v>2</v>
      </c>
      <c r="O68" s="41"/>
      <c r="P68" s="41"/>
      <c r="Q68" s="41"/>
      <c r="R68" s="41"/>
      <c r="S68" s="41"/>
      <c r="T68" s="41"/>
      <c r="U68" s="41"/>
      <c r="V68" s="41"/>
      <c r="W68" s="41"/>
      <c r="X68" s="41"/>
      <c r="Y68" s="41"/>
    </row>
    <row r="69" spans="1:25" x14ac:dyDescent="0.25">
      <c r="A69" s="51"/>
      <c r="B69" s="32" t="s">
        <v>140</v>
      </c>
      <c r="C69" s="34"/>
      <c r="D69" s="34"/>
      <c r="E69" s="41"/>
      <c r="F69" s="41"/>
      <c r="G69" s="33">
        <v>7</v>
      </c>
      <c r="H69" s="33">
        <v>5</v>
      </c>
      <c r="I69" s="33">
        <v>3</v>
      </c>
      <c r="J69" s="33">
        <v>0</v>
      </c>
      <c r="K69" s="33">
        <v>3</v>
      </c>
      <c r="L69" s="33">
        <v>5</v>
      </c>
      <c r="M69" s="33">
        <v>2</v>
      </c>
      <c r="N69" s="33">
        <v>5</v>
      </c>
      <c r="O69" s="41"/>
      <c r="P69" s="41"/>
      <c r="Q69" s="41"/>
      <c r="R69" s="41"/>
      <c r="S69" s="41"/>
      <c r="T69" s="41"/>
      <c r="U69" s="41"/>
      <c r="V69" s="41"/>
      <c r="W69" s="41"/>
      <c r="X69" s="41"/>
      <c r="Y69" s="41"/>
    </row>
    <row r="70" spans="1:25" x14ac:dyDescent="0.25">
      <c r="A70" s="51"/>
      <c r="B70" s="32" t="s">
        <v>146</v>
      </c>
      <c r="C70" s="34"/>
      <c r="D70" s="34"/>
      <c r="E70" s="34"/>
      <c r="F70" s="34"/>
      <c r="G70" s="33">
        <v>12</v>
      </c>
      <c r="H70" s="33">
        <v>6</v>
      </c>
      <c r="I70" s="33">
        <v>0</v>
      </c>
      <c r="J70" s="33">
        <v>0</v>
      </c>
      <c r="K70" s="33">
        <v>5</v>
      </c>
      <c r="L70" s="33">
        <v>-6</v>
      </c>
      <c r="M70" s="33">
        <v>-4</v>
      </c>
      <c r="N70" s="33">
        <v>7</v>
      </c>
      <c r="O70" s="34"/>
      <c r="P70" s="34"/>
      <c r="Q70" s="34"/>
      <c r="R70" s="34"/>
      <c r="S70" s="34"/>
      <c r="T70" s="34"/>
      <c r="U70" s="34"/>
      <c r="V70" s="34"/>
      <c r="W70" s="34"/>
      <c r="X70" s="34"/>
      <c r="Y70" s="34"/>
    </row>
    <row r="71" spans="1:25" x14ac:dyDescent="0.25">
      <c r="A71" s="51"/>
      <c r="B71" s="38" t="s">
        <v>142</v>
      </c>
      <c r="C71" s="34"/>
      <c r="D71" s="34"/>
      <c r="E71" s="34"/>
      <c r="F71" s="34"/>
      <c r="G71" s="33">
        <v>1</v>
      </c>
      <c r="H71" s="33">
        <v>-2</v>
      </c>
      <c r="I71" s="33">
        <v>-1</v>
      </c>
      <c r="J71" s="33">
        <v>-4</v>
      </c>
      <c r="K71" s="33">
        <v>-5</v>
      </c>
      <c r="L71" s="33">
        <v>-1</v>
      </c>
      <c r="M71" s="33">
        <v>1</v>
      </c>
      <c r="N71" s="33">
        <v>-1</v>
      </c>
      <c r="O71" s="34"/>
      <c r="P71" s="34"/>
      <c r="Q71" s="34"/>
      <c r="R71" s="34"/>
      <c r="S71" s="34"/>
      <c r="T71" s="34"/>
      <c r="U71" s="34"/>
      <c r="V71" s="34"/>
      <c r="W71" s="34"/>
      <c r="X71" s="34"/>
      <c r="Y71" s="34"/>
    </row>
    <row r="72" spans="1:25" x14ac:dyDescent="0.25">
      <c r="A72" s="51"/>
      <c r="B72" s="38" t="s">
        <v>150</v>
      </c>
      <c r="C72" s="34"/>
      <c r="D72" s="34"/>
      <c r="E72" s="34"/>
      <c r="F72" s="34"/>
      <c r="G72" s="33">
        <v>2</v>
      </c>
      <c r="H72" s="33">
        <v>-3</v>
      </c>
      <c r="I72" s="33">
        <v>0</v>
      </c>
      <c r="J72" s="33">
        <v>1</v>
      </c>
      <c r="K72" s="33">
        <v>-1</v>
      </c>
      <c r="L72" s="33">
        <v>2</v>
      </c>
      <c r="M72" s="33">
        <v>3</v>
      </c>
      <c r="N72" s="33">
        <v>-3</v>
      </c>
      <c r="O72" s="34"/>
      <c r="P72" s="34"/>
      <c r="Q72" s="34"/>
      <c r="R72" s="34"/>
      <c r="S72" s="34"/>
      <c r="T72" s="34"/>
      <c r="U72" s="34"/>
      <c r="V72" s="34"/>
      <c r="W72" s="34"/>
      <c r="X72" s="34"/>
      <c r="Y72" s="34"/>
    </row>
    <row r="73" spans="1:25" x14ac:dyDescent="0.25">
      <c r="A73" s="51"/>
      <c r="B73" s="38" t="s">
        <v>202</v>
      </c>
      <c r="C73" s="34"/>
      <c r="D73" s="34"/>
      <c r="E73" s="34"/>
      <c r="F73" s="34"/>
      <c r="G73" s="33">
        <v>8</v>
      </c>
      <c r="H73" s="33">
        <v>-7</v>
      </c>
      <c r="I73" s="33">
        <v>2</v>
      </c>
      <c r="J73" s="33">
        <v>-7</v>
      </c>
      <c r="K73" s="33">
        <v>-7</v>
      </c>
      <c r="L73" s="33">
        <v>-11</v>
      </c>
      <c r="M73" s="33">
        <v>-12</v>
      </c>
      <c r="N73" s="33">
        <v>0</v>
      </c>
      <c r="O73" s="34"/>
      <c r="P73" s="34"/>
      <c r="Q73" s="34"/>
      <c r="R73" s="34"/>
      <c r="S73" s="34"/>
      <c r="T73" s="34"/>
      <c r="U73" s="34"/>
      <c r="V73" s="34"/>
      <c r="W73" s="34"/>
      <c r="X73" s="34"/>
      <c r="Y73" s="34"/>
    </row>
    <row r="74" spans="1:25" x14ac:dyDescent="0.25">
      <c r="A74" s="51"/>
      <c r="B74" s="32" t="s">
        <v>203</v>
      </c>
      <c r="C74" s="34"/>
      <c r="D74" s="34"/>
      <c r="E74" s="34"/>
      <c r="F74" s="34"/>
      <c r="G74" s="33">
        <v>3</v>
      </c>
      <c r="H74" s="33">
        <v>-9</v>
      </c>
      <c r="I74" s="33">
        <v>-8</v>
      </c>
      <c r="J74" s="33">
        <v>-5</v>
      </c>
      <c r="K74" s="33">
        <v>4</v>
      </c>
      <c r="L74" s="33">
        <v>6</v>
      </c>
      <c r="M74" s="33">
        <v>-8</v>
      </c>
      <c r="N74" s="33">
        <v>0</v>
      </c>
      <c r="O74" s="34"/>
      <c r="P74" s="34"/>
      <c r="Q74" s="34"/>
      <c r="R74" s="34"/>
      <c r="S74" s="34"/>
      <c r="T74" s="34"/>
      <c r="U74" s="34"/>
      <c r="V74" s="34"/>
      <c r="W74" s="34"/>
      <c r="X74" s="34"/>
      <c r="Y74" s="34"/>
    </row>
    <row r="75" spans="1:25" x14ac:dyDescent="0.25">
      <c r="A75" s="51"/>
      <c r="B75" s="32" t="s">
        <v>201</v>
      </c>
      <c r="C75" s="34"/>
      <c r="D75" s="34"/>
      <c r="E75" s="34"/>
      <c r="F75" s="34"/>
      <c r="G75" s="33">
        <v>9</v>
      </c>
      <c r="H75" s="33">
        <v>-5</v>
      </c>
      <c r="I75" s="33">
        <v>-7</v>
      </c>
      <c r="J75" s="33">
        <v>-8</v>
      </c>
      <c r="K75" s="33">
        <v>-8</v>
      </c>
      <c r="L75" s="33">
        <v>4</v>
      </c>
      <c r="M75" s="33">
        <v>-6</v>
      </c>
      <c r="N75" s="33">
        <v>4</v>
      </c>
      <c r="O75" s="34"/>
      <c r="P75" s="34"/>
      <c r="Q75" s="34"/>
      <c r="R75" s="34"/>
      <c r="S75" s="34"/>
      <c r="T75" s="34"/>
      <c r="U75" s="34"/>
      <c r="V75" s="34"/>
      <c r="W75" s="34"/>
      <c r="X75" s="34"/>
      <c r="Y75" s="34"/>
    </row>
    <row r="76" spans="1:25" x14ac:dyDescent="0.25">
      <c r="A76" s="51"/>
      <c r="B76" s="32" t="s">
        <v>148</v>
      </c>
      <c r="E76" s="34"/>
      <c r="F76" s="34"/>
      <c r="G76" s="33">
        <v>-1</v>
      </c>
      <c r="H76" s="33">
        <v>-1</v>
      </c>
      <c r="I76" s="33">
        <v>-3</v>
      </c>
      <c r="J76" s="33">
        <v>-3</v>
      </c>
      <c r="K76" s="33">
        <v>-4</v>
      </c>
      <c r="L76" s="33">
        <v>-5</v>
      </c>
      <c r="M76" s="33">
        <v>0</v>
      </c>
      <c r="N76" s="33">
        <v>-2</v>
      </c>
      <c r="O76" s="34"/>
      <c r="P76" s="34"/>
      <c r="Q76" s="34"/>
      <c r="R76" s="34"/>
      <c r="S76" s="34"/>
      <c r="T76" s="34"/>
      <c r="U76" s="34"/>
      <c r="V76" s="34"/>
      <c r="W76" s="34"/>
      <c r="X76" s="34"/>
      <c r="Y76" s="34"/>
    </row>
    <row r="77" spans="1:25" x14ac:dyDescent="0.25">
      <c r="A77" s="51"/>
      <c r="B77" s="32" t="s">
        <v>163</v>
      </c>
      <c r="E77" s="34"/>
      <c r="F77" s="34"/>
      <c r="G77" s="33">
        <v>-3</v>
      </c>
      <c r="H77" s="33">
        <v>3</v>
      </c>
      <c r="I77" s="33">
        <v>-5</v>
      </c>
      <c r="J77" s="33">
        <v>-6</v>
      </c>
      <c r="K77" s="33">
        <v>-10</v>
      </c>
      <c r="L77" s="33">
        <v>-8</v>
      </c>
      <c r="M77" s="33">
        <v>-2</v>
      </c>
      <c r="N77" s="33">
        <v>0</v>
      </c>
      <c r="O77" s="34"/>
      <c r="P77" s="34"/>
      <c r="Q77" s="34"/>
      <c r="R77" s="34"/>
      <c r="S77" s="34"/>
      <c r="T77" s="34"/>
      <c r="U77" s="34"/>
      <c r="V77" s="34"/>
      <c r="W77" s="34"/>
      <c r="X77" s="34"/>
      <c r="Y77" s="34"/>
    </row>
    <row r="78" spans="1:25" x14ac:dyDescent="0.25">
      <c r="A78" s="51"/>
      <c r="B78" s="32" t="s">
        <v>483</v>
      </c>
      <c r="E78" s="34"/>
      <c r="F78" s="34"/>
      <c r="G78" s="33">
        <v>10</v>
      </c>
      <c r="H78" s="33">
        <v>7</v>
      </c>
      <c r="I78" s="33">
        <v>0</v>
      </c>
      <c r="J78" s="33">
        <v>0</v>
      </c>
      <c r="K78" s="33">
        <v>6</v>
      </c>
      <c r="L78" s="33">
        <v>-9</v>
      </c>
      <c r="M78" s="33">
        <v>-11</v>
      </c>
      <c r="N78" s="33">
        <v>-6</v>
      </c>
      <c r="O78" s="34"/>
      <c r="P78" s="34"/>
      <c r="Q78" s="34"/>
      <c r="R78" s="34"/>
      <c r="S78" s="34"/>
      <c r="T78" s="34"/>
      <c r="U78" s="34"/>
      <c r="V78" s="34"/>
      <c r="W78" s="34"/>
      <c r="X78" s="34"/>
      <c r="Y78" s="34"/>
    </row>
    <row r="79" spans="1:25" x14ac:dyDescent="0.25">
      <c r="A79" s="51"/>
      <c r="B79" s="38" t="s">
        <v>484</v>
      </c>
      <c r="E79" s="34"/>
      <c r="F79" s="34"/>
      <c r="G79" s="33">
        <v>11</v>
      </c>
      <c r="H79" s="33">
        <v>4</v>
      </c>
      <c r="I79" s="33">
        <v>4</v>
      </c>
      <c r="J79" s="33">
        <v>-9</v>
      </c>
      <c r="K79" s="33">
        <v>-11</v>
      </c>
      <c r="L79" s="33">
        <v>-10</v>
      </c>
      <c r="M79" s="33">
        <v>-9</v>
      </c>
      <c r="N79" s="33">
        <v>0</v>
      </c>
      <c r="O79" s="34"/>
      <c r="P79" s="34"/>
      <c r="Q79" s="34"/>
      <c r="R79" s="34"/>
      <c r="S79" s="34"/>
      <c r="T79" s="34"/>
      <c r="U79" s="34"/>
      <c r="V79" s="34"/>
      <c r="W79" s="34"/>
      <c r="X79" s="34"/>
      <c r="Y79" s="34"/>
    </row>
    <row r="80" spans="1:25" x14ac:dyDescent="0.25">
      <c r="A80" s="51"/>
      <c r="B80" s="38" t="s">
        <v>137</v>
      </c>
      <c r="E80" s="41"/>
      <c r="F80" s="41"/>
      <c r="G80" s="33">
        <v>-4</v>
      </c>
      <c r="H80" s="33">
        <v>-6</v>
      </c>
      <c r="I80" s="33">
        <v>-6</v>
      </c>
      <c r="J80" s="33">
        <v>0</v>
      </c>
      <c r="K80" s="33">
        <v>-3</v>
      </c>
      <c r="L80" s="33">
        <v>-3</v>
      </c>
      <c r="M80" s="33">
        <v>-10</v>
      </c>
      <c r="N80" s="33">
        <v>-4</v>
      </c>
      <c r="O80" s="41"/>
      <c r="P80" s="41"/>
      <c r="Q80" s="41"/>
      <c r="R80" s="41"/>
      <c r="S80" s="41"/>
      <c r="T80" s="41"/>
      <c r="U80" s="41"/>
      <c r="V80" s="41"/>
      <c r="W80" s="41"/>
      <c r="X80" s="41"/>
      <c r="Y80" s="41"/>
    </row>
    <row r="81" spans="1:25" x14ac:dyDescent="0.25">
      <c r="A81" s="51"/>
      <c r="B81" s="32" t="s">
        <v>485</v>
      </c>
      <c r="E81" s="41"/>
      <c r="F81" s="41"/>
      <c r="G81" s="33">
        <v>13</v>
      </c>
      <c r="H81" s="33">
        <v>8</v>
      </c>
      <c r="I81" s="33">
        <v>0</v>
      </c>
      <c r="J81" s="33">
        <v>-10</v>
      </c>
      <c r="K81" s="33">
        <v>-6</v>
      </c>
      <c r="L81" s="33">
        <v>-7</v>
      </c>
      <c r="M81" s="33">
        <v>-13</v>
      </c>
      <c r="N81" s="33">
        <v>6</v>
      </c>
      <c r="O81" s="41"/>
      <c r="P81" s="41"/>
      <c r="Q81" s="41"/>
      <c r="R81" s="41"/>
      <c r="S81" s="41"/>
      <c r="T81" s="41"/>
      <c r="U81" s="41"/>
      <c r="V81" s="41"/>
      <c r="W81" s="41"/>
      <c r="X81" s="41"/>
      <c r="Y81" s="41"/>
    </row>
    <row r="82" spans="1:25" s="39" customFormat="1" x14ac:dyDescent="0.25">
      <c r="E82" s="40"/>
      <c r="F82" s="40"/>
      <c r="G82" s="40"/>
      <c r="H82" s="40"/>
      <c r="I82" s="40"/>
      <c r="J82" s="40"/>
      <c r="K82" s="40"/>
      <c r="L82" s="40"/>
      <c r="M82" s="40"/>
      <c r="N82" s="40"/>
      <c r="O82" s="40"/>
      <c r="P82" s="40"/>
      <c r="Q82" s="40"/>
      <c r="R82" s="40"/>
      <c r="S82" s="40"/>
      <c r="T82" s="40"/>
      <c r="U82" s="40"/>
      <c r="V82" s="40"/>
      <c r="W82" s="40"/>
      <c r="X82" s="40"/>
      <c r="Y82" s="40"/>
    </row>
    <row r="83" spans="1:25" x14ac:dyDescent="0.25">
      <c r="A83" s="51" t="s">
        <v>475</v>
      </c>
      <c r="B83" s="38" t="s">
        <v>482</v>
      </c>
      <c r="E83" s="41"/>
      <c r="F83" s="41"/>
      <c r="G83" s="33"/>
      <c r="H83" s="33">
        <v>-6</v>
      </c>
      <c r="I83" s="33">
        <v>-7</v>
      </c>
      <c r="J83" s="33">
        <v>-10</v>
      </c>
      <c r="K83" s="33">
        <v>-9</v>
      </c>
      <c r="L83" s="33">
        <v>0</v>
      </c>
      <c r="M83" s="33">
        <v>-11</v>
      </c>
      <c r="N83" s="33">
        <v>0</v>
      </c>
      <c r="O83" s="41"/>
      <c r="P83" s="41"/>
      <c r="Q83" s="41"/>
      <c r="R83" s="41"/>
      <c r="S83" s="41"/>
      <c r="T83" s="41"/>
      <c r="U83" s="41"/>
      <c r="V83" s="41"/>
      <c r="W83" s="41"/>
      <c r="X83" s="41"/>
      <c r="Y83" s="41"/>
    </row>
    <row r="84" spans="1:25" x14ac:dyDescent="0.25">
      <c r="A84" s="51"/>
      <c r="B84" s="32" t="s">
        <v>136</v>
      </c>
      <c r="C84" s="34"/>
      <c r="D84" s="34"/>
      <c r="E84" s="41"/>
      <c r="F84" s="41"/>
      <c r="G84" s="33">
        <v>2</v>
      </c>
      <c r="H84" s="33">
        <v>1</v>
      </c>
      <c r="I84" s="33">
        <v>0</v>
      </c>
      <c r="J84" s="33">
        <v>1</v>
      </c>
      <c r="K84" s="33">
        <v>-5</v>
      </c>
      <c r="L84" s="33">
        <v>1</v>
      </c>
      <c r="M84" s="33">
        <v>-2</v>
      </c>
      <c r="N84" s="33">
        <v>-1</v>
      </c>
      <c r="O84" s="41"/>
      <c r="P84" s="41"/>
      <c r="Q84" s="41"/>
      <c r="R84" s="41"/>
      <c r="S84" s="41"/>
      <c r="T84" s="41"/>
      <c r="U84" s="41"/>
      <c r="V84" s="41"/>
      <c r="W84" s="41"/>
      <c r="X84" s="41"/>
      <c r="Y84" s="41"/>
    </row>
    <row r="85" spans="1:25" x14ac:dyDescent="0.25">
      <c r="A85" s="51"/>
      <c r="B85" s="32" t="s">
        <v>134</v>
      </c>
      <c r="C85" s="34"/>
      <c r="D85" s="34"/>
      <c r="E85" s="41"/>
      <c r="F85" s="41"/>
      <c r="G85" s="33">
        <v>6</v>
      </c>
      <c r="H85" s="33">
        <v>0</v>
      </c>
      <c r="I85" s="33">
        <v>-2</v>
      </c>
      <c r="J85" s="33">
        <v>-2</v>
      </c>
      <c r="K85" s="33">
        <v>-3</v>
      </c>
      <c r="L85" s="33">
        <v>4</v>
      </c>
      <c r="M85" s="33">
        <v>1</v>
      </c>
      <c r="N85" s="33">
        <v>1</v>
      </c>
      <c r="O85" s="41"/>
      <c r="P85" s="41"/>
      <c r="Q85" s="41"/>
      <c r="R85" s="41"/>
      <c r="S85" s="41"/>
      <c r="T85" s="41"/>
      <c r="U85" s="41"/>
      <c r="V85" s="41"/>
      <c r="W85" s="41"/>
      <c r="X85" s="41"/>
      <c r="Y85" s="41"/>
    </row>
    <row r="86" spans="1:25" x14ac:dyDescent="0.25">
      <c r="A86" s="51"/>
      <c r="B86" s="38" t="s">
        <v>152</v>
      </c>
      <c r="C86" s="34"/>
      <c r="D86" s="34"/>
      <c r="E86" s="41"/>
      <c r="F86" s="41"/>
      <c r="G86" s="33">
        <v>7</v>
      </c>
      <c r="H86" s="33">
        <v>4</v>
      </c>
      <c r="I86" s="33">
        <v>-4</v>
      </c>
      <c r="J86" s="33">
        <v>-5</v>
      </c>
      <c r="K86" s="33">
        <v>-2</v>
      </c>
      <c r="L86" s="33">
        <v>-4</v>
      </c>
      <c r="M86" s="33">
        <v>-4</v>
      </c>
      <c r="N86" s="33">
        <v>-6</v>
      </c>
      <c r="O86" s="41"/>
      <c r="P86" s="41"/>
      <c r="Q86" s="41"/>
      <c r="R86" s="41"/>
      <c r="S86" s="41"/>
      <c r="T86" s="41"/>
      <c r="U86" s="41"/>
      <c r="V86" s="41"/>
      <c r="W86" s="41"/>
      <c r="X86" s="41"/>
      <c r="Y86" s="41"/>
    </row>
    <row r="87" spans="1:25" x14ac:dyDescent="0.25">
      <c r="A87" s="51"/>
      <c r="B87" s="32" t="s">
        <v>144</v>
      </c>
      <c r="C87" s="34"/>
      <c r="D87" s="34"/>
      <c r="E87" s="41"/>
      <c r="F87" s="41"/>
      <c r="G87" s="33">
        <v>-1</v>
      </c>
      <c r="H87" s="33">
        <v>-3</v>
      </c>
      <c r="I87" s="33">
        <v>-3</v>
      </c>
      <c r="J87" s="33">
        <v>-6</v>
      </c>
      <c r="K87" s="33">
        <v>-1</v>
      </c>
      <c r="L87" s="33">
        <v>-2</v>
      </c>
      <c r="M87" s="33">
        <v>-7</v>
      </c>
      <c r="N87" s="33">
        <v>-4</v>
      </c>
      <c r="O87" s="41"/>
      <c r="P87" s="41"/>
      <c r="Q87" s="41"/>
      <c r="R87" s="41"/>
      <c r="S87" s="41"/>
      <c r="T87" s="41"/>
      <c r="U87" s="41"/>
      <c r="V87" s="41"/>
      <c r="W87" s="41"/>
      <c r="X87" s="41"/>
      <c r="Y87" s="41"/>
    </row>
    <row r="88" spans="1:25" x14ac:dyDescent="0.25">
      <c r="A88" s="51"/>
      <c r="B88" s="32" t="s">
        <v>140</v>
      </c>
      <c r="C88" s="34"/>
      <c r="D88" s="34"/>
      <c r="E88" s="34"/>
      <c r="F88" s="34"/>
      <c r="G88" s="33">
        <v>3</v>
      </c>
      <c r="H88" s="33">
        <v>7</v>
      </c>
      <c r="I88" s="33">
        <v>0</v>
      </c>
      <c r="J88" s="33">
        <v>2</v>
      </c>
      <c r="K88" s="33">
        <v>1</v>
      </c>
      <c r="L88" s="33">
        <v>2</v>
      </c>
      <c r="M88" s="33">
        <v>0</v>
      </c>
      <c r="N88" s="33">
        <v>0</v>
      </c>
      <c r="O88" s="34"/>
      <c r="P88" s="34"/>
      <c r="Q88" s="34"/>
      <c r="R88" s="34"/>
      <c r="S88" s="34"/>
      <c r="T88" s="34"/>
      <c r="U88" s="34"/>
      <c r="V88" s="34"/>
      <c r="W88" s="34"/>
      <c r="X88" s="34"/>
      <c r="Y88" s="34"/>
    </row>
    <row r="89" spans="1:25" x14ac:dyDescent="0.25">
      <c r="A89" s="51"/>
      <c r="B89" s="32" t="s">
        <v>146</v>
      </c>
      <c r="C89" s="34"/>
      <c r="D89" s="34"/>
      <c r="E89" s="34"/>
      <c r="F89" s="34"/>
      <c r="G89" s="33">
        <v>12</v>
      </c>
      <c r="H89" s="33">
        <v>9</v>
      </c>
      <c r="I89" s="33">
        <v>6</v>
      </c>
      <c r="J89" s="33">
        <v>0</v>
      </c>
      <c r="K89" s="33">
        <v>3</v>
      </c>
      <c r="L89" s="33">
        <v>0</v>
      </c>
      <c r="M89" s="33">
        <v>0</v>
      </c>
      <c r="N89" s="33">
        <v>3</v>
      </c>
      <c r="O89" s="34"/>
      <c r="P89" s="34"/>
      <c r="Q89" s="34"/>
      <c r="R89" s="34"/>
      <c r="S89" s="34"/>
      <c r="T89" s="34"/>
      <c r="U89" s="34"/>
      <c r="V89" s="34"/>
      <c r="W89" s="34"/>
      <c r="X89" s="34"/>
      <c r="Y89" s="34"/>
    </row>
    <row r="90" spans="1:25" x14ac:dyDescent="0.25">
      <c r="A90" s="51"/>
      <c r="B90" s="38" t="s">
        <v>142</v>
      </c>
      <c r="C90" s="34"/>
      <c r="D90" s="34"/>
      <c r="E90" s="34"/>
      <c r="F90" s="34"/>
      <c r="G90" s="33">
        <v>4</v>
      </c>
      <c r="H90" s="33">
        <v>2</v>
      </c>
      <c r="I90" s="33">
        <v>-1</v>
      </c>
      <c r="J90" s="33">
        <v>-1</v>
      </c>
      <c r="K90" s="33">
        <v>-6</v>
      </c>
      <c r="L90" s="33">
        <v>-1</v>
      </c>
      <c r="M90" s="33">
        <v>-1</v>
      </c>
      <c r="N90" s="33">
        <v>-5</v>
      </c>
      <c r="O90" s="34"/>
      <c r="P90" s="34"/>
      <c r="Q90" s="34"/>
      <c r="R90" s="34"/>
      <c r="S90" s="34"/>
      <c r="T90" s="34"/>
      <c r="U90" s="34"/>
      <c r="V90" s="34"/>
      <c r="W90" s="34"/>
      <c r="X90" s="34"/>
      <c r="Y90" s="34"/>
    </row>
    <row r="91" spans="1:25" x14ac:dyDescent="0.25">
      <c r="A91" s="51"/>
      <c r="B91" s="38" t="s">
        <v>150</v>
      </c>
      <c r="C91" s="34"/>
      <c r="D91" s="34"/>
      <c r="E91" s="34"/>
      <c r="F91" s="34"/>
      <c r="G91" s="33">
        <v>5</v>
      </c>
      <c r="H91" s="33">
        <v>-1</v>
      </c>
      <c r="I91" s="33">
        <v>4</v>
      </c>
      <c r="J91" s="33">
        <v>4</v>
      </c>
      <c r="K91" s="33">
        <v>0</v>
      </c>
      <c r="L91" s="33">
        <v>0</v>
      </c>
      <c r="M91" s="33">
        <v>0</v>
      </c>
      <c r="N91" s="33">
        <v>-2</v>
      </c>
      <c r="O91" s="34"/>
      <c r="P91" s="34"/>
      <c r="Q91" s="34"/>
      <c r="R91" s="34"/>
      <c r="S91" s="34"/>
      <c r="T91" s="34"/>
      <c r="U91" s="34"/>
      <c r="V91" s="34"/>
      <c r="W91" s="34"/>
      <c r="X91" s="34"/>
      <c r="Y91" s="34"/>
    </row>
    <row r="92" spans="1:25" x14ac:dyDescent="0.25">
      <c r="A92" s="51"/>
      <c r="B92" s="38" t="s">
        <v>202</v>
      </c>
      <c r="C92" s="34"/>
      <c r="D92" s="34"/>
      <c r="E92" s="34"/>
      <c r="F92" s="34"/>
      <c r="G92" s="33">
        <v>0</v>
      </c>
      <c r="H92" s="33">
        <v>-5</v>
      </c>
      <c r="I92" s="33">
        <v>2</v>
      </c>
      <c r="J92" s="33">
        <v>0</v>
      </c>
      <c r="K92" s="33">
        <v>2</v>
      </c>
      <c r="L92" s="33">
        <v>-3</v>
      </c>
      <c r="M92" s="33">
        <v>-3</v>
      </c>
      <c r="N92" s="33">
        <v>0</v>
      </c>
      <c r="O92" s="34"/>
      <c r="P92" s="34"/>
      <c r="Q92" s="34"/>
      <c r="R92" s="34"/>
      <c r="S92" s="34"/>
      <c r="T92" s="34"/>
      <c r="U92" s="34"/>
      <c r="V92" s="34"/>
      <c r="W92" s="34"/>
      <c r="X92" s="34"/>
      <c r="Y92" s="34"/>
    </row>
    <row r="93" spans="1:25" x14ac:dyDescent="0.25">
      <c r="A93" s="51"/>
      <c r="B93" s="32" t="s">
        <v>203</v>
      </c>
      <c r="C93" s="34"/>
      <c r="D93" s="34"/>
      <c r="E93" s="34"/>
      <c r="F93" s="34"/>
      <c r="G93" s="33">
        <v>10</v>
      </c>
      <c r="H93" s="33">
        <v>3</v>
      </c>
      <c r="I93" s="33">
        <v>1</v>
      </c>
      <c r="J93" s="33">
        <v>-8</v>
      </c>
      <c r="K93" s="33">
        <v>-4</v>
      </c>
      <c r="L93" s="33">
        <v>5</v>
      </c>
      <c r="M93" s="33">
        <v>0</v>
      </c>
      <c r="N93" s="33">
        <v>2</v>
      </c>
      <c r="O93" s="34"/>
      <c r="P93" s="34"/>
      <c r="Q93" s="34"/>
      <c r="R93" s="34"/>
      <c r="S93" s="34"/>
      <c r="T93" s="34"/>
      <c r="U93" s="34"/>
      <c r="V93" s="34"/>
      <c r="W93" s="34"/>
      <c r="X93" s="34"/>
      <c r="Y93" s="34"/>
    </row>
    <row r="94" spans="1:25" x14ac:dyDescent="0.25">
      <c r="A94" s="51"/>
      <c r="B94" s="32" t="s">
        <v>201</v>
      </c>
      <c r="C94" s="34"/>
      <c r="D94" s="34"/>
      <c r="E94" s="34"/>
      <c r="F94" s="34"/>
      <c r="G94" s="33">
        <v>9</v>
      </c>
      <c r="H94" s="33">
        <v>5</v>
      </c>
      <c r="I94" s="33">
        <v>3</v>
      </c>
      <c r="J94" s="33">
        <v>0</v>
      </c>
      <c r="K94" s="33">
        <v>0</v>
      </c>
      <c r="L94" s="33">
        <v>-7</v>
      </c>
      <c r="M94" s="33">
        <v>-8</v>
      </c>
      <c r="N94" s="33">
        <v>-10</v>
      </c>
      <c r="O94" s="34"/>
      <c r="P94" s="34"/>
      <c r="Q94" s="34"/>
      <c r="R94" s="34"/>
      <c r="S94" s="34"/>
      <c r="T94" s="34"/>
      <c r="U94" s="34"/>
      <c r="V94" s="34"/>
      <c r="W94" s="34"/>
      <c r="X94" s="34"/>
      <c r="Y94" s="34"/>
    </row>
    <row r="95" spans="1:25" x14ac:dyDescent="0.25">
      <c r="A95" s="51"/>
      <c r="B95" s="32" t="s">
        <v>148</v>
      </c>
      <c r="E95" s="34"/>
      <c r="F95" s="34"/>
      <c r="G95" s="33">
        <v>-2</v>
      </c>
      <c r="H95" s="33">
        <v>6</v>
      </c>
      <c r="I95" s="33">
        <v>0</v>
      </c>
      <c r="J95" s="33">
        <v>-3</v>
      </c>
      <c r="K95" s="33">
        <v>0</v>
      </c>
      <c r="L95" s="33">
        <v>3</v>
      </c>
      <c r="M95" s="33">
        <v>2</v>
      </c>
      <c r="N95" s="33">
        <v>-3</v>
      </c>
      <c r="O95" s="34"/>
      <c r="P95" s="34"/>
      <c r="Q95" s="34"/>
      <c r="R95" s="34"/>
      <c r="S95" s="34"/>
      <c r="T95" s="34"/>
      <c r="U95" s="34"/>
      <c r="V95" s="34"/>
      <c r="W95" s="34"/>
      <c r="X95" s="34"/>
      <c r="Y95" s="34"/>
    </row>
    <row r="96" spans="1:25" x14ac:dyDescent="0.25">
      <c r="A96" s="51"/>
      <c r="B96" s="32" t="s">
        <v>163</v>
      </c>
      <c r="E96" s="34"/>
      <c r="F96" s="34"/>
      <c r="G96" s="33">
        <v>-3</v>
      </c>
      <c r="H96" s="33">
        <v>-4</v>
      </c>
      <c r="I96" s="33">
        <v>-6</v>
      </c>
      <c r="J96" s="33">
        <v>-9</v>
      </c>
      <c r="K96" s="33">
        <v>-8</v>
      </c>
      <c r="L96" s="33">
        <v>-6</v>
      </c>
      <c r="M96" s="33">
        <v>0</v>
      </c>
      <c r="N96" s="33">
        <v>-9</v>
      </c>
      <c r="O96" s="34"/>
      <c r="P96" s="34"/>
      <c r="Q96" s="34"/>
      <c r="R96" s="34"/>
      <c r="S96" s="34"/>
      <c r="T96" s="34"/>
      <c r="U96" s="34"/>
      <c r="V96" s="34"/>
      <c r="W96" s="34"/>
      <c r="X96" s="34"/>
      <c r="Y96" s="34"/>
    </row>
    <row r="97" spans="1:25" x14ac:dyDescent="0.25">
      <c r="A97" s="51"/>
      <c r="B97" s="32" t="s">
        <v>483</v>
      </c>
      <c r="E97" s="34"/>
      <c r="F97" s="34"/>
      <c r="G97" s="33">
        <v>11</v>
      </c>
      <c r="H97" s="33">
        <v>8</v>
      </c>
      <c r="I97" s="33">
        <v>-8</v>
      </c>
      <c r="J97" s="33">
        <v>-11</v>
      </c>
      <c r="K97" s="33">
        <v>5</v>
      </c>
      <c r="L97" s="33">
        <v>-8</v>
      </c>
      <c r="M97" s="33">
        <v>-9</v>
      </c>
      <c r="N97" s="33">
        <v>0</v>
      </c>
      <c r="O97" s="34"/>
      <c r="P97" s="34"/>
      <c r="Q97" s="34"/>
      <c r="R97" s="34"/>
      <c r="S97" s="34"/>
      <c r="T97" s="34"/>
      <c r="U97" s="34"/>
      <c r="V97" s="34"/>
      <c r="W97" s="34"/>
      <c r="X97" s="34"/>
      <c r="Y97" s="34"/>
    </row>
    <row r="98" spans="1:25" x14ac:dyDescent="0.25">
      <c r="A98" s="51"/>
      <c r="B98" s="38" t="s">
        <v>484</v>
      </c>
      <c r="E98" s="41"/>
      <c r="F98" s="41"/>
      <c r="G98" s="33">
        <v>8</v>
      </c>
      <c r="H98" s="33">
        <v>0</v>
      </c>
      <c r="I98" s="33">
        <v>5</v>
      </c>
      <c r="J98" s="33">
        <v>3</v>
      </c>
      <c r="K98" s="33">
        <v>4</v>
      </c>
      <c r="L98" s="33">
        <v>0</v>
      </c>
      <c r="M98" s="33">
        <v>-6</v>
      </c>
      <c r="N98" s="33">
        <v>-8</v>
      </c>
      <c r="O98" s="41"/>
      <c r="P98" s="41"/>
      <c r="Q98" s="41"/>
      <c r="R98" s="41"/>
      <c r="S98" s="41"/>
      <c r="T98" s="41"/>
      <c r="U98" s="41"/>
      <c r="V98" s="41"/>
      <c r="W98" s="41"/>
      <c r="X98" s="41"/>
      <c r="Y98" s="41"/>
    </row>
    <row r="99" spans="1:25" x14ac:dyDescent="0.25">
      <c r="A99" s="51"/>
      <c r="B99" s="38" t="s">
        <v>137</v>
      </c>
      <c r="E99" s="41"/>
      <c r="F99" s="41"/>
      <c r="G99" s="33">
        <v>1</v>
      </c>
      <c r="H99" s="33">
        <v>-2</v>
      </c>
      <c r="I99" s="33">
        <v>-5</v>
      </c>
      <c r="J99" s="33">
        <v>-4</v>
      </c>
      <c r="K99" s="33">
        <v>-7</v>
      </c>
      <c r="L99" s="33">
        <v>-5</v>
      </c>
      <c r="M99" s="33">
        <v>-5</v>
      </c>
      <c r="N99" s="33">
        <v>-7</v>
      </c>
      <c r="O99" s="41"/>
      <c r="P99" s="41"/>
      <c r="Q99" s="41"/>
      <c r="R99" s="41"/>
      <c r="S99" s="41"/>
      <c r="T99" s="41"/>
      <c r="U99" s="41"/>
      <c r="V99" s="41"/>
      <c r="W99" s="41"/>
      <c r="X99" s="41"/>
      <c r="Y99" s="41"/>
    </row>
    <row r="100" spans="1:25" x14ac:dyDescent="0.25">
      <c r="A100" s="51"/>
      <c r="B100" s="32" t="s">
        <v>485</v>
      </c>
      <c r="E100" s="41"/>
      <c r="F100" s="41"/>
      <c r="G100" s="33">
        <v>-4</v>
      </c>
      <c r="H100" s="33">
        <v>0</v>
      </c>
      <c r="I100" s="33">
        <v>-9</v>
      </c>
      <c r="J100" s="33">
        <v>-7</v>
      </c>
      <c r="K100" s="33">
        <v>0</v>
      </c>
      <c r="L100" s="33">
        <v>-9</v>
      </c>
      <c r="M100" s="33">
        <v>-10</v>
      </c>
      <c r="N100" s="33">
        <v>4</v>
      </c>
      <c r="O100" s="41"/>
      <c r="P100" s="41"/>
      <c r="Q100" s="41"/>
      <c r="R100" s="41"/>
      <c r="S100" s="41"/>
      <c r="T100" s="41"/>
      <c r="U100" s="41"/>
      <c r="V100" s="41"/>
      <c r="W100" s="41"/>
      <c r="X100" s="41"/>
      <c r="Y100" s="41"/>
    </row>
    <row r="101" spans="1:25" s="39" customFormat="1" x14ac:dyDescent="0.25">
      <c r="E101" s="40"/>
      <c r="F101" s="40"/>
      <c r="G101" s="40"/>
      <c r="H101" s="40"/>
      <c r="I101" s="40"/>
      <c r="J101" s="40"/>
      <c r="K101" s="40"/>
      <c r="L101" s="40"/>
      <c r="M101" s="40"/>
      <c r="N101" s="40"/>
      <c r="O101" s="40"/>
      <c r="P101" s="40"/>
      <c r="Q101" s="40"/>
      <c r="R101" s="40"/>
      <c r="S101" s="40"/>
      <c r="T101" s="40"/>
      <c r="U101" s="40"/>
      <c r="V101" s="40"/>
      <c r="W101" s="40"/>
      <c r="X101" s="40"/>
      <c r="Y101" s="40"/>
    </row>
    <row r="102" spans="1:25" x14ac:dyDescent="0.25">
      <c r="A102" s="51" t="s">
        <v>476</v>
      </c>
      <c r="B102" s="38" t="s">
        <v>482</v>
      </c>
      <c r="E102" s="41"/>
      <c r="F102" s="41"/>
      <c r="G102" s="33">
        <v>0</v>
      </c>
      <c r="H102" s="33">
        <v>-5</v>
      </c>
      <c r="I102" s="33">
        <v>0</v>
      </c>
      <c r="J102" s="33">
        <v>0</v>
      </c>
      <c r="K102" s="33">
        <v>-6</v>
      </c>
      <c r="L102" s="33">
        <v>6</v>
      </c>
      <c r="M102" s="33">
        <v>0</v>
      </c>
      <c r="N102" s="41"/>
      <c r="O102" s="41"/>
      <c r="P102" s="41"/>
      <c r="Q102" s="41"/>
      <c r="R102" s="41"/>
      <c r="S102" s="41"/>
      <c r="T102" s="41"/>
      <c r="U102" s="41"/>
      <c r="V102" s="41"/>
      <c r="W102" s="41"/>
      <c r="X102" s="41"/>
      <c r="Y102" s="41"/>
    </row>
    <row r="103" spans="1:25" x14ac:dyDescent="0.25">
      <c r="A103" s="51"/>
      <c r="B103" s="32" t="s">
        <v>136</v>
      </c>
      <c r="C103" s="34"/>
      <c r="D103" s="34"/>
      <c r="E103" s="41"/>
      <c r="F103" s="41"/>
      <c r="G103" s="33">
        <v>-5</v>
      </c>
      <c r="H103" s="33">
        <v>1</v>
      </c>
      <c r="I103" s="33">
        <v>0</v>
      </c>
      <c r="J103" s="33">
        <v>-1</v>
      </c>
      <c r="K103" s="33">
        <v>2</v>
      </c>
      <c r="L103" s="33">
        <v>0</v>
      </c>
      <c r="M103" s="33">
        <v>-1</v>
      </c>
      <c r="N103" s="41"/>
      <c r="O103" s="41"/>
      <c r="P103" s="41"/>
      <c r="Q103" s="41"/>
      <c r="R103" s="41"/>
      <c r="S103" s="41"/>
      <c r="T103" s="41"/>
      <c r="U103" s="41"/>
      <c r="V103" s="41"/>
      <c r="W103" s="41"/>
      <c r="X103" s="41"/>
      <c r="Y103" s="41"/>
    </row>
    <row r="104" spans="1:25" x14ac:dyDescent="0.25">
      <c r="A104" s="51"/>
      <c r="B104" s="32" t="s">
        <v>134</v>
      </c>
      <c r="C104" s="34"/>
      <c r="D104" s="34"/>
      <c r="E104" s="41"/>
      <c r="F104" s="41"/>
      <c r="G104" s="33">
        <v>-6</v>
      </c>
      <c r="H104" s="33">
        <v>-3</v>
      </c>
      <c r="I104" s="33">
        <v>-6</v>
      </c>
      <c r="J104" s="33">
        <v>-4</v>
      </c>
      <c r="K104" s="33">
        <v>-1</v>
      </c>
      <c r="L104" s="33">
        <v>5</v>
      </c>
      <c r="M104" s="33">
        <v>-4</v>
      </c>
      <c r="N104" s="41"/>
      <c r="O104" s="41"/>
      <c r="P104" s="41"/>
      <c r="Q104" s="41"/>
      <c r="R104" s="41"/>
      <c r="S104" s="41"/>
      <c r="T104" s="41"/>
      <c r="U104" s="41"/>
      <c r="V104" s="41"/>
      <c r="W104" s="41"/>
      <c r="X104" s="41"/>
      <c r="Y104" s="41"/>
    </row>
    <row r="105" spans="1:25" x14ac:dyDescent="0.25">
      <c r="A105" s="51"/>
      <c r="B105" s="38" t="s">
        <v>152</v>
      </c>
      <c r="C105" s="34"/>
      <c r="D105" s="34"/>
      <c r="E105" s="41"/>
      <c r="F105" s="41"/>
      <c r="G105" s="33">
        <v>2</v>
      </c>
      <c r="H105" s="33">
        <v>4</v>
      </c>
      <c r="I105" s="33">
        <v>1</v>
      </c>
      <c r="J105" s="33">
        <v>5</v>
      </c>
      <c r="K105" s="33">
        <v>0</v>
      </c>
      <c r="L105" s="33">
        <v>-4</v>
      </c>
      <c r="M105" s="33">
        <v>3</v>
      </c>
      <c r="N105" s="41"/>
      <c r="O105" s="41"/>
      <c r="P105" s="41"/>
      <c r="Q105" s="41"/>
      <c r="R105" s="41"/>
      <c r="S105" s="41"/>
      <c r="T105" s="41"/>
      <c r="U105" s="41"/>
      <c r="V105" s="41"/>
      <c r="W105" s="41"/>
      <c r="X105" s="41"/>
      <c r="Y105" s="41"/>
    </row>
    <row r="106" spans="1:25" x14ac:dyDescent="0.25">
      <c r="A106" s="51"/>
      <c r="B106" s="32" t="s">
        <v>144</v>
      </c>
      <c r="C106" s="34"/>
      <c r="D106" s="34"/>
      <c r="E106" s="34"/>
      <c r="F106" s="34"/>
      <c r="G106" s="33">
        <v>4</v>
      </c>
      <c r="H106" s="33">
        <v>3</v>
      </c>
      <c r="I106" s="33">
        <v>2</v>
      </c>
      <c r="J106" s="33">
        <v>2</v>
      </c>
      <c r="K106" s="33">
        <v>7</v>
      </c>
      <c r="L106" s="33">
        <v>2</v>
      </c>
      <c r="M106" s="33">
        <v>-6</v>
      </c>
      <c r="N106" s="34"/>
      <c r="O106" s="34"/>
      <c r="P106" s="34"/>
      <c r="Q106" s="34"/>
      <c r="R106" s="34"/>
      <c r="S106" s="34"/>
      <c r="T106" s="34"/>
      <c r="U106" s="34"/>
      <c r="V106" s="34"/>
      <c r="W106" s="34"/>
      <c r="X106" s="34"/>
      <c r="Y106" s="34"/>
    </row>
    <row r="107" spans="1:25" x14ac:dyDescent="0.25">
      <c r="A107" s="51"/>
      <c r="B107" s="32" t="s">
        <v>140</v>
      </c>
      <c r="C107" s="34"/>
      <c r="D107" s="34"/>
      <c r="E107" s="34"/>
      <c r="F107" s="34"/>
      <c r="G107" s="33">
        <v>-1</v>
      </c>
      <c r="H107" s="33">
        <v>-2</v>
      </c>
      <c r="I107" s="33">
        <v>-3</v>
      </c>
      <c r="J107" s="33">
        <v>-8</v>
      </c>
      <c r="K107" s="33">
        <v>-4</v>
      </c>
      <c r="L107" s="33">
        <v>4</v>
      </c>
      <c r="M107" s="33">
        <v>0</v>
      </c>
      <c r="N107" s="34"/>
      <c r="O107" s="34"/>
      <c r="P107" s="34"/>
      <c r="Q107" s="34"/>
      <c r="R107" s="34"/>
      <c r="S107" s="34"/>
      <c r="T107" s="34"/>
      <c r="U107" s="34"/>
      <c r="V107" s="34"/>
      <c r="W107" s="34"/>
      <c r="X107" s="34"/>
      <c r="Y107" s="34"/>
    </row>
    <row r="108" spans="1:25" x14ac:dyDescent="0.25">
      <c r="A108" s="51"/>
      <c r="B108" s="32" t="s">
        <v>146</v>
      </c>
      <c r="C108" s="34"/>
      <c r="D108" s="34"/>
      <c r="E108" s="34"/>
      <c r="F108" s="34"/>
      <c r="G108" s="33">
        <v>-8</v>
      </c>
      <c r="H108" s="33">
        <v>0</v>
      </c>
      <c r="I108" s="33">
        <v>0</v>
      </c>
      <c r="J108" s="33">
        <v>3</v>
      </c>
      <c r="K108" s="33">
        <v>0</v>
      </c>
      <c r="L108" s="33">
        <v>-3</v>
      </c>
      <c r="M108" s="33">
        <v>0</v>
      </c>
      <c r="N108" s="34"/>
      <c r="O108" s="34"/>
      <c r="P108" s="34"/>
      <c r="Q108" s="34"/>
      <c r="R108" s="34"/>
      <c r="S108" s="34"/>
      <c r="T108" s="34"/>
      <c r="U108" s="34"/>
      <c r="V108" s="34"/>
      <c r="W108" s="34"/>
      <c r="X108" s="34"/>
      <c r="Y108" s="34"/>
    </row>
    <row r="109" spans="1:25" x14ac:dyDescent="0.25">
      <c r="A109" s="51"/>
      <c r="B109" s="38" t="s">
        <v>142</v>
      </c>
      <c r="C109" s="34"/>
      <c r="D109" s="34"/>
      <c r="E109" s="34"/>
      <c r="F109" s="34"/>
      <c r="G109" s="33">
        <v>-3</v>
      </c>
      <c r="H109" s="33">
        <v>0</v>
      </c>
      <c r="I109" s="33">
        <v>-5</v>
      </c>
      <c r="J109" s="33">
        <v>-2</v>
      </c>
      <c r="K109" s="33">
        <v>1</v>
      </c>
      <c r="L109" s="33">
        <v>-1</v>
      </c>
      <c r="M109" s="33">
        <v>-3</v>
      </c>
      <c r="N109" s="34"/>
      <c r="O109" s="34"/>
      <c r="P109" s="34"/>
      <c r="Q109" s="34"/>
      <c r="R109" s="34"/>
      <c r="S109" s="34"/>
      <c r="T109" s="34"/>
      <c r="U109" s="34"/>
      <c r="V109" s="34"/>
      <c r="W109" s="34"/>
      <c r="X109" s="34"/>
      <c r="Y109" s="34"/>
    </row>
    <row r="110" spans="1:25" x14ac:dyDescent="0.25">
      <c r="A110" s="51"/>
      <c r="B110" s="38" t="s">
        <v>150</v>
      </c>
      <c r="C110" s="34"/>
      <c r="D110" s="34"/>
      <c r="E110" s="34"/>
      <c r="F110" s="34"/>
      <c r="G110" s="33">
        <v>-2</v>
      </c>
      <c r="H110" s="33">
        <v>-1</v>
      </c>
      <c r="I110" s="33">
        <v>-2</v>
      </c>
      <c r="J110" s="33">
        <v>-7</v>
      </c>
      <c r="K110" s="33">
        <v>-2</v>
      </c>
      <c r="L110" s="33">
        <v>3</v>
      </c>
      <c r="M110" s="33">
        <v>-2</v>
      </c>
      <c r="N110" s="34"/>
      <c r="O110" s="34"/>
      <c r="P110" s="34"/>
      <c r="Q110" s="34"/>
      <c r="R110" s="34"/>
      <c r="S110" s="34"/>
      <c r="T110" s="34"/>
      <c r="U110" s="34"/>
      <c r="V110" s="34"/>
      <c r="W110" s="34"/>
      <c r="X110" s="34"/>
      <c r="Y110" s="34"/>
    </row>
    <row r="111" spans="1:25" x14ac:dyDescent="0.25">
      <c r="A111" s="51"/>
      <c r="B111" s="38" t="s">
        <v>202</v>
      </c>
      <c r="C111" s="34"/>
      <c r="D111" s="34"/>
      <c r="E111" s="34"/>
      <c r="F111" s="34"/>
      <c r="G111" s="33">
        <v>-9</v>
      </c>
      <c r="H111" s="33">
        <v>0</v>
      </c>
      <c r="I111" s="33">
        <v>0</v>
      </c>
      <c r="J111" s="33">
        <v>4</v>
      </c>
      <c r="K111" s="33">
        <v>6</v>
      </c>
      <c r="L111" s="33">
        <v>0</v>
      </c>
      <c r="M111" s="33">
        <v>0</v>
      </c>
      <c r="N111" s="34"/>
      <c r="O111" s="34"/>
      <c r="P111" s="34"/>
      <c r="Q111" s="34"/>
      <c r="R111" s="34"/>
      <c r="S111" s="34"/>
      <c r="T111" s="34"/>
      <c r="U111" s="34"/>
      <c r="V111" s="34"/>
      <c r="W111" s="34"/>
      <c r="X111" s="34"/>
      <c r="Y111" s="34"/>
    </row>
    <row r="112" spans="1:25" x14ac:dyDescent="0.25">
      <c r="A112" s="51"/>
      <c r="B112" s="32" t="s">
        <v>203</v>
      </c>
      <c r="C112" s="34"/>
      <c r="D112" s="34"/>
      <c r="E112" s="34"/>
      <c r="F112" s="34"/>
      <c r="G112" s="33">
        <v>3</v>
      </c>
      <c r="H112" s="33">
        <v>5</v>
      </c>
      <c r="I112" s="33">
        <v>-4</v>
      </c>
      <c r="J112" s="33">
        <v>-5</v>
      </c>
      <c r="K112" s="33">
        <v>5</v>
      </c>
      <c r="L112" s="33">
        <v>0</v>
      </c>
      <c r="M112" s="33">
        <v>0</v>
      </c>
      <c r="N112" s="34"/>
      <c r="O112" s="34"/>
      <c r="P112" s="34"/>
      <c r="Q112" s="34"/>
      <c r="R112" s="34"/>
      <c r="S112" s="34"/>
      <c r="T112" s="34"/>
      <c r="U112" s="34"/>
      <c r="V112" s="34"/>
      <c r="W112" s="34"/>
      <c r="X112" s="34"/>
      <c r="Y112" s="34"/>
    </row>
    <row r="113" spans="1:25" x14ac:dyDescent="0.25">
      <c r="A113" s="51"/>
      <c r="B113" s="32" t="s">
        <v>201</v>
      </c>
      <c r="C113" s="34"/>
      <c r="D113" s="34"/>
      <c r="E113" s="34"/>
      <c r="F113" s="34"/>
      <c r="G113" s="33">
        <v>0</v>
      </c>
      <c r="H113" s="33">
        <v>-6</v>
      </c>
      <c r="I113" s="33">
        <v>0</v>
      </c>
      <c r="J113" s="33">
        <v>0</v>
      </c>
      <c r="K113" s="33">
        <v>0</v>
      </c>
      <c r="L113" s="33">
        <v>0</v>
      </c>
      <c r="M113" s="33">
        <v>0</v>
      </c>
      <c r="N113" s="34"/>
      <c r="O113" s="34"/>
      <c r="P113" s="34"/>
      <c r="Q113" s="34"/>
      <c r="R113" s="34"/>
      <c r="S113" s="34"/>
      <c r="T113" s="34"/>
      <c r="U113" s="34"/>
      <c r="V113" s="34"/>
      <c r="W113" s="34"/>
      <c r="X113" s="34"/>
      <c r="Y113" s="34"/>
    </row>
    <row r="114" spans="1:25" x14ac:dyDescent="0.25">
      <c r="A114" s="51"/>
      <c r="B114" s="32" t="s">
        <v>148</v>
      </c>
      <c r="E114" s="34"/>
      <c r="F114" s="34"/>
      <c r="G114" s="33">
        <v>-4</v>
      </c>
      <c r="H114" s="33">
        <v>-4</v>
      </c>
      <c r="I114" s="33">
        <v>3</v>
      </c>
      <c r="J114" s="33">
        <v>-3</v>
      </c>
      <c r="K114" s="33">
        <v>3</v>
      </c>
      <c r="L114" s="33">
        <v>-2</v>
      </c>
      <c r="M114" s="33">
        <v>2</v>
      </c>
      <c r="N114" s="34"/>
      <c r="O114" s="34"/>
      <c r="P114" s="34"/>
      <c r="Q114" s="34"/>
      <c r="R114" s="34"/>
      <c r="S114" s="34"/>
      <c r="T114" s="34"/>
      <c r="U114" s="34"/>
      <c r="V114" s="34"/>
      <c r="W114" s="34"/>
      <c r="X114" s="34"/>
      <c r="Y114" s="34"/>
    </row>
    <row r="115" spans="1:25" x14ac:dyDescent="0.25">
      <c r="A115" s="51"/>
      <c r="B115" s="32" t="s">
        <v>163</v>
      </c>
      <c r="E115" s="34"/>
      <c r="F115" s="34"/>
      <c r="G115" s="33">
        <v>-7</v>
      </c>
      <c r="H115" s="33">
        <v>0</v>
      </c>
      <c r="I115" s="33">
        <v>0</v>
      </c>
      <c r="J115" s="33">
        <v>-6</v>
      </c>
      <c r="K115" s="33">
        <v>-3</v>
      </c>
      <c r="L115" s="33">
        <v>0</v>
      </c>
      <c r="M115" s="33">
        <v>4</v>
      </c>
      <c r="N115" s="34"/>
      <c r="O115" s="34"/>
      <c r="P115" s="34"/>
      <c r="Q115" s="34"/>
      <c r="R115" s="34"/>
      <c r="S115" s="34"/>
      <c r="T115" s="34"/>
      <c r="U115" s="34"/>
      <c r="V115" s="34"/>
      <c r="W115" s="34"/>
      <c r="X115" s="34"/>
      <c r="Y115" s="34"/>
    </row>
    <row r="116" spans="1:25" x14ac:dyDescent="0.25">
      <c r="A116" s="51"/>
      <c r="B116" s="32" t="s">
        <v>483</v>
      </c>
      <c r="E116" s="41"/>
      <c r="F116" s="41"/>
      <c r="G116" s="33">
        <v>0</v>
      </c>
      <c r="H116" s="33">
        <v>0</v>
      </c>
      <c r="I116" s="33">
        <v>0</v>
      </c>
      <c r="J116" s="33">
        <v>0</v>
      </c>
      <c r="K116" s="33">
        <v>0</v>
      </c>
      <c r="L116" s="33">
        <v>0</v>
      </c>
      <c r="M116" s="33">
        <v>0</v>
      </c>
      <c r="N116" s="41"/>
      <c r="O116" s="41"/>
      <c r="P116" s="41"/>
      <c r="Q116" s="41"/>
      <c r="R116" s="41"/>
      <c r="S116" s="41"/>
      <c r="T116" s="41"/>
      <c r="U116" s="41"/>
      <c r="V116" s="41"/>
      <c r="W116" s="41"/>
      <c r="X116" s="41"/>
      <c r="Y116" s="41"/>
    </row>
    <row r="117" spans="1:25" x14ac:dyDescent="0.25">
      <c r="A117" s="51"/>
      <c r="B117" s="38" t="s">
        <v>484</v>
      </c>
      <c r="E117" s="41"/>
      <c r="F117" s="41"/>
      <c r="G117" s="33">
        <v>0</v>
      </c>
      <c r="H117" s="33">
        <v>0</v>
      </c>
      <c r="I117" s="33">
        <v>-7</v>
      </c>
      <c r="J117" s="33">
        <v>-9</v>
      </c>
      <c r="K117" s="33">
        <v>-5</v>
      </c>
      <c r="L117" s="33">
        <v>7</v>
      </c>
      <c r="M117" s="33">
        <v>-5</v>
      </c>
      <c r="N117" s="41"/>
      <c r="O117" s="41"/>
      <c r="P117" s="41"/>
      <c r="Q117" s="41"/>
      <c r="R117" s="41"/>
      <c r="S117" s="41"/>
      <c r="T117" s="41"/>
      <c r="U117" s="41"/>
      <c r="V117" s="41"/>
      <c r="W117" s="41"/>
      <c r="X117" s="41"/>
      <c r="Y117" s="41"/>
    </row>
    <row r="118" spans="1:25" x14ac:dyDescent="0.25">
      <c r="A118" s="51"/>
      <c r="B118" s="38" t="s">
        <v>137</v>
      </c>
      <c r="E118" s="41"/>
      <c r="F118" s="41"/>
      <c r="G118" s="33">
        <v>1</v>
      </c>
      <c r="H118" s="33">
        <v>2</v>
      </c>
      <c r="I118" s="33">
        <v>-1</v>
      </c>
      <c r="J118" s="33">
        <v>1</v>
      </c>
      <c r="K118" s="33">
        <v>4</v>
      </c>
      <c r="L118" s="33">
        <v>1</v>
      </c>
      <c r="M118" s="33">
        <v>1</v>
      </c>
      <c r="N118" s="41"/>
      <c r="O118" s="41"/>
      <c r="P118" s="41"/>
      <c r="Q118" s="41"/>
      <c r="R118" s="41"/>
      <c r="S118" s="41"/>
      <c r="T118" s="41"/>
      <c r="U118" s="41"/>
      <c r="V118" s="41"/>
      <c r="W118" s="41"/>
      <c r="X118" s="41"/>
      <c r="Y118" s="41"/>
    </row>
    <row r="119" spans="1:25" x14ac:dyDescent="0.25">
      <c r="A119" s="51"/>
      <c r="B119" s="32" t="s">
        <v>485</v>
      </c>
      <c r="E119" s="41"/>
      <c r="F119" s="41"/>
      <c r="G119" s="33">
        <v>5</v>
      </c>
      <c r="H119" s="33">
        <v>-7</v>
      </c>
      <c r="I119" s="33">
        <v>-8</v>
      </c>
      <c r="J119" s="33">
        <v>0</v>
      </c>
      <c r="K119" s="33">
        <v>0</v>
      </c>
      <c r="L119" s="33">
        <v>0</v>
      </c>
      <c r="M119" s="33">
        <v>-5</v>
      </c>
      <c r="N119" s="41"/>
      <c r="O119" s="41"/>
      <c r="P119" s="41"/>
      <c r="Q119" s="41"/>
      <c r="R119" s="41"/>
      <c r="S119" s="41"/>
      <c r="T119" s="41"/>
      <c r="U119" s="41"/>
      <c r="V119" s="41"/>
      <c r="W119" s="41"/>
      <c r="X119" s="41"/>
      <c r="Y119" s="41"/>
    </row>
    <row r="120" spans="1:25" s="39" customFormat="1" x14ac:dyDescent="0.25">
      <c r="E120" s="40"/>
      <c r="F120" s="40"/>
      <c r="G120" s="40"/>
      <c r="H120" s="40"/>
      <c r="I120" s="40"/>
      <c r="J120" s="40"/>
      <c r="K120" s="40"/>
      <c r="L120" s="40"/>
      <c r="M120" s="40"/>
      <c r="N120" s="40"/>
      <c r="O120" s="40"/>
      <c r="P120" s="40"/>
      <c r="Q120" s="40"/>
      <c r="R120" s="40"/>
      <c r="S120" s="40"/>
      <c r="T120" s="40"/>
      <c r="U120" s="40"/>
      <c r="V120" s="40"/>
      <c r="W120" s="40"/>
      <c r="X120" s="40"/>
      <c r="Y120" s="40"/>
    </row>
    <row r="121" spans="1:25" x14ac:dyDescent="0.25">
      <c r="A121" s="52" t="s">
        <v>477</v>
      </c>
      <c r="B121" s="38" t="s">
        <v>482</v>
      </c>
      <c r="E121" s="41"/>
      <c r="F121" s="41"/>
      <c r="G121" s="33">
        <v>-5</v>
      </c>
      <c r="H121" s="33">
        <v>-8</v>
      </c>
      <c r="I121" s="33">
        <v>0</v>
      </c>
      <c r="J121" s="33">
        <v>-10</v>
      </c>
      <c r="K121" s="33">
        <v>-8</v>
      </c>
      <c r="L121" s="33">
        <v>-12</v>
      </c>
      <c r="M121" s="33">
        <v>-11</v>
      </c>
      <c r="N121" s="33">
        <v>-7</v>
      </c>
      <c r="O121" s="41"/>
      <c r="P121" s="41"/>
      <c r="Q121" s="41"/>
      <c r="R121" s="41"/>
      <c r="S121" s="41"/>
      <c r="T121" s="41"/>
      <c r="U121" s="41"/>
      <c r="V121" s="41"/>
      <c r="W121" s="41"/>
      <c r="X121" s="41"/>
      <c r="Y121" s="41"/>
    </row>
    <row r="122" spans="1:25" x14ac:dyDescent="0.25">
      <c r="A122" s="52"/>
      <c r="B122" s="32" t="s">
        <v>136</v>
      </c>
      <c r="C122" s="34"/>
      <c r="D122" s="34"/>
      <c r="E122" s="41"/>
      <c r="F122" s="41"/>
      <c r="G122" s="33">
        <v>-1</v>
      </c>
      <c r="H122" s="33">
        <v>-1</v>
      </c>
      <c r="I122" s="33">
        <v>-3</v>
      </c>
      <c r="J122" s="33">
        <v>1</v>
      </c>
      <c r="K122" s="33">
        <v>-3</v>
      </c>
      <c r="L122" s="33">
        <v>-5</v>
      </c>
      <c r="M122" s="33">
        <v>-1</v>
      </c>
      <c r="N122" s="33">
        <v>1</v>
      </c>
      <c r="O122" s="41"/>
      <c r="P122" s="41"/>
      <c r="Q122" s="41"/>
      <c r="R122" s="41"/>
      <c r="S122" s="41"/>
      <c r="T122" s="41"/>
      <c r="U122" s="41"/>
      <c r="V122" s="41"/>
      <c r="W122" s="41"/>
      <c r="X122" s="41"/>
      <c r="Y122" s="41"/>
    </row>
    <row r="123" spans="1:25" x14ac:dyDescent="0.25">
      <c r="A123" s="52"/>
      <c r="B123" s="32" t="s">
        <v>134</v>
      </c>
      <c r="C123" s="34"/>
      <c r="D123" s="34"/>
      <c r="E123" s="41"/>
      <c r="F123" s="41"/>
      <c r="G123" s="33">
        <v>0</v>
      </c>
      <c r="H123" s="33">
        <v>1</v>
      </c>
      <c r="I123" s="33">
        <v>-1</v>
      </c>
      <c r="J123" s="33">
        <v>-5</v>
      </c>
      <c r="K123" s="33">
        <v>-2</v>
      </c>
      <c r="L123" s="33">
        <v>-3</v>
      </c>
      <c r="M123" s="33">
        <v>1</v>
      </c>
      <c r="N123" s="33">
        <v>-2</v>
      </c>
      <c r="O123" s="41"/>
      <c r="P123" s="41"/>
      <c r="Q123" s="41"/>
      <c r="R123" s="41"/>
      <c r="S123" s="41"/>
      <c r="T123" s="41"/>
      <c r="U123" s="41"/>
      <c r="V123" s="41"/>
      <c r="W123" s="41"/>
      <c r="X123" s="41"/>
      <c r="Y123" s="41"/>
    </row>
    <row r="124" spans="1:25" x14ac:dyDescent="0.25">
      <c r="A124" s="52"/>
      <c r="B124" s="38" t="s">
        <v>152</v>
      </c>
      <c r="C124" s="34"/>
      <c r="D124" s="34"/>
      <c r="E124" s="34"/>
      <c r="F124" s="34"/>
      <c r="G124" s="33">
        <v>3</v>
      </c>
      <c r="H124" s="33">
        <v>5</v>
      </c>
      <c r="I124" s="33">
        <v>3</v>
      </c>
      <c r="J124" s="33">
        <v>-1</v>
      </c>
      <c r="K124" s="33">
        <v>-5</v>
      </c>
      <c r="L124" s="33">
        <v>-2</v>
      </c>
      <c r="M124" s="33">
        <v>2</v>
      </c>
      <c r="N124" s="33">
        <v>-5</v>
      </c>
      <c r="O124" s="34"/>
      <c r="P124" s="34"/>
      <c r="Q124" s="34"/>
      <c r="R124" s="34"/>
      <c r="S124" s="34"/>
      <c r="T124" s="34"/>
      <c r="U124" s="34"/>
      <c r="V124" s="34"/>
      <c r="W124" s="34"/>
      <c r="X124" s="34"/>
      <c r="Y124" s="34"/>
    </row>
    <row r="125" spans="1:25" x14ac:dyDescent="0.25">
      <c r="A125" s="52"/>
      <c r="B125" s="32" t="s">
        <v>144</v>
      </c>
      <c r="C125" s="34"/>
      <c r="D125" s="34"/>
      <c r="E125" s="34"/>
      <c r="F125" s="34"/>
      <c r="G125" s="33">
        <v>-2</v>
      </c>
      <c r="H125" s="33">
        <v>-6</v>
      </c>
      <c r="I125" s="33">
        <v>-7</v>
      </c>
      <c r="J125" s="33">
        <v>-6</v>
      </c>
      <c r="K125" s="33">
        <v>-1</v>
      </c>
      <c r="L125" s="33">
        <v>-8</v>
      </c>
      <c r="M125" s="33">
        <v>-5</v>
      </c>
      <c r="N125" s="33">
        <v>-3</v>
      </c>
      <c r="O125" s="34"/>
      <c r="P125" s="34"/>
      <c r="Q125" s="34"/>
      <c r="R125" s="34"/>
      <c r="S125" s="34"/>
      <c r="T125" s="34"/>
      <c r="U125" s="34"/>
      <c r="V125" s="34"/>
      <c r="W125" s="34"/>
      <c r="X125" s="34"/>
      <c r="Y125" s="34"/>
    </row>
    <row r="126" spans="1:25" x14ac:dyDescent="0.25">
      <c r="A126" s="52"/>
      <c r="B126" s="32" t="s">
        <v>140</v>
      </c>
      <c r="C126" s="34"/>
      <c r="D126" s="34"/>
      <c r="E126" s="34"/>
      <c r="F126" s="34"/>
      <c r="G126" s="33">
        <v>4</v>
      </c>
      <c r="H126" s="33">
        <v>2</v>
      </c>
      <c r="I126" s="33">
        <v>1</v>
      </c>
      <c r="J126" s="33">
        <v>0</v>
      </c>
      <c r="K126" s="33">
        <v>2</v>
      </c>
      <c r="L126" s="33">
        <v>1</v>
      </c>
      <c r="M126" s="33">
        <v>3</v>
      </c>
      <c r="N126" s="33">
        <v>0</v>
      </c>
      <c r="O126" s="34"/>
      <c r="P126" s="34"/>
      <c r="Q126" s="34"/>
      <c r="R126" s="34"/>
      <c r="S126" s="34"/>
      <c r="T126" s="34"/>
      <c r="U126" s="34"/>
      <c r="V126" s="34"/>
      <c r="W126" s="34"/>
      <c r="X126" s="34"/>
      <c r="Y126" s="34"/>
    </row>
    <row r="127" spans="1:25" x14ac:dyDescent="0.25">
      <c r="A127" s="52"/>
      <c r="B127" s="32" t="s">
        <v>146</v>
      </c>
      <c r="C127" s="34"/>
      <c r="D127" s="34"/>
      <c r="E127" s="34"/>
      <c r="F127" s="34"/>
      <c r="G127" s="33">
        <v>0</v>
      </c>
      <c r="H127" s="33">
        <v>-7</v>
      </c>
      <c r="I127" s="33">
        <v>0</v>
      </c>
      <c r="J127" s="33">
        <v>0</v>
      </c>
      <c r="K127" s="33">
        <v>5</v>
      </c>
      <c r="L127" s="33">
        <v>0</v>
      </c>
      <c r="M127" s="33">
        <v>-10</v>
      </c>
      <c r="N127" s="33">
        <v>6</v>
      </c>
      <c r="O127" s="34"/>
      <c r="P127" s="34"/>
      <c r="Q127" s="34"/>
      <c r="R127" s="34"/>
      <c r="S127" s="34"/>
      <c r="T127" s="34"/>
      <c r="U127" s="34"/>
      <c r="V127" s="34"/>
      <c r="W127" s="34"/>
      <c r="X127" s="34"/>
      <c r="Y127" s="34"/>
    </row>
    <row r="128" spans="1:25" x14ac:dyDescent="0.25">
      <c r="A128" s="52"/>
      <c r="B128" s="38" t="s">
        <v>142</v>
      </c>
      <c r="C128" s="34"/>
      <c r="D128" s="34"/>
      <c r="E128" s="34"/>
      <c r="F128" s="34"/>
      <c r="G128" s="33">
        <v>1</v>
      </c>
      <c r="H128" s="33">
        <v>0</v>
      </c>
      <c r="I128" s="33">
        <v>0</v>
      </c>
      <c r="J128" s="33">
        <v>-3</v>
      </c>
      <c r="K128" s="33">
        <v>-4</v>
      </c>
      <c r="L128" s="33">
        <v>-4</v>
      </c>
      <c r="M128" s="33">
        <v>-3</v>
      </c>
      <c r="N128" s="33">
        <v>-1</v>
      </c>
      <c r="O128" s="34"/>
      <c r="P128" s="34"/>
      <c r="Q128" s="34"/>
      <c r="R128" s="34"/>
      <c r="S128" s="34"/>
      <c r="T128" s="34"/>
      <c r="U128" s="34"/>
      <c r="V128" s="34"/>
      <c r="W128" s="34"/>
      <c r="X128" s="34"/>
      <c r="Y128" s="34"/>
    </row>
    <row r="129" spans="1:25" x14ac:dyDescent="0.25">
      <c r="A129" s="52"/>
      <c r="B129" s="38" t="s">
        <v>150</v>
      </c>
      <c r="C129" s="34"/>
      <c r="D129" s="34"/>
      <c r="E129" s="34"/>
      <c r="F129" s="34"/>
      <c r="G129" s="33">
        <v>2</v>
      </c>
      <c r="H129" s="33">
        <v>-4</v>
      </c>
      <c r="I129" s="33">
        <v>-6</v>
      </c>
      <c r="J129" s="33">
        <v>-2</v>
      </c>
      <c r="K129" s="33">
        <v>-3</v>
      </c>
      <c r="L129" s="33">
        <v>2</v>
      </c>
      <c r="M129" s="33">
        <v>-4</v>
      </c>
      <c r="N129" s="33">
        <v>5</v>
      </c>
      <c r="O129" s="34"/>
      <c r="P129" s="34"/>
      <c r="Q129" s="34"/>
      <c r="R129" s="34"/>
      <c r="S129" s="34"/>
      <c r="T129" s="34"/>
      <c r="U129" s="34"/>
      <c r="V129" s="34"/>
      <c r="W129" s="34"/>
      <c r="X129" s="34"/>
      <c r="Y129" s="34"/>
    </row>
    <row r="130" spans="1:25" x14ac:dyDescent="0.25">
      <c r="A130" s="52"/>
      <c r="B130" s="38" t="s">
        <v>202</v>
      </c>
      <c r="C130" s="34"/>
      <c r="D130" s="34"/>
      <c r="E130" s="34"/>
      <c r="F130" s="34"/>
      <c r="G130" s="33">
        <v>5</v>
      </c>
      <c r="H130" s="33">
        <v>4</v>
      </c>
      <c r="I130" s="33">
        <v>-8</v>
      </c>
      <c r="J130" s="33">
        <v>4</v>
      </c>
      <c r="K130" s="33">
        <v>7</v>
      </c>
      <c r="L130" s="33">
        <v>3</v>
      </c>
      <c r="M130" s="33">
        <v>4</v>
      </c>
      <c r="N130" s="33">
        <v>4</v>
      </c>
      <c r="O130" s="34"/>
      <c r="P130" s="34"/>
      <c r="Q130" s="34"/>
      <c r="R130" s="34"/>
      <c r="S130" s="34"/>
      <c r="T130" s="34"/>
      <c r="U130" s="34"/>
      <c r="V130" s="34"/>
      <c r="W130" s="34"/>
      <c r="X130" s="34"/>
      <c r="Y130" s="34"/>
    </row>
    <row r="131" spans="1:25" x14ac:dyDescent="0.25">
      <c r="A131" s="52"/>
      <c r="B131" s="32" t="s">
        <v>203</v>
      </c>
      <c r="C131" s="34"/>
      <c r="D131" s="34"/>
      <c r="E131" s="34"/>
      <c r="F131" s="34"/>
      <c r="G131" s="33">
        <v>0</v>
      </c>
      <c r="H131" s="33">
        <v>3</v>
      </c>
      <c r="I131" s="33">
        <v>-4</v>
      </c>
      <c r="J131" s="33">
        <v>-4</v>
      </c>
      <c r="K131" s="33">
        <v>-4</v>
      </c>
      <c r="L131" s="33">
        <v>-7</v>
      </c>
      <c r="M131" s="33">
        <v>-7</v>
      </c>
      <c r="N131" s="33">
        <v>0</v>
      </c>
      <c r="O131" s="34"/>
      <c r="P131" s="34"/>
      <c r="Q131" s="34"/>
      <c r="R131" s="34"/>
      <c r="S131" s="34"/>
      <c r="T131" s="34"/>
      <c r="U131" s="34"/>
      <c r="V131" s="34"/>
      <c r="W131" s="34"/>
      <c r="X131" s="34"/>
      <c r="Y131" s="34"/>
    </row>
    <row r="132" spans="1:25" x14ac:dyDescent="0.25">
      <c r="A132" s="52"/>
      <c r="B132" s="32" t="s">
        <v>201</v>
      </c>
      <c r="C132" s="34"/>
      <c r="D132" s="34"/>
      <c r="E132" s="34"/>
      <c r="F132" s="34"/>
      <c r="G132" s="33">
        <v>0</v>
      </c>
      <c r="H132" s="33">
        <v>0</v>
      </c>
      <c r="I132" s="33">
        <v>5</v>
      </c>
      <c r="J132" s="33">
        <v>0</v>
      </c>
      <c r="K132" s="33">
        <v>4</v>
      </c>
      <c r="L132" s="33">
        <v>-6</v>
      </c>
      <c r="M132" s="33">
        <v>0</v>
      </c>
      <c r="N132" s="33">
        <v>-4</v>
      </c>
      <c r="O132" s="34"/>
      <c r="P132" s="34"/>
      <c r="Q132" s="34"/>
      <c r="R132" s="34"/>
      <c r="S132" s="34"/>
      <c r="T132" s="34"/>
      <c r="U132" s="34"/>
      <c r="V132" s="34"/>
      <c r="W132" s="34"/>
      <c r="X132" s="34"/>
      <c r="Y132" s="34"/>
    </row>
    <row r="133" spans="1:25" x14ac:dyDescent="0.25">
      <c r="A133" s="52"/>
      <c r="B133" s="32" t="s">
        <v>148</v>
      </c>
      <c r="E133" s="34"/>
      <c r="F133" s="34"/>
      <c r="G133" s="33">
        <v>0</v>
      </c>
      <c r="H133" s="33">
        <v>6</v>
      </c>
      <c r="I133" s="33">
        <v>-2</v>
      </c>
      <c r="J133" s="33">
        <v>-8</v>
      </c>
      <c r="K133" s="33">
        <v>3</v>
      </c>
      <c r="L133" s="33">
        <v>-10</v>
      </c>
      <c r="M133" s="33">
        <v>-6</v>
      </c>
      <c r="N133" s="33">
        <v>2</v>
      </c>
      <c r="O133" s="34"/>
      <c r="P133" s="34"/>
      <c r="Q133" s="34"/>
      <c r="R133" s="34"/>
      <c r="S133" s="34"/>
      <c r="T133" s="34"/>
      <c r="U133" s="34"/>
      <c r="V133" s="34"/>
      <c r="W133" s="34"/>
      <c r="X133" s="34"/>
      <c r="Y133" s="34"/>
    </row>
    <row r="134" spans="1:25" x14ac:dyDescent="0.25">
      <c r="A134" s="52"/>
      <c r="B134" s="32" t="s">
        <v>163</v>
      </c>
      <c r="E134" s="41"/>
      <c r="F134" s="41"/>
      <c r="G134" s="33">
        <v>-4</v>
      </c>
      <c r="H134" s="33">
        <v>-3</v>
      </c>
      <c r="I134" s="33">
        <v>2</v>
      </c>
      <c r="J134" s="33">
        <v>2</v>
      </c>
      <c r="K134" s="33">
        <v>-6</v>
      </c>
      <c r="L134" s="33">
        <v>0</v>
      </c>
      <c r="M134" s="33">
        <v>0</v>
      </c>
      <c r="N134" s="33">
        <v>0</v>
      </c>
      <c r="O134" s="41"/>
      <c r="P134" s="41"/>
      <c r="Q134" s="41"/>
      <c r="R134" s="41"/>
      <c r="S134" s="41"/>
      <c r="T134" s="41"/>
      <c r="U134" s="41"/>
      <c r="V134" s="41"/>
      <c r="W134" s="41"/>
      <c r="X134" s="41"/>
      <c r="Y134" s="41"/>
    </row>
    <row r="135" spans="1:25" x14ac:dyDescent="0.25">
      <c r="A135" s="52"/>
      <c r="B135" s="32" t="s">
        <v>483</v>
      </c>
      <c r="E135" s="41"/>
      <c r="F135" s="41"/>
      <c r="G135" s="33">
        <v>7</v>
      </c>
      <c r="H135" s="33">
        <v>7</v>
      </c>
      <c r="I135" s="33">
        <v>7</v>
      </c>
      <c r="J135" s="33">
        <v>-9</v>
      </c>
      <c r="K135" s="33">
        <v>-9</v>
      </c>
      <c r="L135" s="33">
        <v>-11</v>
      </c>
      <c r="M135" s="33">
        <v>-8</v>
      </c>
      <c r="N135" s="33">
        <v>-6</v>
      </c>
      <c r="O135" s="41"/>
      <c r="P135" s="41"/>
      <c r="Q135" s="41"/>
      <c r="R135" s="41"/>
      <c r="S135" s="41"/>
      <c r="T135" s="41"/>
      <c r="U135" s="41"/>
      <c r="V135" s="41"/>
      <c r="W135" s="41"/>
      <c r="X135" s="41"/>
      <c r="Y135" s="41"/>
    </row>
    <row r="136" spans="1:25" x14ac:dyDescent="0.25">
      <c r="A136" s="52"/>
      <c r="B136" s="38" t="s">
        <v>484</v>
      </c>
      <c r="E136" s="41"/>
      <c r="F136" s="41"/>
      <c r="G136" s="33">
        <v>6</v>
      </c>
      <c r="H136" s="33">
        <v>-5</v>
      </c>
      <c r="I136" s="33">
        <v>4</v>
      </c>
      <c r="J136" s="33">
        <v>-7</v>
      </c>
      <c r="K136" s="33">
        <v>-7</v>
      </c>
      <c r="L136" s="33">
        <v>-9</v>
      </c>
      <c r="M136" s="33">
        <v>-9</v>
      </c>
      <c r="N136" s="33">
        <v>0</v>
      </c>
      <c r="O136" s="41"/>
      <c r="P136" s="41"/>
      <c r="Q136" s="41"/>
      <c r="R136" s="41"/>
      <c r="S136" s="41"/>
      <c r="T136" s="41"/>
      <c r="U136" s="41"/>
      <c r="V136" s="41"/>
      <c r="W136" s="41"/>
      <c r="X136" s="41"/>
      <c r="Y136" s="41"/>
    </row>
    <row r="137" spans="1:25" x14ac:dyDescent="0.25">
      <c r="A137" s="52"/>
      <c r="B137" s="38" t="s">
        <v>137</v>
      </c>
      <c r="E137" s="41"/>
      <c r="F137" s="41"/>
      <c r="G137" s="33">
        <v>-3</v>
      </c>
      <c r="H137" s="33">
        <v>-2</v>
      </c>
      <c r="I137" s="33">
        <v>-5</v>
      </c>
      <c r="J137" s="33">
        <v>0</v>
      </c>
      <c r="K137" s="33">
        <v>1</v>
      </c>
      <c r="L137" s="33">
        <v>-1</v>
      </c>
      <c r="M137" s="33">
        <v>-2</v>
      </c>
      <c r="N137" s="33">
        <v>3</v>
      </c>
      <c r="O137" s="41"/>
      <c r="P137" s="41"/>
      <c r="Q137" s="41"/>
      <c r="R137" s="41"/>
      <c r="S137" s="41"/>
      <c r="T137" s="41"/>
      <c r="U137" s="41"/>
      <c r="V137" s="41"/>
      <c r="W137" s="41"/>
      <c r="X137" s="41"/>
      <c r="Y137" s="41"/>
    </row>
    <row r="138" spans="1:25" x14ac:dyDescent="0.25">
      <c r="A138" s="52"/>
      <c r="B138" s="32" t="s">
        <v>485</v>
      </c>
      <c r="E138" s="41"/>
      <c r="F138" s="41"/>
      <c r="G138" s="33">
        <v>0</v>
      </c>
      <c r="H138" s="33">
        <v>0</v>
      </c>
      <c r="I138" s="33">
        <v>6</v>
      </c>
      <c r="J138" s="33">
        <v>3</v>
      </c>
      <c r="K138" s="33">
        <v>6</v>
      </c>
      <c r="L138" s="33">
        <v>0</v>
      </c>
      <c r="M138" s="33">
        <v>0</v>
      </c>
      <c r="N138" s="33">
        <v>7</v>
      </c>
      <c r="O138" s="41"/>
      <c r="P138" s="41"/>
      <c r="Q138" s="41"/>
      <c r="R138" s="41"/>
      <c r="S138" s="41"/>
      <c r="T138" s="41"/>
      <c r="U138" s="41"/>
      <c r="V138" s="41"/>
      <c r="W138" s="41"/>
      <c r="X138" s="41"/>
      <c r="Y138" s="41"/>
    </row>
    <row r="139" spans="1:25" s="39" customFormat="1" x14ac:dyDescent="0.25">
      <c r="E139" s="40"/>
      <c r="F139" s="40"/>
      <c r="G139" s="40"/>
      <c r="H139" s="40"/>
      <c r="I139" s="40"/>
      <c r="J139" s="40"/>
      <c r="K139" s="40"/>
      <c r="L139" s="40"/>
      <c r="M139" s="40"/>
      <c r="N139" s="40"/>
      <c r="O139" s="40"/>
      <c r="P139" s="40"/>
      <c r="Q139" s="40"/>
      <c r="R139" s="40"/>
      <c r="S139" s="40"/>
      <c r="T139" s="40"/>
      <c r="U139" s="40"/>
      <c r="V139" s="40"/>
      <c r="W139" s="40"/>
      <c r="X139" s="40"/>
      <c r="Y139" s="40"/>
    </row>
    <row r="140" spans="1:25" x14ac:dyDescent="0.25">
      <c r="A140" s="52" t="s">
        <v>489</v>
      </c>
      <c r="B140" s="38" t="s">
        <v>482</v>
      </c>
      <c r="E140" s="41"/>
      <c r="F140" s="41"/>
      <c r="G140" s="33">
        <v>-5</v>
      </c>
      <c r="H140" s="33">
        <v>-5</v>
      </c>
      <c r="I140" s="33">
        <v>-6</v>
      </c>
      <c r="J140" s="33">
        <v>0</v>
      </c>
      <c r="K140" s="33">
        <v>-4</v>
      </c>
      <c r="L140" s="33">
        <v>0</v>
      </c>
      <c r="M140" s="33">
        <v>-1</v>
      </c>
      <c r="N140" s="41"/>
      <c r="O140" s="41"/>
      <c r="P140" s="41"/>
      <c r="Q140" s="41"/>
      <c r="R140" s="41"/>
      <c r="S140" s="41"/>
      <c r="T140" s="41"/>
      <c r="U140" s="41"/>
      <c r="V140" s="41"/>
      <c r="W140" s="41"/>
      <c r="X140" s="41"/>
      <c r="Y140" s="41"/>
    </row>
    <row r="141" spans="1:25" x14ac:dyDescent="0.25">
      <c r="A141" s="52"/>
      <c r="B141" s="32" t="s">
        <v>136</v>
      </c>
      <c r="C141" s="34"/>
      <c r="D141" s="34"/>
      <c r="E141" s="41"/>
      <c r="F141" s="41"/>
      <c r="G141" s="33">
        <v>1</v>
      </c>
      <c r="H141" s="33">
        <v>1</v>
      </c>
      <c r="I141" s="33">
        <v>3</v>
      </c>
      <c r="J141" s="33">
        <v>5</v>
      </c>
      <c r="K141" s="33">
        <v>4</v>
      </c>
      <c r="L141" s="33">
        <v>1</v>
      </c>
      <c r="M141" s="33">
        <v>8</v>
      </c>
      <c r="N141" s="41"/>
      <c r="O141" s="41"/>
      <c r="P141" s="41"/>
      <c r="Q141" s="41"/>
      <c r="R141" s="41"/>
      <c r="S141" s="41"/>
      <c r="T141" s="41"/>
      <c r="U141" s="41"/>
      <c r="V141" s="41"/>
      <c r="W141" s="41"/>
      <c r="X141" s="41"/>
      <c r="Y141" s="41"/>
    </row>
    <row r="142" spans="1:25" x14ac:dyDescent="0.25">
      <c r="A142" s="52"/>
      <c r="B142" s="32" t="s">
        <v>134</v>
      </c>
      <c r="C142" s="34"/>
      <c r="D142" s="34"/>
      <c r="E142" s="34"/>
      <c r="F142" s="34"/>
      <c r="G142" s="33">
        <v>5</v>
      </c>
      <c r="H142" s="33">
        <v>2</v>
      </c>
      <c r="I142" s="33">
        <v>-1</v>
      </c>
      <c r="J142" s="33">
        <v>2</v>
      </c>
      <c r="K142" s="33">
        <v>3</v>
      </c>
      <c r="L142" s="33">
        <v>3</v>
      </c>
      <c r="M142" s="33">
        <v>4</v>
      </c>
      <c r="N142" s="34"/>
      <c r="O142" s="34"/>
      <c r="P142" s="34"/>
      <c r="Q142" s="34"/>
      <c r="R142" s="34"/>
      <c r="S142" s="34"/>
      <c r="T142" s="34"/>
      <c r="U142" s="34"/>
      <c r="V142" s="34"/>
      <c r="W142" s="34"/>
      <c r="X142" s="34"/>
      <c r="Y142" s="34"/>
    </row>
    <row r="143" spans="1:25" x14ac:dyDescent="0.25">
      <c r="A143" s="52"/>
      <c r="B143" s="38" t="s">
        <v>152</v>
      </c>
      <c r="C143" s="34"/>
      <c r="D143" s="34"/>
      <c r="E143" s="34"/>
      <c r="F143" s="34"/>
      <c r="G143" s="33">
        <v>-3</v>
      </c>
      <c r="H143" s="33">
        <v>-2</v>
      </c>
      <c r="I143" s="33">
        <v>-3</v>
      </c>
      <c r="J143" s="33">
        <v>-2</v>
      </c>
      <c r="K143" s="33">
        <v>0</v>
      </c>
      <c r="L143" s="33">
        <v>5</v>
      </c>
      <c r="M143" s="33">
        <v>7</v>
      </c>
      <c r="N143" s="34"/>
      <c r="O143" s="34"/>
      <c r="P143" s="34"/>
      <c r="Q143" s="34"/>
      <c r="R143" s="34"/>
      <c r="S143" s="34"/>
      <c r="T143" s="34"/>
      <c r="U143" s="34"/>
      <c r="V143" s="34"/>
      <c r="W143" s="34"/>
      <c r="X143" s="34"/>
      <c r="Y143" s="34"/>
    </row>
    <row r="144" spans="1:25" x14ac:dyDescent="0.25">
      <c r="A144" s="52"/>
      <c r="B144" s="32" t="s">
        <v>144</v>
      </c>
      <c r="C144" s="34"/>
      <c r="D144" s="34"/>
      <c r="E144" s="34"/>
      <c r="F144" s="34"/>
      <c r="G144" s="33">
        <v>2</v>
      </c>
      <c r="H144" s="33">
        <v>4</v>
      </c>
      <c r="I144" s="33">
        <v>1</v>
      </c>
      <c r="J144" s="33">
        <v>-1</v>
      </c>
      <c r="K144" s="33">
        <v>2</v>
      </c>
      <c r="L144" s="33">
        <v>7</v>
      </c>
      <c r="M144" s="33">
        <v>10</v>
      </c>
      <c r="N144" s="34"/>
      <c r="O144" s="34"/>
      <c r="P144" s="34"/>
      <c r="Q144" s="34"/>
      <c r="R144" s="34"/>
      <c r="S144" s="34"/>
      <c r="T144" s="34"/>
      <c r="U144" s="34"/>
      <c r="V144" s="34"/>
      <c r="W144" s="34"/>
      <c r="X144" s="34"/>
      <c r="Y144" s="34"/>
    </row>
    <row r="145" spans="1:25" x14ac:dyDescent="0.25">
      <c r="A145" s="52"/>
      <c r="B145" s="32" t="s">
        <v>140</v>
      </c>
      <c r="C145" s="34"/>
      <c r="D145" s="34"/>
      <c r="E145" s="34"/>
      <c r="F145" s="34"/>
      <c r="G145" s="33">
        <v>7</v>
      </c>
      <c r="H145" s="33">
        <v>5</v>
      </c>
      <c r="I145" s="33">
        <v>4</v>
      </c>
      <c r="J145" s="33">
        <v>1</v>
      </c>
      <c r="K145" s="33">
        <v>0</v>
      </c>
      <c r="L145" s="33">
        <v>4</v>
      </c>
      <c r="M145" s="33">
        <v>5</v>
      </c>
      <c r="N145" s="34"/>
      <c r="O145" s="34"/>
      <c r="P145" s="34"/>
      <c r="Q145" s="34"/>
      <c r="R145" s="34"/>
      <c r="S145" s="34"/>
      <c r="T145" s="34"/>
      <c r="U145" s="34"/>
      <c r="V145" s="34"/>
      <c r="W145" s="34"/>
      <c r="X145" s="34"/>
      <c r="Y145" s="34"/>
    </row>
    <row r="146" spans="1:25" x14ac:dyDescent="0.25">
      <c r="A146" s="52"/>
      <c r="B146" s="32" t="s">
        <v>146</v>
      </c>
      <c r="C146" s="34"/>
      <c r="D146" s="34"/>
      <c r="E146" s="34"/>
      <c r="F146" s="34"/>
      <c r="G146" s="33">
        <v>8</v>
      </c>
      <c r="H146" s="33">
        <v>0</v>
      </c>
      <c r="I146" s="33">
        <v>0</v>
      </c>
      <c r="J146" s="33">
        <v>0</v>
      </c>
      <c r="K146" s="33">
        <v>-2</v>
      </c>
      <c r="L146" s="33">
        <v>0</v>
      </c>
      <c r="M146" s="33">
        <v>0</v>
      </c>
      <c r="N146" s="34"/>
      <c r="O146" s="34"/>
      <c r="P146" s="34"/>
      <c r="Q146" s="34"/>
      <c r="R146" s="34"/>
      <c r="S146" s="34"/>
      <c r="T146" s="34"/>
      <c r="U146" s="34"/>
      <c r="V146" s="34"/>
      <c r="W146" s="34"/>
      <c r="X146" s="34"/>
      <c r="Y146" s="34"/>
    </row>
    <row r="147" spans="1:25" x14ac:dyDescent="0.25">
      <c r="A147" s="52"/>
      <c r="B147" s="38" t="s">
        <v>142</v>
      </c>
      <c r="C147" s="34"/>
      <c r="D147" s="34"/>
      <c r="E147" s="34"/>
      <c r="F147" s="34"/>
      <c r="G147" s="33">
        <v>3</v>
      </c>
      <c r="H147" s="33">
        <v>7</v>
      </c>
      <c r="I147" s="33">
        <v>7</v>
      </c>
      <c r="J147" s="33">
        <v>3</v>
      </c>
      <c r="K147" s="33">
        <v>5</v>
      </c>
      <c r="L147" s="33">
        <v>2</v>
      </c>
      <c r="M147" s="33">
        <v>2</v>
      </c>
      <c r="N147" s="34"/>
      <c r="O147" s="34"/>
      <c r="P147" s="34"/>
      <c r="Q147" s="34"/>
      <c r="R147" s="34"/>
      <c r="S147" s="34"/>
      <c r="T147" s="34"/>
      <c r="U147" s="34"/>
      <c r="V147" s="34"/>
      <c r="W147" s="34"/>
      <c r="X147" s="34"/>
      <c r="Y147" s="34"/>
    </row>
    <row r="148" spans="1:25" x14ac:dyDescent="0.25">
      <c r="A148" s="52"/>
      <c r="B148" s="38" t="s">
        <v>150</v>
      </c>
      <c r="C148" s="34"/>
      <c r="D148" s="34"/>
      <c r="E148" s="34"/>
      <c r="F148" s="34"/>
      <c r="G148" s="33">
        <v>-2</v>
      </c>
      <c r="H148" s="33">
        <v>-3</v>
      </c>
      <c r="I148" s="33">
        <v>-2</v>
      </c>
      <c r="J148" s="33">
        <v>-3</v>
      </c>
      <c r="K148" s="33">
        <v>-1</v>
      </c>
      <c r="L148" s="33">
        <v>0</v>
      </c>
      <c r="M148" s="33">
        <v>1</v>
      </c>
      <c r="N148" s="34"/>
      <c r="O148" s="34"/>
      <c r="P148" s="34"/>
      <c r="Q148" s="34"/>
      <c r="R148" s="34"/>
      <c r="S148" s="34"/>
      <c r="T148" s="34"/>
      <c r="U148" s="34"/>
      <c r="V148" s="34"/>
      <c r="W148" s="34"/>
      <c r="X148" s="34"/>
      <c r="Y148" s="34"/>
    </row>
    <row r="149" spans="1:25" x14ac:dyDescent="0.25">
      <c r="A149" s="52"/>
      <c r="B149" s="38" t="s">
        <v>202</v>
      </c>
      <c r="C149" s="34"/>
      <c r="D149" s="34"/>
      <c r="E149" s="34"/>
      <c r="F149" s="34"/>
      <c r="G149" s="33">
        <v>-4</v>
      </c>
      <c r="H149" s="33">
        <v>-4</v>
      </c>
      <c r="I149" s="33">
        <v>-5</v>
      </c>
      <c r="J149" s="33">
        <v>-5</v>
      </c>
      <c r="K149" s="33">
        <v>-5</v>
      </c>
      <c r="L149" s="33">
        <v>8</v>
      </c>
      <c r="M149" s="33">
        <v>0</v>
      </c>
      <c r="N149" s="34"/>
      <c r="O149" s="34"/>
      <c r="P149" s="34"/>
      <c r="Q149" s="34"/>
      <c r="R149" s="34"/>
      <c r="S149" s="34"/>
      <c r="T149" s="34"/>
      <c r="U149" s="34"/>
      <c r="V149" s="34"/>
      <c r="W149" s="34"/>
      <c r="X149" s="34"/>
      <c r="Y149" s="34"/>
    </row>
    <row r="150" spans="1:25" x14ac:dyDescent="0.25">
      <c r="A150" s="52"/>
      <c r="B150" s="32" t="s">
        <v>203</v>
      </c>
      <c r="C150" s="34"/>
      <c r="D150" s="34"/>
      <c r="E150" s="34"/>
      <c r="F150" s="34"/>
      <c r="G150" s="33">
        <v>4</v>
      </c>
      <c r="H150" s="33">
        <v>-1</v>
      </c>
      <c r="I150" s="33">
        <v>0</v>
      </c>
      <c r="J150" s="33">
        <v>0</v>
      </c>
      <c r="K150" s="33">
        <v>0</v>
      </c>
      <c r="L150" s="33">
        <v>0</v>
      </c>
      <c r="M150" s="33">
        <v>0</v>
      </c>
      <c r="N150" s="34"/>
      <c r="O150" s="34"/>
      <c r="P150" s="34"/>
      <c r="Q150" s="34"/>
      <c r="R150" s="34"/>
      <c r="S150" s="34"/>
      <c r="T150" s="34"/>
      <c r="U150" s="34"/>
      <c r="V150" s="34"/>
      <c r="W150" s="34"/>
      <c r="X150" s="34"/>
      <c r="Y150" s="34"/>
    </row>
    <row r="151" spans="1:25" x14ac:dyDescent="0.25">
      <c r="A151" s="52"/>
      <c r="B151" s="32" t="s">
        <v>201</v>
      </c>
      <c r="C151" s="34"/>
      <c r="D151" s="34"/>
      <c r="E151" s="34"/>
      <c r="F151" s="34"/>
      <c r="G151" s="33">
        <v>0</v>
      </c>
      <c r="H151" s="33">
        <v>0</v>
      </c>
      <c r="I151" s="33">
        <v>5</v>
      </c>
      <c r="J151" s="33">
        <v>8</v>
      </c>
      <c r="K151" s="33">
        <v>0</v>
      </c>
      <c r="L151" s="33">
        <v>0</v>
      </c>
      <c r="M151" s="33">
        <v>0</v>
      </c>
      <c r="N151" s="34"/>
      <c r="O151" s="34"/>
      <c r="P151" s="34"/>
      <c r="Q151" s="34"/>
      <c r="R151" s="34"/>
      <c r="S151" s="34"/>
      <c r="T151" s="34"/>
      <c r="U151" s="34"/>
      <c r="V151" s="34"/>
      <c r="W151" s="34"/>
      <c r="X151" s="34"/>
      <c r="Y151" s="34"/>
    </row>
    <row r="152" spans="1:25" x14ac:dyDescent="0.25">
      <c r="A152" s="52"/>
      <c r="B152" s="32" t="s">
        <v>148</v>
      </c>
      <c r="E152" s="41"/>
      <c r="F152" s="41"/>
      <c r="G152" s="33">
        <v>0</v>
      </c>
      <c r="H152" s="33">
        <v>8</v>
      </c>
      <c r="I152" s="33">
        <v>6</v>
      </c>
      <c r="J152" s="33">
        <v>7</v>
      </c>
      <c r="K152" s="33">
        <v>0</v>
      </c>
      <c r="L152" s="33">
        <v>6</v>
      </c>
      <c r="M152" s="33">
        <v>9</v>
      </c>
      <c r="N152" s="41"/>
      <c r="O152" s="41"/>
      <c r="P152" s="41"/>
      <c r="Q152" s="41"/>
      <c r="R152" s="41"/>
      <c r="S152" s="41"/>
      <c r="T152" s="41"/>
      <c r="U152" s="41"/>
      <c r="V152" s="41"/>
      <c r="W152" s="41"/>
      <c r="X152" s="41"/>
      <c r="Y152" s="41"/>
    </row>
    <row r="153" spans="1:25" x14ac:dyDescent="0.25">
      <c r="A153" s="52"/>
      <c r="B153" s="32" t="s">
        <v>163</v>
      </c>
      <c r="E153" s="41"/>
      <c r="F153" s="41"/>
      <c r="G153" s="33">
        <v>-1</v>
      </c>
      <c r="H153" s="33">
        <v>3</v>
      </c>
      <c r="I153" s="33">
        <v>-4</v>
      </c>
      <c r="J153" s="33">
        <v>6</v>
      </c>
      <c r="K153" s="33">
        <v>-3</v>
      </c>
      <c r="L153" s="33">
        <v>9</v>
      </c>
      <c r="M153" s="33">
        <v>6</v>
      </c>
      <c r="N153" s="41"/>
      <c r="O153" s="41"/>
      <c r="P153" s="41"/>
      <c r="Q153" s="41"/>
      <c r="R153" s="41"/>
      <c r="S153" s="41"/>
      <c r="T153" s="41"/>
      <c r="U153" s="41"/>
      <c r="V153" s="41"/>
      <c r="W153" s="41"/>
      <c r="X153" s="41"/>
      <c r="Y153" s="41"/>
    </row>
    <row r="154" spans="1:25" x14ac:dyDescent="0.25">
      <c r="A154" s="52"/>
      <c r="B154" s="32" t="s">
        <v>483</v>
      </c>
      <c r="E154" s="41"/>
      <c r="F154" s="41"/>
      <c r="G154" s="33">
        <v>0</v>
      </c>
      <c r="H154" s="33">
        <v>0</v>
      </c>
      <c r="I154" s="33">
        <v>0</v>
      </c>
      <c r="J154" s="33">
        <v>0</v>
      </c>
      <c r="K154" s="33">
        <v>0</v>
      </c>
      <c r="L154" s="33">
        <v>0</v>
      </c>
      <c r="M154" s="33">
        <v>0</v>
      </c>
      <c r="N154" s="41"/>
      <c r="O154" s="41"/>
      <c r="P154" s="41"/>
      <c r="Q154" s="41"/>
      <c r="R154" s="41"/>
      <c r="S154" s="41"/>
      <c r="T154" s="41"/>
      <c r="U154" s="41"/>
      <c r="V154" s="41"/>
      <c r="W154" s="41"/>
      <c r="X154" s="41"/>
      <c r="Y154" s="41"/>
    </row>
    <row r="155" spans="1:25" x14ac:dyDescent="0.25">
      <c r="A155" s="52"/>
      <c r="B155" s="38" t="s">
        <v>484</v>
      </c>
      <c r="E155" s="41"/>
      <c r="F155" s="41"/>
      <c r="G155" s="33">
        <v>0</v>
      </c>
      <c r="H155" s="33">
        <v>9</v>
      </c>
      <c r="I155" s="33">
        <v>8</v>
      </c>
      <c r="J155" s="33">
        <v>-4</v>
      </c>
      <c r="K155" s="33">
        <v>0</v>
      </c>
      <c r="L155" s="33">
        <v>10</v>
      </c>
      <c r="M155" s="33">
        <v>0</v>
      </c>
      <c r="N155" s="41"/>
      <c r="O155" s="41"/>
      <c r="P155" s="41"/>
      <c r="Q155" s="41"/>
      <c r="R155" s="41"/>
      <c r="S155" s="41"/>
      <c r="T155" s="41"/>
      <c r="U155" s="41"/>
      <c r="V155" s="41"/>
      <c r="W155" s="41"/>
      <c r="X155" s="41"/>
      <c r="Y155" s="41"/>
    </row>
    <row r="156" spans="1:25" x14ac:dyDescent="0.25">
      <c r="A156" s="52"/>
      <c r="B156" s="38" t="s">
        <v>137</v>
      </c>
      <c r="E156" s="41"/>
      <c r="F156" s="41"/>
      <c r="G156" s="33">
        <v>6</v>
      </c>
      <c r="H156" s="33">
        <v>6</v>
      </c>
      <c r="I156" s="33">
        <v>2</v>
      </c>
      <c r="J156" s="33">
        <v>4</v>
      </c>
      <c r="K156" s="33">
        <v>1</v>
      </c>
      <c r="L156" s="33">
        <v>0</v>
      </c>
      <c r="M156" s="33">
        <v>3</v>
      </c>
      <c r="N156" s="41"/>
      <c r="O156" s="41"/>
      <c r="P156" s="41"/>
      <c r="Q156" s="41"/>
      <c r="R156" s="41"/>
      <c r="S156" s="41"/>
      <c r="T156" s="41"/>
      <c r="U156" s="41"/>
      <c r="V156" s="41"/>
      <c r="W156" s="41"/>
      <c r="X156" s="41"/>
      <c r="Y156" s="41"/>
    </row>
    <row r="157" spans="1:25" x14ac:dyDescent="0.25">
      <c r="A157" s="52"/>
      <c r="B157" s="32" t="s">
        <v>485</v>
      </c>
      <c r="E157" s="41"/>
      <c r="F157" s="41"/>
      <c r="G157" s="33">
        <v>9</v>
      </c>
      <c r="H157" s="33">
        <v>10</v>
      </c>
      <c r="I157" s="33">
        <v>9</v>
      </c>
      <c r="J157" s="33">
        <v>9</v>
      </c>
      <c r="K157" s="33">
        <v>6</v>
      </c>
      <c r="L157" s="33">
        <v>11</v>
      </c>
      <c r="M157" s="33">
        <v>11</v>
      </c>
      <c r="N157" s="41"/>
      <c r="O157" s="41"/>
      <c r="P157" s="41"/>
      <c r="Q157" s="41"/>
      <c r="R157" s="41"/>
      <c r="S157" s="41"/>
      <c r="T157" s="41"/>
      <c r="U157" s="41"/>
      <c r="V157" s="41"/>
      <c r="W157" s="41"/>
      <c r="X157" s="41"/>
      <c r="Y157" s="41"/>
    </row>
    <row r="158" spans="1:25" s="39" customFormat="1" x14ac:dyDescent="0.25">
      <c r="E158" s="40"/>
      <c r="F158" s="40"/>
      <c r="G158" s="40"/>
      <c r="H158" s="40"/>
      <c r="I158" s="40"/>
      <c r="J158" s="40"/>
      <c r="K158" s="40"/>
      <c r="L158" s="40"/>
      <c r="M158" s="40"/>
      <c r="N158" s="40"/>
      <c r="O158" s="40"/>
      <c r="P158" s="40"/>
      <c r="Q158" s="40"/>
      <c r="R158" s="40"/>
      <c r="S158" s="40"/>
      <c r="T158" s="40"/>
      <c r="U158" s="40"/>
      <c r="V158" s="40"/>
      <c r="W158" s="40"/>
      <c r="X158" s="40"/>
      <c r="Y158" s="40"/>
    </row>
    <row r="159" spans="1:25" x14ac:dyDescent="0.25">
      <c r="A159" s="51" t="s">
        <v>478</v>
      </c>
      <c r="B159" s="38" t="s">
        <v>482</v>
      </c>
      <c r="D159" s="33">
        <f>IF(COUNTIF(I159:N159,"&gt;0")=0,(COUNTIF(I159:N159,"&lt;0")*-1),COUNTIF(I159:N159,"&gt;0"))</f>
        <v>5</v>
      </c>
      <c r="E159" s="41"/>
      <c r="F159" s="41"/>
      <c r="G159" s="33">
        <v>8</v>
      </c>
      <c r="H159" s="33">
        <v>0</v>
      </c>
      <c r="I159" s="33">
        <v>10</v>
      </c>
      <c r="J159" s="33">
        <v>12</v>
      </c>
      <c r="K159" s="33">
        <v>8</v>
      </c>
      <c r="L159" s="33">
        <v>12</v>
      </c>
      <c r="M159" s="33">
        <v>8</v>
      </c>
      <c r="N159" s="33">
        <v>0</v>
      </c>
      <c r="O159" s="41"/>
      <c r="P159" s="41"/>
      <c r="Q159" s="41"/>
      <c r="R159" s="41"/>
      <c r="S159" s="41"/>
      <c r="T159" s="41"/>
      <c r="U159" s="41"/>
      <c r="V159" s="41"/>
      <c r="W159" s="41"/>
      <c r="X159" s="41"/>
      <c r="Y159" s="41"/>
    </row>
    <row r="160" spans="1:25" x14ac:dyDescent="0.25">
      <c r="A160" s="51"/>
      <c r="B160" s="32" t="s">
        <v>136</v>
      </c>
      <c r="C160" s="34"/>
      <c r="D160" s="33">
        <f t="shared" ref="D160:D176" si="200">IF(COUNTIF(I160:N160,"&gt;0")=0,(COUNTIF(I160:N160,"&lt;0")*-1),COUNTIF(I160:N160,"&gt;0"))</f>
        <v>5</v>
      </c>
      <c r="E160" s="34"/>
      <c r="F160" s="34"/>
      <c r="G160" s="33">
        <v>2</v>
      </c>
      <c r="H160" s="33">
        <v>3</v>
      </c>
      <c r="I160" s="33">
        <v>2</v>
      </c>
      <c r="J160" s="33">
        <v>4</v>
      </c>
      <c r="K160" s="33">
        <v>4</v>
      </c>
      <c r="L160" s="33">
        <v>2</v>
      </c>
      <c r="M160" s="33">
        <v>1</v>
      </c>
      <c r="N160" s="33">
        <v>-1</v>
      </c>
      <c r="O160" s="34"/>
      <c r="P160" s="34"/>
      <c r="Q160" s="34"/>
      <c r="R160" s="34"/>
      <c r="S160" s="34"/>
      <c r="T160" s="34"/>
      <c r="U160" s="34"/>
      <c r="V160" s="34"/>
      <c r="W160" s="34"/>
      <c r="X160" s="34"/>
      <c r="Y160" s="34"/>
    </row>
    <row r="161" spans="1:25" x14ac:dyDescent="0.25">
      <c r="A161" s="51"/>
      <c r="B161" s="32" t="s">
        <v>134</v>
      </c>
      <c r="C161" s="34"/>
      <c r="D161" s="33">
        <f t="shared" si="200"/>
        <v>-6</v>
      </c>
      <c r="E161" s="34"/>
      <c r="F161" s="34"/>
      <c r="G161" s="33">
        <v>-2</v>
      </c>
      <c r="H161" s="33">
        <v>1</v>
      </c>
      <c r="I161" s="33">
        <v>-3</v>
      </c>
      <c r="J161" s="33">
        <v>-1</v>
      </c>
      <c r="K161" s="33">
        <v>-1</v>
      </c>
      <c r="L161" s="33">
        <v>-2</v>
      </c>
      <c r="M161" s="33">
        <v>-1</v>
      </c>
      <c r="N161" s="33">
        <v>-4</v>
      </c>
      <c r="O161" s="34"/>
      <c r="P161" s="34"/>
      <c r="Q161" s="34"/>
      <c r="R161" s="34"/>
      <c r="S161" s="34"/>
      <c r="T161" s="34"/>
      <c r="U161" s="34"/>
      <c r="V161" s="34"/>
      <c r="W161" s="34"/>
      <c r="X161" s="34"/>
      <c r="Y161" s="34"/>
    </row>
    <row r="162" spans="1:25" x14ac:dyDescent="0.25">
      <c r="A162" s="51"/>
      <c r="B162" s="38" t="s">
        <v>152</v>
      </c>
      <c r="C162" s="34"/>
      <c r="D162" s="33">
        <f t="shared" si="200"/>
        <v>5</v>
      </c>
      <c r="E162" s="34"/>
      <c r="F162" s="34"/>
      <c r="G162" s="33">
        <v>3</v>
      </c>
      <c r="H162" s="33">
        <v>0</v>
      </c>
      <c r="I162" s="33">
        <v>3</v>
      </c>
      <c r="J162" s="33">
        <v>2</v>
      </c>
      <c r="K162" s="33">
        <v>2</v>
      </c>
      <c r="L162" s="33">
        <v>4</v>
      </c>
      <c r="M162" s="33">
        <v>2</v>
      </c>
      <c r="N162" s="33">
        <v>0</v>
      </c>
      <c r="O162" s="34"/>
      <c r="P162" s="34"/>
      <c r="Q162" s="34"/>
      <c r="R162" s="34"/>
      <c r="S162" s="34"/>
      <c r="T162" s="34"/>
      <c r="U162" s="34"/>
      <c r="V162" s="34"/>
      <c r="W162" s="34"/>
      <c r="X162" s="34"/>
      <c r="Y162" s="34"/>
    </row>
    <row r="163" spans="1:25" x14ac:dyDescent="0.25">
      <c r="A163" s="51"/>
      <c r="B163" s="32" t="s">
        <v>144</v>
      </c>
      <c r="C163" s="34"/>
      <c r="D163" s="33">
        <f t="shared" si="200"/>
        <v>3</v>
      </c>
      <c r="E163" s="34"/>
      <c r="F163" s="34"/>
      <c r="G163" s="33">
        <v>9</v>
      </c>
      <c r="H163" s="33">
        <v>6</v>
      </c>
      <c r="I163" s="33">
        <v>-2</v>
      </c>
      <c r="J163" s="33">
        <v>8</v>
      </c>
      <c r="K163" s="33">
        <v>10</v>
      </c>
      <c r="L163" s="33">
        <v>1</v>
      </c>
      <c r="M163" s="33">
        <v>-4</v>
      </c>
      <c r="N163" s="33">
        <v>-8</v>
      </c>
      <c r="O163" s="34"/>
      <c r="P163" s="34"/>
      <c r="Q163" s="34"/>
      <c r="R163" s="34"/>
      <c r="S163" s="34"/>
      <c r="T163" s="34"/>
      <c r="U163" s="34"/>
      <c r="V163" s="34"/>
      <c r="W163" s="34"/>
      <c r="X163" s="34"/>
      <c r="Y163" s="34"/>
    </row>
    <row r="164" spans="1:25" x14ac:dyDescent="0.25">
      <c r="A164" s="51"/>
      <c r="B164" s="32" t="s">
        <v>140</v>
      </c>
      <c r="C164" s="34"/>
      <c r="D164" s="33">
        <f t="shared" si="200"/>
        <v>1</v>
      </c>
      <c r="E164" s="34"/>
      <c r="F164" s="34"/>
      <c r="G164" s="33">
        <v>-5</v>
      </c>
      <c r="H164" s="33">
        <v>-3</v>
      </c>
      <c r="I164" s="33">
        <v>4</v>
      </c>
      <c r="J164" s="33">
        <v>-2</v>
      </c>
      <c r="K164" s="33">
        <v>-4</v>
      </c>
      <c r="L164" s="33">
        <v>0</v>
      </c>
      <c r="M164" s="33">
        <v>-3</v>
      </c>
      <c r="N164" s="33">
        <v>0</v>
      </c>
      <c r="O164" s="34"/>
      <c r="P164" s="34"/>
      <c r="Q164" s="34"/>
      <c r="R164" s="34"/>
      <c r="S164" s="34"/>
      <c r="T164" s="34"/>
      <c r="U164" s="34"/>
      <c r="V164" s="34"/>
      <c r="W164" s="34"/>
      <c r="X164" s="34"/>
      <c r="Y164" s="34"/>
    </row>
    <row r="165" spans="1:25" x14ac:dyDescent="0.25">
      <c r="A165" s="51"/>
      <c r="B165" s="32" t="s">
        <v>146</v>
      </c>
      <c r="C165" s="34"/>
      <c r="D165" s="33">
        <f t="shared" si="200"/>
        <v>5</v>
      </c>
      <c r="E165" s="34"/>
      <c r="F165" s="34"/>
      <c r="G165" s="33">
        <v>-6</v>
      </c>
      <c r="H165" s="33">
        <v>7</v>
      </c>
      <c r="I165" s="33">
        <v>7</v>
      </c>
      <c r="J165" s="33">
        <v>11</v>
      </c>
      <c r="K165" s="33">
        <v>9</v>
      </c>
      <c r="L165" s="33">
        <v>10</v>
      </c>
      <c r="M165" s="33">
        <v>0</v>
      </c>
      <c r="N165" s="33">
        <v>2</v>
      </c>
      <c r="O165" s="34"/>
      <c r="P165" s="34"/>
      <c r="Q165" s="34"/>
      <c r="R165" s="34"/>
      <c r="S165" s="34"/>
      <c r="T165" s="34"/>
      <c r="U165" s="34"/>
      <c r="V165" s="34"/>
      <c r="W165" s="34"/>
      <c r="X165" s="34"/>
      <c r="Y165" s="34"/>
    </row>
    <row r="166" spans="1:25" x14ac:dyDescent="0.25">
      <c r="A166" s="51"/>
      <c r="B166" s="38" t="s">
        <v>142</v>
      </c>
      <c r="C166" s="34"/>
      <c r="D166" s="33">
        <f t="shared" si="200"/>
        <v>5</v>
      </c>
      <c r="E166" s="34"/>
      <c r="F166" s="34"/>
      <c r="G166" s="33">
        <v>1</v>
      </c>
      <c r="H166" s="33">
        <v>4</v>
      </c>
      <c r="I166" s="33">
        <v>1</v>
      </c>
      <c r="J166" s="33">
        <v>3</v>
      </c>
      <c r="K166" s="33">
        <v>3</v>
      </c>
      <c r="L166" s="33">
        <v>3</v>
      </c>
      <c r="M166" s="33">
        <v>5</v>
      </c>
      <c r="N166" s="33">
        <v>-2</v>
      </c>
      <c r="O166" s="34"/>
      <c r="P166" s="34"/>
      <c r="Q166" s="34"/>
      <c r="R166" s="34"/>
      <c r="S166" s="34"/>
      <c r="T166" s="34"/>
      <c r="U166" s="34"/>
      <c r="V166" s="34"/>
      <c r="W166" s="34"/>
      <c r="X166" s="34"/>
      <c r="Y166" s="34"/>
    </row>
    <row r="167" spans="1:25" x14ac:dyDescent="0.25">
      <c r="A167" s="51"/>
      <c r="B167" s="38" t="s">
        <v>150</v>
      </c>
      <c r="C167" s="34"/>
      <c r="D167" s="33">
        <f t="shared" si="200"/>
        <v>-5</v>
      </c>
      <c r="E167" s="34"/>
      <c r="F167" s="34"/>
      <c r="G167" s="33">
        <v>0</v>
      </c>
      <c r="H167" s="33">
        <v>-1</v>
      </c>
      <c r="I167" s="33">
        <v>-1</v>
      </c>
      <c r="J167" s="33">
        <v>-3</v>
      </c>
      <c r="K167" s="33">
        <v>-2</v>
      </c>
      <c r="L167" s="33">
        <v>-1</v>
      </c>
      <c r="M167" s="33">
        <v>0</v>
      </c>
      <c r="N167" s="33">
        <v>-3</v>
      </c>
      <c r="O167" s="34"/>
      <c r="P167" s="34"/>
      <c r="Q167" s="34"/>
      <c r="R167" s="34"/>
      <c r="S167" s="34"/>
      <c r="T167" s="34"/>
      <c r="U167" s="34"/>
      <c r="V167" s="34"/>
      <c r="W167" s="34"/>
      <c r="X167" s="34"/>
      <c r="Y167" s="34"/>
    </row>
    <row r="168" spans="1:25" x14ac:dyDescent="0.25">
      <c r="A168" s="51"/>
      <c r="B168" s="38" t="s">
        <v>202</v>
      </c>
      <c r="C168" s="34"/>
      <c r="D168" s="33">
        <f t="shared" si="200"/>
        <v>3</v>
      </c>
      <c r="E168" s="34"/>
      <c r="F168" s="34"/>
      <c r="G168" s="33">
        <v>-4</v>
      </c>
      <c r="H168" s="33">
        <v>0</v>
      </c>
      <c r="I168" s="33">
        <v>0</v>
      </c>
      <c r="J168" s="33">
        <v>7</v>
      </c>
      <c r="K168" s="33">
        <v>5</v>
      </c>
      <c r="L168" s="33">
        <v>0</v>
      </c>
      <c r="M168" s="33">
        <v>4</v>
      </c>
      <c r="N168" s="33">
        <v>-6</v>
      </c>
      <c r="O168" s="34"/>
      <c r="P168" s="34"/>
      <c r="Q168" s="34"/>
      <c r="R168" s="34"/>
      <c r="S168" s="34"/>
      <c r="T168" s="34"/>
      <c r="U168" s="34"/>
      <c r="V168" s="34"/>
      <c r="W168" s="34"/>
      <c r="X168" s="34"/>
      <c r="Y168" s="34"/>
    </row>
    <row r="169" spans="1:25" x14ac:dyDescent="0.25">
      <c r="A169" s="51"/>
      <c r="B169" s="32" t="s">
        <v>203</v>
      </c>
      <c r="C169" s="34"/>
      <c r="D169" s="33">
        <f t="shared" si="200"/>
        <v>6</v>
      </c>
      <c r="E169" s="34"/>
      <c r="F169" s="34"/>
      <c r="G169" s="33">
        <v>7</v>
      </c>
      <c r="H169" s="33">
        <v>9</v>
      </c>
      <c r="I169" s="33">
        <v>9</v>
      </c>
      <c r="J169" s="33">
        <v>10</v>
      </c>
      <c r="K169" s="33">
        <v>7</v>
      </c>
      <c r="L169" s="33">
        <v>7</v>
      </c>
      <c r="M169" s="33">
        <v>3</v>
      </c>
      <c r="N169" s="33">
        <v>3</v>
      </c>
      <c r="O169" s="34"/>
      <c r="P169" s="34"/>
      <c r="Q169" s="34"/>
      <c r="R169" s="34"/>
      <c r="S169" s="34"/>
      <c r="T169" s="34"/>
      <c r="U169" s="34"/>
      <c r="V169" s="34"/>
      <c r="W169" s="34"/>
      <c r="X169" s="34"/>
      <c r="Y169" s="34"/>
    </row>
    <row r="170" spans="1:25" x14ac:dyDescent="0.25">
      <c r="A170" s="51"/>
      <c r="B170" s="32" t="s">
        <v>201</v>
      </c>
      <c r="C170" s="34"/>
      <c r="D170" s="33">
        <f t="shared" si="200"/>
        <v>2</v>
      </c>
      <c r="E170" s="41"/>
      <c r="F170" s="41"/>
      <c r="G170" s="33">
        <v>4</v>
      </c>
      <c r="H170" s="33">
        <v>-2</v>
      </c>
      <c r="I170" s="33">
        <v>8</v>
      </c>
      <c r="J170" s="33">
        <v>-5</v>
      </c>
      <c r="K170" s="33">
        <v>-3</v>
      </c>
      <c r="L170" s="33">
        <v>6</v>
      </c>
      <c r="M170" s="33">
        <v>0</v>
      </c>
      <c r="N170" s="33">
        <v>-5</v>
      </c>
      <c r="O170" s="41"/>
      <c r="P170" s="41"/>
      <c r="Q170" s="41"/>
      <c r="R170" s="41"/>
      <c r="S170" s="41"/>
      <c r="T170" s="41"/>
      <c r="U170" s="41"/>
      <c r="V170" s="41"/>
      <c r="W170" s="41"/>
      <c r="X170" s="41"/>
      <c r="Y170" s="41"/>
    </row>
    <row r="171" spans="1:25" x14ac:dyDescent="0.25">
      <c r="A171" s="51"/>
      <c r="B171" s="32" t="s">
        <v>148</v>
      </c>
      <c r="D171" s="33">
        <f t="shared" si="200"/>
        <v>5</v>
      </c>
      <c r="E171" s="41"/>
      <c r="F171" s="41"/>
      <c r="G171" s="33">
        <v>-3</v>
      </c>
      <c r="H171" s="33">
        <v>5</v>
      </c>
      <c r="I171" s="33">
        <v>-4</v>
      </c>
      <c r="J171" s="33">
        <v>6</v>
      </c>
      <c r="K171" s="33">
        <v>6</v>
      </c>
      <c r="L171" s="33">
        <v>9</v>
      </c>
      <c r="M171" s="33">
        <v>7</v>
      </c>
      <c r="N171" s="33">
        <v>4</v>
      </c>
      <c r="O171" s="41"/>
      <c r="P171" s="41"/>
      <c r="Q171" s="41"/>
      <c r="R171" s="41"/>
      <c r="S171" s="41"/>
      <c r="T171" s="41"/>
      <c r="U171" s="41"/>
      <c r="V171" s="41"/>
      <c r="W171" s="41"/>
      <c r="X171" s="41"/>
      <c r="Y171" s="41"/>
    </row>
    <row r="172" spans="1:25" x14ac:dyDescent="0.25">
      <c r="A172" s="51"/>
      <c r="B172" s="32" t="s">
        <v>163</v>
      </c>
      <c r="D172" s="33">
        <f t="shared" si="200"/>
        <v>4</v>
      </c>
      <c r="E172" s="41"/>
      <c r="F172" s="41"/>
      <c r="G172" s="33">
        <v>10</v>
      </c>
      <c r="H172" s="33">
        <v>8</v>
      </c>
      <c r="I172" s="33">
        <v>5</v>
      </c>
      <c r="J172" s="33">
        <v>5</v>
      </c>
      <c r="K172" s="33">
        <v>12</v>
      </c>
      <c r="L172" s="33">
        <v>8</v>
      </c>
      <c r="M172" s="33">
        <v>-2</v>
      </c>
      <c r="N172" s="33">
        <v>-9</v>
      </c>
      <c r="O172" s="41"/>
      <c r="P172" s="41"/>
      <c r="Q172" s="41"/>
      <c r="R172" s="41"/>
      <c r="S172" s="41"/>
      <c r="T172" s="41"/>
      <c r="U172" s="41"/>
      <c r="V172" s="41"/>
      <c r="W172" s="41"/>
      <c r="X172" s="41"/>
      <c r="Y172" s="41"/>
    </row>
    <row r="173" spans="1:25" x14ac:dyDescent="0.25">
      <c r="A173" s="51"/>
      <c r="B173" s="32" t="s">
        <v>483</v>
      </c>
      <c r="D173" s="33">
        <f t="shared" si="200"/>
        <v>1</v>
      </c>
      <c r="E173" s="41"/>
      <c r="F173" s="41"/>
      <c r="G173" s="33">
        <v>0</v>
      </c>
      <c r="H173" s="33">
        <v>-4</v>
      </c>
      <c r="I173" s="33">
        <v>0</v>
      </c>
      <c r="J173" s="33">
        <v>0</v>
      </c>
      <c r="K173" s="33">
        <v>0</v>
      </c>
      <c r="L173" s="33">
        <v>11</v>
      </c>
      <c r="M173" s="33">
        <v>0</v>
      </c>
      <c r="N173" s="33">
        <v>0</v>
      </c>
      <c r="O173" s="41"/>
      <c r="P173" s="41"/>
      <c r="Q173" s="41"/>
      <c r="R173" s="41"/>
      <c r="S173" s="41"/>
      <c r="T173" s="41"/>
      <c r="U173" s="41"/>
      <c r="V173" s="41"/>
      <c r="W173" s="41"/>
      <c r="X173" s="41"/>
      <c r="Y173" s="41"/>
    </row>
    <row r="174" spans="1:25" x14ac:dyDescent="0.25">
      <c r="A174" s="51"/>
      <c r="B174" s="38" t="s">
        <v>484</v>
      </c>
      <c r="D174" s="33">
        <f t="shared" si="200"/>
        <v>1</v>
      </c>
      <c r="E174" s="41"/>
      <c r="F174" s="41"/>
      <c r="G174" s="33">
        <v>5</v>
      </c>
      <c r="H174" s="33">
        <v>10</v>
      </c>
      <c r="I174" s="33">
        <v>0</v>
      </c>
      <c r="J174" s="33">
        <v>-4</v>
      </c>
      <c r="K174" s="33">
        <v>0</v>
      </c>
      <c r="L174" s="33">
        <v>0</v>
      </c>
      <c r="M174" s="33">
        <v>6</v>
      </c>
      <c r="N174" s="33">
        <v>-10</v>
      </c>
      <c r="O174" s="41"/>
      <c r="P174" s="41"/>
      <c r="Q174" s="41"/>
      <c r="R174" s="41"/>
      <c r="S174" s="41"/>
      <c r="T174" s="41"/>
      <c r="U174" s="41"/>
      <c r="V174" s="41"/>
      <c r="W174" s="41"/>
      <c r="X174" s="41"/>
      <c r="Y174" s="41"/>
    </row>
    <row r="175" spans="1:25" x14ac:dyDescent="0.25">
      <c r="A175" s="51"/>
      <c r="B175" s="38" t="s">
        <v>137</v>
      </c>
      <c r="D175" s="33">
        <f t="shared" si="200"/>
        <v>4</v>
      </c>
      <c r="E175" s="41"/>
      <c r="F175" s="41"/>
      <c r="G175" s="33">
        <v>-1</v>
      </c>
      <c r="H175" s="33">
        <v>2</v>
      </c>
      <c r="I175" s="33">
        <v>0</v>
      </c>
      <c r="J175" s="33">
        <v>1</v>
      </c>
      <c r="K175" s="33">
        <v>1</v>
      </c>
      <c r="L175" s="33">
        <v>5</v>
      </c>
      <c r="M175" s="33">
        <v>0</v>
      </c>
      <c r="N175" s="33">
        <v>1</v>
      </c>
      <c r="O175" s="41"/>
      <c r="P175" s="41"/>
      <c r="Q175" s="41"/>
      <c r="R175" s="41"/>
      <c r="S175" s="41"/>
      <c r="T175" s="41"/>
      <c r="U175" s="41"/>
      <c r="V175" s="41"/>
      <c r="W175" s="41"/>
      <c r="X175" s="41"/>
      <c r="Y175" s="41"/>
    </row>
    <row r="176" spans="1:25" x14ac:dyDescent="0.25">
      <c r="A176" s="51"/>
      <c r="B176" s="32" t="s">
        <v>485</v>
      </c>
      <c r="D176" s="33">
        <f t="shared" si="200"/>
        <v>3</v>
      </c>
      <c r="E176" s="41"/>
      <c r="F176" s="41"/>
      <c r="G176" s="33">
        <v>6</v>
      </c>
      <c r="H176" s="33">
        <v>0</v>
      </c>
      <c r="I176" s="33">
        <v>6</v>
      </c>
      <c r="J176" s="33">
        <v>9</v>
      </c>
      <c r="K176" s="33">
        <v>11</v>
      </c>
      <c r="L176" s="33">
        <v>0</v>
      </c>
      <c r="M176" s="33">
        <v>0</v>
      </c>
      <c r="N176" s="33">
        <v>-7</v>
      </c>
      <c r="O176" s="41"/>
      <c r="P176" s="41"/>
      <c r="Q176" s="41"/>
      <c r="R176" s="41"/>
      <c r="S176" s="41"/>
      <c r="T176" s="41"/>
      <c r="U176" s="41"/>
      <c r="V176" s="41"/>
      <c r="W176" s="41"/>
      <c r="X176" s="41"/>
      <c r="Y176" s="41"/>
    </row>
    <row r="177" spans="1:25" s="39" customFormat="1" x14ac:dyDescent="0.25">
      <c r="E177" s="40"/>
      <c r="F177" s="40"/>
      <c r="G177" s="40"/>
      <c r="H177" s="40"/>
      <c r="I177" s="40"/>
      <c r="J177" s="40"/>
      <c r="K177" s="40"/>
      <c r="L177" s="40"/>
      <c r="M177" s="40"/>
      <c r="N177" s="40"/>
      <c r="O177" s="40"/>
      <c r="P177" s="40"/>
      <c r="Q177" s="40"/>
      <c r="R177" s="40"/>
      <c r="S177" s="40"/>
      <c r="T177" s="40"/>
      <c r="U177" s="40"/>
      <c r="V177" s="40"/>
      <c r="W177" s="40"/>
      <c r="X177" s="40"/>
      <c r="Y177" s="40"/>
    </row>
    <row r="178" spans="1:25" x14ac:dyDescent="0.25">
      <c r="A178" s="51" t="s">
        <v>479</v>
      </c>
      <c r="B178" s="38" t="s">
        <v>482</v>
      </c>
      <c r="E178" s="34"/>
      <c r="F178" s="34"/>
      <c r="G178" s="33">
        <v>-11</v>
      </c>
      <c r="H178" s="33">
        <v>0</v>
      </c>
      <c r="I178" s="33">
        <v>-10</v>
      </c>
      <c r="J178" s="33">
        <v>-11</v>
      </c>
      <c r="K178" s="33">
        <v>0</v>
      </c>
      <c r="L178" s="33">
        <v>4</v>
      </c>
      <c r="M178" s="33">
        <v>3</v>
      </c>
      <c r="N178" s="34"/>
      <c r="O178" s="34"/>
      <c r="P178" s="34"/>
      <c r="Q178" s="34"/>
      <c r="R178" s="34"/>
      <c r="S178" s="34"/>
      <c r="T178" s="34"/>
      <c r="U178" s="34"/>
      <c r="V178" s="34"/>
      <c r="W178" s="34"/>
      <c r="X178" s="34"/>
      <c r="Y178" s="34"/>
    </row>
    <row r="179" spans="1:25" x14ac:dyDescent="0.25">
      <c r="A179" s="51"/>
      <c r="B179" s="32" t="s">
        <v>136</v>
      </c>
      <c r="C179" s="34"/>
      <c r="D179" s="34"/>
      <c r="E179" s="34"/>
      <c r="F179" s="34"/>
      <c r="G179" s="33">
        <v>-1</v>
      </c>
      <c r="H179" s="33">
        <v>-9</v>
      </c>
      <c r="I179" s="33">
        <v>-4</v>
      </c>
      <c r="J179" s="33">
        <v>-3</v>
      </c>
      <c r="K179" s="33">
        <v>-3</v>
      </c>
      <c r="L179" s="33">
        <v>-2</v>
      </c>
      <c r="M179" s="33">
        <v>-3</v>
      </c>
      <c r="N179" s="34"/>
      <c r="O179" s="34"/>
      <c r="P179" s="34"/>
      <c r="Q179" s="34"/>
      <c r="R179" s="34"/>
      <c r="S179" s="34"/>
      <c r="T179" s="34"/>
      <c r="U179" s="34"/>
      <c r="V179" s="34"/>
      <c r="W179" s="34"/>
      <c r="X179" s="34"/>
      <c r="Y179" s="34"/>
    </row>
    <row r="180" spans="1:25" x14ac:dyDescent="0.25">
      <c r="A180" s="51"/>
      <c r="B180" s="32" t="s">
        <v>134</v>
      </c>
      <c r="C180" s="34"/>
      <c r="D180" s="34"/>
      <c r="E180" s="34"/>
      <c r="F180" s="34"/>
      <c r="G180" s="33">
        <v>-3</v>
      </c>
      <c r="H180" s="33">
        <v>-5</v>
      </c>
      <c r="I180" s="33">
        <v>1</v>
      </c>
      <c r="J180" s="33">
        <v>-5</v>
      </c>
      <c r="K180" s="33">
        <v>-1</v>
      </c>
      <c r="L180" s="33">
        <v>1</v>
      </c>
      <c r="M180" s="33">
        <v>1</v>
      </c>
      <c r="N180" s="34"/>
      <c r="O180" s="34"/>
      <c r="P180" s="34"/>
      <c r="Q180" s="34"/>
      <c r="R180" s="34"/>
      <c r="S180" s="34"/>
      <c r="T180" s="34"/>
      <c r="U180" s="34"/>
      <c r="V180" s="34"/>
      <c r="W180" s="34"/>
      <c r="X180" s="34"/>
      <c r="Y180" s="34"/>
    </row>
    <row r="181" spans="1:25" x14ac:dyDescent="0.25">
      <c r="A181" s="51"/>
      <c r="B181" s="38" t="s">
        <v>152</v>
      </c>
      <c r="C181" s="34"/>
      <c r="D181" s="34"/>
      <c r="E181" s="34"/>
      <c r="F181" s="34"/>
      <c r="G181" s="33">
        <v>-10</v>
      </c>
      <c r="H181" s="33">
        <v>-6</v>
      </c>
      <c r="I181" s="33">
        <v>-8</v>
      </c>
      <c r="J181" s="33">
        <v>-9</v>
      </c>
      <c r="K181" s="33">
        <v>-9</v>
      </c>
      <c r="L181" s="33">
        <v>0</v>
      </c>
      <c r="M181" s="33">
        <v>-5</v>
      </c>
      <c r="N181" s="34"/>
      <c r="O181" s="34"/>
      <c r="P181" s="34"/>
      <c r="Q181" s="34"/>
      <c r="R181" s="34"/>
      <c r="S181" s="34"/>
      <c r="T181" s="34"/>
      <c r="U181" s="34"/>
      <c r="V181" s="34"/>
      <c r="W181" s="34"/>
      <c r="X181" s="34"/>
      <c r="Y181" s="34"/>
    </row>
    <row r="182" spans="1:25" x14ac:dyDescent="0.25">
      <c r="A182" s="51"/>
      <c r="B182" s="32" t="s">
        <v>144</v>
      </c>
      <c r="C182" s="34"/>
      <c r="D182" s="34"/>
      <c r="E182" s="34"/>
      <c r="F182" s="34"/>
      <c r="G182" s="33">
        <v>1</v>
      </c>
      <c r="H182" s="33">
        <v>-4</v>
      </c>
      <c r="I182" s="33">
        <v>2</v>
      </c>
      <c r="J182" s="33">
        <v>-1</v>
      </c>
      <c r="K182" s="33">
        <v>-2</v>
      </c>
      <c r="L182" s="33">
        <v>-5</v>
      </c>
      <c r="M182" s="33">
        <v>-6</v>
      </c>
      <c r="N182" s="34"/>
      <c r="O182" s="34"/>
      <c r="P182" s="34"/>
      <c r="Q182" s="34"/>
      <c r="R182" s="34"/>
      <c r="S182" s="34"/>
      <c r="T182" s="34"/>
      <c r="U182" s="34"/>
      <c r="V182" s="34"/>
      <c r="W182" s="34"/>
      <c r="X182" s="34"/>
      <c r="Y182" s="34"/>
    </row>
    <row r="183" spans="1:25" x14ac:dyDescent="0.25">
      <c r="A183" s="51"/>
      <c r="B183" s="32" t="s">
        <v>140</v>
      </c>
      <c r="C183" s="34"/>
      <c r="D183" s="34"/>
      <c r="E183" s="34"/>
      <c r="F183" s="34"/>
      <c r="G183" s="33">
        <v>3</v>
      </c>
      <c r="H183" s="33">
        <v>-8</v>
      </c>
      <c r="I183" s="33">
        <v>-2</v>
      </c>
      <c r="J183" s="33">
        <v>0</v>
      </c>
      <c r="K183" s="33">
        <v>1</v>
      </c>
      <c r="L183" s="33">
        <v>3</v>
      </c>
      <c r="M183" s="33">
        <v>2</v>
      </c>
      <c r="N183" s="34"/>
      <c r="O183" s="34"/>
      <c r="P183" s="34"/>
      <c r="Q183" s="34"/>
      <c r="R183" s="34"/>
      <c r="S183" s="34"/>
      <c r="T183" s="34"/>
      <c r="U183" s="34"/>
      <c r="V183" s="34"/>
      <c r="W183" s="34"/>
      <c r="X183" s="34"/>
      <c r="Y183" s="34"/>
    </row>
    <row r="184" spans="1:25" x14ac:dyDescent="0.25">
      <c r="A184" s="51"/>
      <c r="B184" s="32" t="s">
        <v>146</v>
      </c>
      <c r="C184" s="34"/>
      <c r="D184" s="34"/>
      <c r="E184" s="34"/>
      <c r="F184" s="34"/>
      <c r="G184" s="33">
        <v>6</v>
      </c>
      <c r="H184" s="33">
        <v>1</v>
      </c>
      <c r="I184" s="33">
        <v>-6</v>
      </c>
      <c r="J184" s="33">
        <v>-7</v>
      </c>
      <c r="K184" s="33">
        <v>3</v>
      </c>
      <c r="L184" s="33">
        <v>-8</v>
      </c>
      <c r="M184" s="33">
        <v>-7</v>
      </c>
      <c r="N184" s="34"/>
      <c r="O184" s="34"/>
      <c r="P184" s="34"/>
      <c r="Q184" s="34"/>
      <c r="R184" s="34"/>
      <c r="S184" s="34"/>
      <c r="T184" s="34"/>
      <c r="U184" s="34"/>
      <c r="V184" s="34"/>
      <c r="W184" s="34"/>
      <c r="X184" s="34"/>
      <c r="Y184" s="34"/>
    </row>
    <row r="185" spans="1:25" x14ac:dyDescent="0.25">
      <c r="A185" s="51"/>
      <c r="B185" s="38" t="s">
        <v>142</v>
      </c>
      <c r="C185" s="34"/>
      <c r="D185" s="34"/>
      <c r="E185" s="34"/>
      <c r="F185" s="34"/>
      <c r="G185" s="33">
        <v>-4</v>
      </c>
      <c r="H185" s="33">
        <v>-1</v>
      </c>
      <c r="I185" s="33">
        <v>-1</v>
      </c>
      <c r="J185" s="33">
        <v>-2</v>
      </c>
      <c r="K185" s="33">
        <v>-4</v>
      </c>
      <c r="L185" s="33">
        <v>-4</v>
      </c>
      <c r="M185" s="33">
        <v>-1</v>
      </c>
      <c r="N185" s="34"/>
      <c r="O185" s="34"/>
      <c r="P185" s="34"/>
      <c r="Q185" s="34"/>
      <c r="R185" s="34"/>
      <c r="S185" s="34"/>
      <c r="T185" s="34"/>
      <c r="U185" s="34"/>
      <c r="V185" s="34"/>
      <c r="W185" s="34"/>
      <c r="X185" s="34"/>
      <c r="Y185" s="34"/>
    </row>
    <row r="186" spans="1:25" x14ac:dyDescent="0.25">
      <c r="A186" s="51"/>
      <c r="B186" s="38" t="s">
        <v>150</v>
      </c>
      <c r="C186" s="34"/>
      <c r="D186" s="34"/>
      <c r="E186" s="34"/>
      <c r="F186" s="34"/>
      <c r="G186" s="33">
        <v>2</v>
      </c>
      <c r="H186" s="33">
        <v>-2</v>
      </c>
      <c r="I186" s="33">
        <v>3</v>
      </c>
      <c r="J186" s="33">
        <v>0</v>
      </c>
      <c r="K186" s="33">
        <v>0</v>
      </c>
      <c r="L186" s="33">
        <v>2</v>
      </c>
      <c r="M186" s="33">
        <v>-4</v>
      </c>
      <c r="N186" s="34"/>
      <c r="O186" s="34"/>
      <c r="P186" s="34"/>
      <c r="Q186" s="34"/>
      <c r="R186" s="34"/>
      <c r="S186" s="34"/>
      <c r="T186" s="34"/>
      <c r="U186" s="34"/>
      <c r="V186" s="34"/>
      <c r="W186" s="34"/>
      <c r="X186" s="34"/>
      <c r="Y186" s="34"/>
    </row>
    <row r="187" spans="1:25" x14ac:dyDescent="0.25">
      <c r="A187" s="51"/>
      <c r="B187" s="38" t="s">
        <v>202</v>
      </c>
      <c r="C187" s="34"/>
      <c r="D187" s="34"/>
      <c r="E187" s="34"/>
      <c r="F187" s="34"/>
      <c r="G187" s="33">
        <v>5</v>
      </c>
      <c r="H187" s="33">
        <v>-7</v>
      </c>
      <c r="I187" s="33">
        <v>5</v>
      </c>
      <c r="J187" s="33">
        <v>0</v>
      </c>
      <c r="K187" s="33">
        <v>-5</v>
      </c>
      <c r="L187" s="33">
        <v>0</v>
      </c>
      <c r="M187" s="33">
        <v>0</v>
      </c>
      <c r="N187" s="34"/>
      <c r="O187" s="34"/>
      <c r="P187" s="34"/>
      <c r="Q187" s="34"/>
      <c r="R187" s="34"/>
      <c r="S187" s="34"/>
      <c r="T187" s="34"/>
      <c r="U187" s="34"/>
      <c r="V187" s="34"/>
      <c r="W187" s="34"/>
      <c r="X187" s="34"/>
      <c r="Y187" s="34"/>
    </row>
    <row r="188" spans="1:25" x14ac:dyDescent="0.25">
      <c r="A188" s="51"/>
      <c r="B188" s="32" t="s">
        <v>203</v>
      </c>
      <c r="C188" s="34"/>
      <c r="D188" s="34"/>
      <c r="E188" s="41"/>
      <c r="F188" s="41"/>
      <c r="G188" s="33">
        <v>-5</v>
      </c>
      <c r="H188" s="33">
        <v>-10</v>
      </c>
      <c r="I188" s="33">
        <v>-3</v>
      </c>
      <c r="J188" s="33">
        <v>0</v>
      </c>
      <c r="K188" s="33">
        <v>2</v>
      </c>
      <c r="L188" s="33">
        <v>-1</v>
      </c>
      <c r="M188" s="33">
        <v>-9</v>
      </c>
      <c r="N188" s="41"/>
      <c r="O188" s="41"/>
      <c r="P188" s="41"/>
      <c r="Q188" s="41"/>
      <c r="R188" s="41"/>
      <c r="S188" s="41"/>
      <c r="T188" s="41"/>
      <c r="U188" s="41"/>
      <c r="V188" s="41"/>
      <c r="W188" s="41"/>
      <c r="X188" s="41"/>
      <c r="Y188" s="41"/>
    </row>
    <row r="189" spans="1:25" x14ac:dyDescent="0.25">
      <c r="A189" s="51"/>
      <c r="B189" s="32" t="s">
        <v>201</v>
      </c>
      <c r="C189" s="34"/>
      <c r="D189" s="34"/>
      <c r="E189" s="41"/>
      <c r="F189" s="41"/>
      <c r="G189" s="33">
        <v>-8</v>
      </c>
      <c r="H189" s="33">
        <v>0</v>
      </c>
      <c r="I189" s="33">
        <v>0</v>
      </c>
      <c r="J189" s="33">
        <v>0</v>
      </c>
      <c r="K189" s="33">
        <v>-8</v>
      </c>
      <c r="L189" s="33">
        <v>-6</v>
      </c>
      <c r="M189" s="33">
        <v>0</v>
      </c>
      <c r="N189" s="41"/>
      <c r="O189" s="41"/>
      <c r="P189" s="41"/>
      <c r="Q189" s="41"/>
      <c r="R189" s="41"/>
      <c r="S189" s="41"/>
      <c r="T189" s="41"/>
      <c r="U189" s="41"/>
      <c r="V189" s="41"/>
      <c r="W189" s="41"/>
      <c r="X189" s="41"/>
      <c r="Y189" s="41"/>
    </row>
    <row r="190" spans="1:25" x14ac:dyDescent="0.25">
      <c r="A190" s="51"/>
      <c r="B190" s="32" t="s">
        <v>148</v>
      </c>
      <c r="E190" s="41"/>
      <c r="F190" s="41"/>
      <c r="G190" s="33">
        <v>-6</v>
      </c>
      <c r="H190" s="33">
        <v>0</v>
      </c>
      <c r="I190" s="33">
        <v>4</v>
      </c>
      <c r="J190" s="33">
        <v>0</v>
      </c>
      <c r="K190" s="33">
        <v>-6</v>
      </c>
      <c r="L190" s="33">
        <v>-3</v>
      </c>
      <c r="M190" s="33">
        <v>-2</v>
      </c>
      <c r="N190" s="41"/>
      <c r="O190" s="41"/>
      <c r="P190" s="41"/>
      <c r="Q190" s="41"/>
      <c r="R190" s="41"/>
      <c r="S190" s="41"/>
      <c r="T190" s="41"/>
      <c r="U190" s="41"/>
      <c r="V190" s="41"/>
      <c r="W190" s="41"/>
      <c r="X190" s="41"/>
      <c r="Y190" s="41"/>
    </row>
    <row r="191" spans="1:25" x14ac:dyDescent="0.25">
      <c r="A191" s="51"/>
      <c r="B191" s="32" t="s">
        <v>163</v>
      </c>
      <c r="E191" s="41"/>
      <c r="F191" s="41"/>
      <c r="G191" s="33">
        <v>-7</v>
      </c>
      <c r="H191" s="33">
        <v>-11</v>
      </c>
      <c r="I191" s="33">
        <v>-7</v>
      </c>
      <c r="J191" s="33">
        <v>-4</v>
      </c>
      <c r="K191" s="33">
        <v>-10</v>
      </c>
      <c r="L191" s="33">
        <v>0</v>
      </c>
      <c r="M191" s="33">
        <v>0</v>
      </c>
      <c r="N191" s="41"/>
      <c r="O191" s="41"/>
      <c r="P191" s="41"/>
      <c r="Q191" s="41"/>
      <c r="R191" s="41"/>
      <c r="S191" s="41"/>
      <c r="T191" s="41"/>
      <c r="U191" s="41"/>
      <c r="V191" s="41"/>
      <c r="W191" s="41"/>
      <c r="X191" s="41"/>
      <c r="Y191" s="41"/>
    </row>
    <row r="192" spans="1:25" x14ac:dyDescent="0.25">
      <c r="A192" s="51"/>
      <c r="B192" s="32" t="s">
        <v>483</v>
      </c>
      <c r="E192" s="41"/>
      <c r="F192" s="41"/>
      <c r="G192" s="33">
        <v>4</v>
      </c>
      <c r="H192" s="33">
        <v>2</v>
      </c>
      <c r="I192" s="33">
        <v>0</v>
      </c>
      <c r="J192" s="33">
        <v>0</v>
      </c>
      <c r="K192" s="33">
        <v>5</v>
      </c>
      <c r="L192" s="33">
        <v>-9</v>
      </c>
      <c r="M192" s="33">
        <v>0</v>
      </c>
      <c r="N192" s="41"/>
      <c r="O192" s="41"/>
      <c r="P192" s="41"/>
      <c r="Q192" s="41"/>
      <c r="R192" s="41"/>
      <c r="S192" s="41"/>
      <c r="T192" s="41"/>
      <c r="U192" s="41"/>
      <c r="V192" s="41"/>
      <c r="W192" s="41"/>
      <c r="X192" s="41"/>
      <c r="Y192" s="41"/>
    </row>
    <row r="193" spans="1:25" x14ac:dyDescent="0.25">
      <c r="A193" s="51"/>
      <c r="B193" s="38" t="s">
        <v>484</v>
      </c>
      <c r="E193" s="41"/>
      <c r="F193" s="41"/>
      <c r="G193" s="33">
        <v>-9</v>
      </c>
      <c r="H193" s="33">
        <v>-12</v>
      </c>
      <c r="I193" s="33">
        <v>-9</v>
      </c>
      <c r="J193" s="33">
        <v>-10</v>
      </c>
      <c r="K193" s="33">
        <v>-11</v>
      </c>
      <c r="L193" s="33">
        <v>-10</v>
      </c>
      <c r="M193" s="33">
        <v>-10</v>
      </c>
      <c r="N193" s="41"/>
      <c r="O193" s="41"/>
      <c r="P193" s="41"/>
      <c r="Q193" s="41"/>
      <c r="R193" s="41"/>
      <c r="S193" s="41"/>
      <c r="T193" s="41"/>
      <c r="U193" s="41"/>
      <c r="V193" s="41"/>
      <c r="W193" s="41"/>
      <c r="X193" s="41"/>
      <c r="Y193" s="41"/>
    </row>
    <row r="194" spans="1:25" x14ac:dyDescent="0.25">
      <c r="A194" s="51"/>
      <c r="B194" s="38" t="s">
        <v>137</v>
      </c>
      <c r="E194" s="41"/>
      <c r="F194" s="41"/>
      <c r="G194" s="33">
        <v>-2</v>
      </c>
      <c r="H194" s="33">
        <v>-3</v>
      </c>
      <c r="I194" s="33">
        <v>-5</v>
      </c>
      <c r="J194" s="33">
        <v>-6</v>
      </c>
      <c r="K194" s="33">
        <v>-7</v>
      </c>
      <c r="L194" s="33">
        <v>-7</v>
      </c>
      <c r="M194" s="33">
        <v>-8</v>
      </c>
      <c r="N194" s="41"/>
      <c r="O194" s="41"/>
      <c r="P194" s="41"/>
      <c r="Q194" s="41"/>
      <c r="R194" s="41"/>
      <c r="S194" s="41"/>
      <c r="T194" s="41"/>
      <c r="U194" s="41"/>
      <c r="V194" s="41"/>
      <c r="W194" s="41"/>
      <c r="X194" s="41"/>
      <c r="Y194" s="41"/>
    </row>
    <row r="195" spans="1:25" x14ac:dyDescent="0.25">
      <c r="A195" s="51"/>
      <c r="B195" s="32" t="s">
        <v>485</v>
      </c>
      <c r="E195" s="41"/>
      <c r="F195" s="41"/>
      <c r="G195" s="33">
        <v>-12</v>
      </c>
      <c r="H195" s="33">
        <v>0</v>
      </c>
      <c r="I195" s="33">
        <v>0</v>
      </c>
      <c r="J195" s="33">
        <v>-8</v>
      </c>
      <c r="K195" s="33">
        <v>4</v>
      </c>
      <c r="L195" s="33">
        <v>-11</v>
      </c>
      <c r="M195" s="33">
        <v>-11</v>
      </c>
      <c r="N195" s="41"/>
      <c r="O195" s="41"/>
      <c r="P195" s="41"/>
      <c r="Q195" s="41"/>
      <c r="R195" s="41"/>
      <c r="S195" s="41"/>
      <c r="T195" s="41"/>
      <c r="U195" s="41"/>
      <c r="V195" s="41"/>
      <c r="W195" s="41"/>
      <c r="X195" s="41"/>
      <c r="Y195" s="41"/>
    </row>
    <row r="196" spans="1:25" s="39" customFormat="1" x14ac:dyDescent="0.25">
      <c r="E196" s="40"/>
      <c r="F196" s="40"/>
      <c r="G196" s="40"/>
      <c r="H196" s="40"/>
      <c r="I196" s="40"/>
      <c r="J196" s="40"/>
      <c r="K196" s="40"/>
      <c r="L196" s="40"/>
      <c r="M196" s="40"/>
      <c r="N196" s="40"/>
      <c r="O196" s="40"/>
      <c r="P196" s="40"/>
      <c r="Q196" s="40"/>
      <c r="R196" s="40"/>
      <c r="S196" s="40"/>
      <c r="T196" s="40"/>
      <c r="U196" s="40"/>
      <c r="V196" s="40"/>
      <c r="W196" s="40"/>
      <c r="X196" s="40"/>
      <c r="Y196" s="40"/>
    </row>
    <row r="197" spans="1:25" x14ac:dyDescent="0.25">
      <c r="A197" s="51" t="s">
        <v>490</v>
      </c>
      <c r="B197" s="38" t="s">
        <v>482</v>
      </c>
      <c r="E197" s="34"/>
      <c r="F197" s="34"/>
      <c r="G197" s="33">
        <v>-8</v>
      </c>
      <c r="H197" s="33">
        <v>-7</v>
      </c>
      <c r="I197" s="33">
        <v>-9</v>
      </c>
      <c r="J197" s="33">
        <v>-11</v>
      </c>
      <c r="K197" s="33">
        <v>-10</v>
      </c>
      <c r="L197" s="33">
        <v>0</v>
      </c>
      <c r="M197" s="33">
        <v>0</v>
      </c>
      <c r="N197" s="34"/>
      <c r="O197" s="34"/>
      <c r="P197" s="34"/>
      <c r="Q197" s="34"/>
      <c r="R197" s="34"/>
      <c r="S197" s="34"/>
      <c r="T197" s="34"/>
      <c r="U197" s="34"/>
      <c r="V197" s="34"/>
      <c r="W197" s="34"/>
      <c r="X197" s="34"/>
      <c r="Y197" s="34"/>
    </row>
    <row r="198" spans="1:25" x14ac:dyDescent="0.25">
      <c r="A198" s="51"/>
      <c r="B198" s="32" t="s">
        <v>136</v>
      </c>
      <c r="C198" s="34"/>
      <c r="E198" s="34"/>
      <c r="F198" s="34"/>
      <c r="G198" s="33">
        <v>3</v>
      </c>
      <c r="H198" s="33">
        <v>1</v>
      </c>
      <c r="I198" s="33">
        <v>0</v>
      </c>
      <c r="J198" s="33">
        <v>-1</v>
      </c>
      <c r="K198" s="33">
        <v>-3</v>
      </c>
      <c r="L198" s="33">
        <v>1</v>
      </c>
      <c r="M198" s="33">
        <v>-2</v>
      </c>
      <c r="N198" s="34"/>
      <c r="O198" s="34"/>
      <c r="P198" s="34"/>
      <c r="Q198" s="34"/>
      <c r="R198" s="34"/>
      <c r="S198" s="34"/>
      <c r="T198" s="34"/>
      <c r="U198" s="34"/>
      <c r="V198" s="34"/>
      <c r="W198" s="34"/>
      <c r="X198" s="34"/>
      <c r="Y198" s="34"/>
    </row>
    <row r="199" spans="1:25" x14ac:dyDescent="0.25">
      <c r="A199" s="51"/>
      <c r="B199" s="32" t="s">
        <v>134</v>
      </c>
      <c r="C199" s="34"/>
      <c r="E199" s="34"/>
      <c r="F199" s="34"/>
      <c r="G199" s="33">
        <v>1</v>
      </c>
      <c r="H199" s="33">
        <v>-1</v>
      </c>
      <c r="I199" s="33">
        <v>-1</v>
      </c>
      <c r="J199" s="33">
        <v>-6</v>
      </c>
      <c r="K199" s="33">
        <v>-1</v>
      </c>
      <c r="L199" s="33">
        <v>4</v>
      </c>
      <c r="M199" s="33">
        <v>-1</v>
      </c>
      <c r="N199" s="34"/>
      <c r="O199" s="34"/>
      <c r="P199" s="34"/>
      <c r="Q199" s="34"/>
      <c r="R199" s="34"/>
      <c r="S199" s="34"/>
      <c r="T199" s="34"/>
      <c r="U199" s="34"/>
      <c r="V199" s="34"/>
      <c r="W199" s="34"/>
      <c r="X199" s="34"/>
      <c r="Y199" s="34"/>
    </row>
    <row r="200" spans="1:25" x14ac:dyDescent="0.25">
      <c r="A200" s="51"/>
      <c r="B200" s="38" t="s">
        <v>152</v>
      </c>
      <c r="C200" s="34"/>
      <c r="E200" s="34"/>
      <c r="F200" s="34"/>
      <c r="G200" s="33">
        <v>-4</v>
      </c>
      <c r="H200" s="33">
        <v>0</v>
      </c>
      <c r="I200" s="33">
        <v>-6</v>
      </c>
      <c r="J200" s="33">
        <v>0</v>
      </c>
      <c r="K200" s="33">
        <v>2</v>
      </c>
      <c r="L200" s="33">
        <v>0</v>
      </c>
      <c r="M200" s="33">
        <v>0</v>
      </c>
      <c r="N200" s="34"/>
      <c r="O200" s="34"/>
      <c r="P200" s="34"/>
      <c r="Q200" s="34"/>
      <c r="R200" s="34"/>
      <c r="S200" s="34"/>
      <c r="T200" s="34"/>
      <c r="U200" s="34"/>
      <c r="V200" s="34"/>
      <c r="W200" s="34"/>
      <c r="X200" s="34"/>
      <c r="Y200" s="34"/>
    </row>
    <row r="201" spans="1:25" x14ac:dyDescent="0.25">
      <c r="A201" s="51"/>
      <c r="B201" s="32" t="s">
        <v>144</v>
      </c>
      <c r="C201" s="34"/>
      <c r="E201" s="34"/>
      <c r="F201" s="34"/>
      <c r="G201" s="33">
        <v>-1</v>
      </c>
      <c r="H201" s="33">
        <v>-6</v>
      </c>
      <c r="I201" s="33">
        <v>-7</v>
      </c>
      <c r="J201" s="33">
        <v>-8</v>
      </c>
      <c r="K201" s="33">
        <v>-2</v>
      </c>
      <c r="L201" s="33">
        <v>-2</v>
      </c>
      <c r="M201" s="33">
        <v>-3</v>
      </c>
      <c r="N201" s="34"/>
      <c r="O201" s="34"/>
      <c r="P201" s="34"/>
      <c r="Q201" s="34"/>
      <c r="R201" s="34"/>
      <c r="S201" s="34"/>
      <c r="T201" s="34"/>
      <c r="U201" s="34"/>
      <c r="V201" s="34"/>
      <c r="W201" s="34"/>
      <c r="X201" s="34"/>
      <c r="Y201" s="34"/>
    </row>
    <row r="202" spans="1:25" x14ac:dyDescent="0.25">
      <c r="A202" s="51"/>
      <c r="B202" s="32" t="s">
        <v>140</v>
      </c>
      <c r="C202" s="34"/>
      <c r="E202" s="34"/>
      <c r="F202" s="34"/>
      <c r="G202" s="33">
        <v>4</v>
      </c>
      <c r="H202" s="33">
        <v>2</v>
      </c>
      <c r="I202" s="33">
        <v>1</v>
      </c>
      <c r="J202" s="33">
        <v>2</v>
      </c>
      <c r="K202" s="33">
        <v>1</v>
      </c>
      <c r="L202" s="33">
        <v>5</v>
      </c>
      <c r="M202" s="33">
        <v>2</v>
      </c>
      <c r="N202" s="34"/>
      <c r="O202" s="34"/>
      <c r="P202" s="34"/>
      <c r="Q202" s="34"/>
      <c r="R202" s="34"/>
      <c r="S202" s="34"/>
      <c r="T202" s="34"/>
      <c r="U202" s="34"/>
      <c r="V202" s="34"/>
      <c r="W202" s="34"/>
      <c r="X202" s="34"/>
      <c r="Y202" s="34"/>
    </row>
    <row r="203" spans="1:25" x14ac:dyDescent="0.25">
      <c r="A203" s="51"/>
      <c r="B203" s="32" t="s">
        <v>146</v>
      </c>
      <c r="C203" s="34"/>
      <c r="E203" s="34"/>
      <c r="F203" s="34"/>
      <c r="G203" s="33">
        <v>6</v>
      </c>
      <c r="H203" s="33">
        <v>0</v>
      </c>
      <c r="I203" s="33">
        <v>2</v>
      </c>
      <c r="J203" s="33">
        <v>0</v>
      </c>
      <c r="K203" s="33">
        <v>0</v>
      </c>
      <c r="L203" s="33">
        <v>0</v>
      </c>
      <c r="M203" s="33">
        <v>-8</v>
      </c>
      <c r="N203" s="34"/>
      <c r="O203" s="34"/>
      <c r="P203" s="34"/>
      <c r="Q203" s="34"/>
      <c r="R203" s="34"/>
      <c r="S203" s="34"/>
      <c r="T203" s="34"/>
      <c r="U203" s="34"/>
      <c r="V203" s="34"/>
      <c r="W203" s="34"/>
      <c r="X203" s="34"/>
      <c r="Y203" s="34"/>
    </row>
    <row r="204" spans="1:25" x14ac:dyDescent="0.25">
      <c r="A204" s="51"/>
      <c r="B204" s="38" t="s">
        <v>142</v>
      </c>
      <c r="C204" s="34"/>
      <c r="E204" s="34"/>
      <c r="F204" s="34"/>
      <c r="G204" s="33">
        <v>-3</v>
      </c>
      <c r="H204" s="33">
        <v>0</v>
      </c>
      <c r="I204" s="33">
        <v>-3</v>
      </c>
      <c r="J204" s="33">
        <v>-2</v>
      </c>
      <c r="K204" s="33">
        <v>-4</v>
      </c>
      <c r="L204" s="33">
        <v>-1</v>
      </c>
      <c r="M204" s="33">
        <v>-4</v>
      </c>
      <c r="N204" s="34"/>
      <c r="O204" s="34"/>
      <c r="P204" s="34"/>
      <c r="Q204" s="34"/>
      <c r="R204" s="34"/>
      <c r="S204" s="34"/>
      <c r="T204" s="34"/>
      <c r="U204" s="34"/>
      <c r="V204" s="34"/>
      <c r="W204" s="34"/>
      <c r="X204" s="34"/>
      <c r="Y204" s="34"/>
    </row>
    <row r="205" spans="1:25" x14ac:dyDescent="0.25">
      <c r="A205" s="51"/>
      <c r="B205" s="38" t="s">
        <v>150</v>
      </c>
      <c r="C205" s="34"/>
      <c r="E205" s="34"/>
      <c r="F205" s="34"/>
      <c r="G205" s="33">
        <v>5</v>
      </c>
      <c r="H205" s="33">
        <v>3</v>
      </c>
      <c r="I205" s="33">
        <v>-2</v>
      </c>
      <c r="J205" s="33">
        <v>1</v>
      </c>
      <c r="K205" s="33">
        <v>3</v>
      </c>
      <c r="L205" s="33">
        <v>2</v>
      </c>
      <c r="M205" s="33">
        <v>1</v>
      </c>
      <c r="N205" s="34"/>
      <c r="O205" s="34"/>
      <c r="P205" s="34"/>
      <c r="Q205" s="34"/>
      <c r="R205" s="34"/>
      <c r="S205" s="34"/>
      <c r="T205" s="34"/>
      <c r="U205" s="34"/>
      <c r="V205" s="34"/>
      <c r="W205" s="34"/>
      <c r="X205" s="34"/>
      <c r="Y205" s="34"/>
    </row>
    <row r="206" spans="1:25" x14ac:dyDescent="0.25">
      <c r="A206" s="51"/>
      <c r="B206" s="38" t="s">
        <v>202</v>
      </c>
      <c r="C206" s="34"/>
      <c r="E206" s="41"/>
      <c r="F206" s="41"/>
      <c r="G206" s="33">
        <v>-5</v>
      </c>
      <c r="H206" s="33">
        <v>0</v>
      </c>
      <c r="I206" s="33">
        <v>0</v>
      </c>
      <c r="J206" s="33">
        <v>-7</v>
      </c>
      <c r="K206" s="33">
        <v>-7</v>
      </c>
      <c r="L206" s="33">
        <v>-5</v>
      </c>
      <c r="M206" s="33">
        <v>-6</v>
      </c>
      <c r="N206" s="41"/>
      <c r="O206" s="41"/>
      <c r="P206" s="41"/>
      <c r="Q206" s="41"/>
      <c r="R206" s="41"/>
      <c r="S206" s="41"/>
      <c r="T206" s="41"/>
      <c r="U206" s="41"/>
      <c r="V206" s="41"/>
      <c r="W206" s="41"/>
      <c r="X206" s="41"/>
      <c r="Y206" s="41"/>
    </row>
    <row r="207" spans="1:25" x14ac:dyDescent="0.25">
      <c r="A207" s="51"/>
      <c r="B207" s="32" t="s">
        <v>203</v>
      </c>
      <c r="C207" s="34"/>
      <c r="E207" s="41"/>
      <c r="F207" s="41"/>
      <c r="G207" s="33">
        <v>2</v>
      </c>
      <c r="H207" s="33">
        <v>-4</v>
      </c>
      <c r="I207" s="33">
        <v>-5</v>
      </c>
      <c r="J207" s="33">
        <v>-3</v>
      </c>
      <c r="K207" s="33">
        <v>0</v>
      </c>
      <c r="L207" s="33">
        <v>3</v>
      </c>
      <c r="M207" s="33">
        <v>0</v>
      </c>
      <c r="N207" s="41"/>
      <c r="O207" s="41"/>
      <c r="P207" s="41"/>
      <c r="Q207" s="41"/>
      <c r="R207" s="41"/>
      <c r="S207" s="41"/>
      <c r="T207" s="41"/>
      <c r="U207" s="41"/>
      <c r="V207" s="41"/>
      <c r="W207" s="41"/>
      <c r="X207" s="41"/>
      <c r="Y207" s="41"/>
    </row>
    <row r="208" spans="1:25" x14ac:dyDescent="0.25">
      <c r="A208" s="51"/>
      <c r="B208" s="32" t="s">
        <v>201</v>
      </c>
      <c r="C208" s="34"/>
      <c r="E208" s="41"/>
      <c r="F208" s="41"/>
      <c r="G208" s="33">
        <v>0</v>
      </c>
      <c r="H208" s="33">
        <v>0</v>
      </c>
      <c r="I208" s="33">
        <v>-10</v>
      </c>
      <c r="J208" s="33">
        <v>-10</v>
      </c>
      <c r="K208" s="33">
        <v>5</v>
      </c>
      <c r="L208" s="33">
        <v>0</v>
      </c>
      <c r="M208" s="33">
        <v>0</v>
      </c>
      <c r="N208" s="41"/>
      <c r="O208" s="41"/>
      <c r="P208" s="41"/>
      <c r="Q208" s="41"/>
      <c r="R208" s="41"/>
      <c r="S208" s="41"/>
      <c r="T208" s="41"/>
      <c r="U208" s="41"/>
      <c r="V208" s="41"/>
      <c r="W208" s="41"/>
      <c r="X208" s="41"/>
      <c r="Y208" s="41"/>
    </row>
    <row r="209" spans="1:25" x14ac:dyDescent="0.25">
      <c r="A209" s="51"/>
      <c r="B209" s="32" t="s">
        <v>148</v>
      </c>
      <c r="E209" s="41"/>
      <c r="F209" s="41"/>
      <c r="G209" s="33">
        <v>-6</v>
      </c>
      <c r="H209" s="33">
        <v>-3</v>
      </c>
      <c r="I209" s="33">
        <v>0</v>
      </c>
      <c r="J209" s="33">
        <v>-4</v>
      </c>
      <c r="K209" s="33">
        <v>-5</v>
      </c>
      <c r="L209" s="33">
        <v>-3</v>
      </c>
      <c r="M209" s="33">
        <v>-7</v>
      </c>
      <c r="N209" s="41"/>
      <c r="O209" s="41"/>
      <c r="P209" s="41"/>
      <c r="Q209" s="41"/>
      <c r="R209" s="41"/>
      <c r="S209" s="41"/>
      <c r="T209" s="41"/>
      <c r="U209" s="41"/>
      <c r="V209" s="41"/>
      <c r="W209" s="41"/>
      <c r="X209" s="41"/>
      <c r="Y209" s="41"/>
    </row>
    <row r="210" spans="1:25" x14ac:dyDescent="0.25">
      <c r="A210" s="51"/>
      <c r="B210" s="32" t="s">
        <v>163</v>
      </c>
      <c r="E210" s="41"/>
      <c r="F210" s="41"/>
      <c r="G210" s="33">
        <v>0</v>
      </c>
      <c r="H210" s="33">
        <v>-5</v>
      </c>
      <c r="I210" s="33">
        <v>-8</v>
      </c>
      <c r="J210" s="33">
        <v>0</v>
      </c>
      <c r="K210" s="33">
        <v>-9</v>
      </c>
      <c r="L210" s="33">
        <v>0</v>
      </c>
      <c r="M210" s="33">
        <v>0</v>
      </c>
      <c r="N210" s="41"/>
      <c r="O210" s="41"/>
      <c r="P210" s="41"/>
      <c r="Q210" s="41"/>
      <c r="R210" s="41"/>
      <c r="S210" s="41"/>
      <c r="T210" s="41"/>
      <c r="U210" s="41"/>
      <c r="V210" s="41"/>
      <c r="W210" s="41"/>
      <c r="X210" s="41"/>
      <c r="Y210" s="41"/>
    </row>
    <row r="211" spans="1:25" x14ac:dyDescent="0.25">
      <c r="A211" s="51"/>
      <c r="B211" s="32" t="s">
        <v>483</v>
      </c>
      <c r="E211" s="41"/>
      <c r="F211" s="41"/>
      <c r="G211" s="33">
        <v>0</v>
      </c>
      <c r="H211" s="33">
        <v>0</v>
      </c>
      <c r="I211" s="33">
        <v>0</v>
      </c>
      <c r="J211" s="33">
        <v>0</v>
      </c>
      <c r="K211" s="33">
        <v>0</v>
      </c>
      <c r="L211" s="33">
        <v>0</v>
      </c>
      <c r="M211" s="33">
        <v>0</v>
      </c>
      <c r="N211" s="41"/>
      <c r="O211" s="41"/>
      <c r="P211" s="41"/>
      <c r="Q211" s="41"/>
      <c r="R211" s="41"/>
      <c r="S211" s="41"/>
      <c r="T211" s="41"/>
      <c r="U211" s="41"/>
      <c r="V211" s="41"/>
      <c r="W211" s="41"/>
      <c r="X211" s="41"/>
      <c r="Y211" s="41"/>
    </row>
    <row r="212" spans="1:25" x14ac:dyDescent="0.25">
      <c r="A212" s="51"/>
      <c r="B212" s="38" t="s">
        <v>484</v>
      </c>
      <c r="E212" s="41"/>
      <c r="F212" s="41"/>
      <c r="G212" s="33">
        <v>7</v>
      </c>
      <c r="H212" s="33">
        <v>0</v>
      </c>
      <c r="I212" s="33">
        <v>0</v>
      </c>
      <c r="J212" s="33">
        <v>-9</v>
      </c>
      <c r="K212" s="33">
        <v>-8</v>
      </c>
      <c r="L212" s="33">
        <v>0</v>
      </c>
      <c r="M212" s="33">
        <v>0</v>
      </c>
      <c r="N212" s="41"/>
      <c r="O212" s="41"/>
      <c r="P212" s="41"/>
      <c r="Q212" s="41"/>
      <c r="R212" s="41"/>
      <c r="S212" s="41"/>
      <c r="T212" s="41"/>
      <c r="U212" s="41"/>
      <c r="V212" s="41"/>
      <c r="W212" s="41"/>
      <c r="X212" s="41"/>
      <c r="Y212" s="41"/>
    </row>
    <row r="213" spans="1:25" x14ac:dyDescent="0.25">
      <c r="A213" s="51"/>
      <c r="B213" s="38" t="s">
        <v>137</v>
      </c>
      <c r="E213" s="41"/>
      <c r="F213" s="41"/>
      <c r="G213" s="33">
        <v>-2</v>
      </c>
      <c r="H213" s="33">
        <v>-2</v>
      </c>
      <c r="I213" s="33">
        <v>-4</v>
      </c>
      <c r="J213" s="33">
        <v>-5</v>
      </c>
      <c r="K213" s="33">
        <v>-6</v>
      </c>
      <c r="L213" s="33">
        <v>-4</v>
      </c>
      <c r="M213" s="33">
        <v>-5</v>
      </c>
      <c r="N213" s="41"/>
      <c r="O213" s="41"/>
      <c r="P213" s="41"/>
      <c r="Q213" s="41"/>
      <c r="R213" s="41"/>
      <c r="S213" s="41"/>
      <c r="T213" s="41"/>
      <c r="U213" s="41"/>
      <c r="V213" s="41"/>
      <c r="W213" s="41"/>
      <c r="X213" s="41"/>
      <c r="Y213" s="41"/>
    </row>
    <row r="214" spans="1:25" x14ac:dyDescent="0.25">
      <c r="A214" s="51"/>
      <c r="B214" s="32" t="s">
        <v>485</v>
      </c>
      <c r="E214" s="34"/>
      <c r="F214" s="34"/>
      <c r="G214" s="33">
        <v>-7</v>
      </c>
      <c r="H214" s="33">
        <v>0</v>
      </c>
      <c r="I214" s="33">
        <v>0</v>
      </c>
      <c r="J214" s="33">
        <v>0</v>
      </c>
      <c r="K214" s="33">
        <v>4</v>
      </c>
      <c r="L214" s="33">
        <v>-6</v>
      </c>
      <c r="M214" s="33">
        <v>-9</v>
      </c>
      <c r="N214" s="34"/>
      <c r="O214" s="34"/>
      <c r="P214" s="34"/>
      <c r="Q214" s="34"/>
      <c r="R214" s="34"/>
      <c r="S214" s="34"/>
      <c r="T214" s="34"/>
      <c r="U214" s="34"/>
      <c r="V214" s="34"/>
      <c r="W214" s="34"/>
      <c r="X214" s="34"/>
      <c r="Y214" s="34"/>
    </row>
    <row r="215" spans="1:25" s="39" customFormat="1" x14ac:dyDescent="0.25">
      <c r="E215" s="40"/>
      <c r="F215" s="40"/>
      <c r="G215" s="40"/>
      <c r="H215" s="40"/>
      <c r="I215" s="40"/>
      <c r="J215" s="40"/>
      <c r="K215" s="40"/>
      <c r="L215" s="40"/>
      <c r="M215" s="40"/>
      <c r="N215" s="40"/>
      <c r="O215" s="40"/>
      <c r="P215" s="40"/>
      <c r="Q215" s="40"/>
      <c r="R215" s="40"/>
      <c r="S215" s="40"/>
      <c r="T215" s="40"/>
      <c r="U215" s="40"/>
      <c r="V215" s="40"/>
      <c r="W215" s="40"/>
      <c r="X215" s="40"/>
      <c r="Y215" s="40"/>
    </row>
    <row r="216" spans="1:25" x14ac:dyDescent="0.25">
      <c r="A216" s="51" t="s">
        <v>480</v>
      </c>
      <c r="B216" s="38" t="s">
        <v>482</v>
      </c>
      <c r="E216" s="34"/>
      <c r="F216" s="34"/>
      <c r="G216" s="33">
        <v>-8</v>
      </c>
      <c r="H216" s="33">
        <v>-11</v>
      </c>
      <c r="I216" s="33">
        <v>-9</v>
      </c>
      <c r="J216" s="33">
        <v>-11</v>
      </c>
      <c r="K216" s="33">
        <v>0</v>
      </c>
      <c r="L216" s="21">
        <v>9</v>
      </c>
      <c r="M216" s="21">
        <v>-6</v>
      </c>
      <c r="N216" s="34"/>
      <c r="O216" s="34"/>
      <c r="P216" s="34"/>
      <c r="Q216" s="34"/>
      <c r="R216" s="34"/>
      <c r="S216" s="34"/>
      <c r="T216" s="34"/>
      <c r="U216" s="34"/>
      <c r="V216" s="34"/>
      <c r="W216" s="34"/>
      <c r="X216" s="34"/>
      <c r="Y216" s="34"/>
    </row>
    <row r="217" spans="1:25" x14ac:dyDescent="0.25">
      <c r="A217" s="51"/>
      <c r="B217" s="32" t="s">
        <v>136</v>
      </c>
      <c r="C217" s="34"/>
      <c r="E217" s="34"/>
      <c r="F217" s="34"/>
      <c r="G217" s="33">
        <v>-1</v>
      </c>
      <c r="H217" s="33">
        <v>0</v>
      </c>
      <c r="I217" s="33">
        <v>0</v>
      </c>
      <c r="J217" s="33">
        <v>-2</v>
      </c>
      <c r="K217" s="33">
        <v>-1</v>
      </c>
      <c r="L217" s="33">
        <v>2</v>
      </c>
      <c r="M217" s="33">
        <v>-1</v>
      </c>
      <c r="N217" s="34"/>
      <c r="O217" s="34"/>
      <c r="P217" s="34"/>
      <c r="Q217" s="34"/>
      <c r="R217" s="34"/>
      <c r="S217" s="34"/>
      <c r="T217" s="34"/>
      <c r="U217" s="34"/>
      <c r="V217" s="34"/>
      <c r="W217" s="34"/>
      <c r="X217" s="34"/>
      <c r="Y217" s="34"/>
    </row>
    <row r="218" spans="1:25" x14ac:dyDescent="0.25">
      <c r="A218" s="51"/>
      <c r="B218" s="32" t="s">
        <v>134</v>
      </c>
      <c r="C218" s="34"/>
      <c r="E218" s="34"/>
      <c r="F218" s="34"/>
      <c r="G218" s="33">
        <v>2</v>
      </c>
      <c r="H218" s="33">
        <v>-3</v>
      </c>
      <c r="I218" s="33">
        <v>-2</v>
      </c>
      <c r="J218" s="33">
        <v>-6</v>
      </c>
      <c r="K218" s="33">
        <v>-2</v>
      </c>
      <c r="L218" s="33">
        <v>-2</v>
      </c>
      <c r="M218" s="33">
        <v>4</v>
      </c>
      <c r="N218" s="34"/>
      <c r="O218" s="34"/>
      <c r="P218" s="34"/>
      <c r="Q218" s="34"/>
      <c r="R218" s="34"/>
      <c r="S218" s="34"/>
      <c r="T218" s="34"/>
      <c r="U218" s="34"/>
      <c r="V218" s="34"/>
      <c r="W218" s="34"/>
      <c r="X218" s="34"/>
      <c r="Y218" s="34"/>
    </row>
    <row r="219" spans="1:25" x14ac:dyDescent="0.25">
      <c r="A219" s="51"/>
      <c r="B219" s="38" t="s">
        <v>152</v>
      </c>
      <c r="C219" s="34"/>
      <c r="E219" s="34"/>
      <c r="F219" s="34"/>
      <c r="G219" s="33">
        <v>0</v>
      </c>
      <c r="H219" s="33">
        <v>-9</v>
      </c>
      <c r="I219" s="33">
        <v>-6</v>
      </c>
      <c r="J219" s="33">
        <v>-8</v>
      </c>
      <c r="K219" s="33">
        <v>-6</v>
      </c>
      <c r="L219" s="33">
        <v>6</v>
      </c>
      <c r="M219" s="33">
        <v>-4</v>
      </c>
      <c r="N219" s="34"/>
      <c r="O219" s="34"/>
      <c r="P219" s="34"/>
      <c r="Q219" s="34"/>
      <c r="R219" s="34"/>
      <c r="S219" s="34"/>
      <c r="T219" s="34"/>
      <c r="U219" s="34"/>
      <c r="V219" s="34"/>
      <c r="W219" s="34"/>
      <c r="X219" s="34"/>
      <c r="Y219" s="34"/>
    </row>
    <row r="220" spans="1:25" x14ac:dyDescent="0.25">
      <c r="A220" s="51"/>
      <c r="B220" s="32" t="s">
        <v>144</v>
      </c>
      <c r="C220" s="34"/>
      <c r="E220" s="34"/>
      <c r="F220" s="34"/>
      <c r="G220" s="33">
        <v>4</v>
      </c>
      <c r="H220" s="33">
        <v>-5</v>
      </c>
      <c r="I220" s="33">
        <v>-5</v>
      </c>
      <c r="J220" s="33">
        <v>-7</v>
      </c>
      <c r="K220" s="33">
        <v>-8</v>
      </c>
      <c r="L220" s="33">
        <v>1</v>
      </c>
      <c r="M220" s="33">
        <v>-2</v>
      </c>
      <c r="N220" s="34"/>
      <c r="O220" s="34"/>
      <c r="P220" s="34"/>
      <c r="Q220" s="34"/>
      <c r="R220" s="34"/>
      <c r="S220" s="34"/>
      <c r="T220" s="34"/>
      <c r="U220" s="34"/>
      <c r="V220" s="34"/>
      <c r="W220" s="34"/>
      <c r="X220" s="34"/>
      <c r="Y220" s="34"/>
    </row>
    <row r="221" spans="1:25" x14ac:dyDescent="0.25">
      <c r="A221" s="51"/>
      <c r="B221" s="32" t="s">
        <v>140</v>
      </c>
      <c r="C221" s="34"/>
      <c r="E221" s="34"/>
      <c r="F221" s="34"/>
      <c r="G221" s="33">
        <v>1</v>
      </c>
      <c r="H221" s="33">
        <v>0</v>
      </c>
      <c r="I221" s="33">
        <v>-4</v>
      </c>
      <c r="J221" s="33">
        <v>-1</v>
      </c>
      <c r="K221" s="33">
        <v>-4</v>
      </c>
      <c r="L221" s="33">
        <v>0</v>
      </c>
      <c r="M221" s="33">
        <v>2</v>
      </c>
      <c r="N221" s="34"/>
      <c r="O221" s="34"/>
      <c r="P221" s="34"/>
      <c r="Q221" s="34"/>
      <c r="R221" s="34"/>
      <c r="S221" s="34"/>
      <c r="T221" s="34"/>
      <c r="U221" s="34"/>
      <c r="V221" s="34"/>
      <c r="W221" s="34"/>
      <c r="X221" s="34"/>
      <c r="Y221" s="34"/>
    </row>
    <row r="222" spans="1:25" x14ac:dyDescent="0.25">
      <c r="A222" s="51"/>
      <c r="B222" s="32" t="s">
        <v>146</v>
      </c>
      <c r="C222" s="34"/>
      <c r="E222" s="34"/>
      <c r="F222" s="34"/>
      <c r="G222" s="33">
        <v>-5</v>
      </c>
      <c r="H222" s="33">
        <v>-8</v>
      </c>
      <c r="I222" s="33">
        <v>4</v>
      </c>
      <c r="J222" s="33">
        <v>0</v>
      </c>
      <c r="K222" s="33">
        <v>0</v>
      </c>
      <c r="L222" s="33">
        <v>-5</v>
      </c>
      <c r="M222" s="33">
        <v>0</v>
      </c>
      <c r="N222" s="34"/>
      <c r="O222" s="34"/>
      <c r="P222" s="34"/>
      <c r="Q222" s="34"/>
      <c r="R222" s="34"/>
      <c r="S222" s="34"/>
      <c r="T222" s="34"/>
      <c r="U222" s="34"/>
      <c r="V222" s="34"/>
      <c r="W222" s="34"/>
      <c r="X222" s="34"/>
      <c r="Y222" s="34"/>
    </row>
    <row r="223" spans="1:25" x14ac:dyDescent="0.25">
      <c r="A223" s="51"/>
      <c r="B223" s="38" t="s">
        <v>142</v>
      </c>
      <c r="C223" s="34"/>
      <c r="E223" s="34"/>
      <c r="F223" s="34"/>
      <c r="G223" s="33">
        <v>-2</v>
      </c>
      <c r="H223" s="33">
        <v>-4</v>
      </c>
      <c r="I223" s="33">
        <v>-3</v>
      </c>
      <c r="J223" s="33">
        <v>-4</v>
      </c>
      <c r="K223" s="33">
        <v>-7</v>
      </c>
      <c r="L223" s="33">
        <v>-1</v>
      </c>
      <c r="M223" s="33">
        <v>1</v>
      </c>
      <c r="N223" s="34"/>
      <c r="O223" s="34"/>
      <c r="P223" s="34"/>
      <c r="Q223" s="34"/>
      <c r="R223" s="34"/>
      <c r="S223" s="34"/>
      <c r="T223" s="34"/>
      <c r="U223" s="34"/>
      <c r="V223" s="34"/>
      <c r="W223" s="34"/>
      <c r="X223" s="34"/>
      <c r="Y223" s="34"/>
    </row>
    <row r="224" spans="1:25" x14ac:dyDescent="0.25">
      <c r="A224" s="51"/>
      <c r="B224" s="38" t="s">
        <v>150</v>
      </c>
      <c r="C224" s="34"/>
      <c r="E224" s="41"/>
      <c r="F224" s="41"/>
      <c r="G224" s="33">
        <v>3</v>
      </c>
      <c r="H224" s="33">
        <v>0</v>
      </c>
      <c r="I224" s="33">
        <v>1</v>
      </c>
      <c r="J224" s="33">
        <v>-5</v>
      </c>
      <c r="K224" s="33">
        <v>-3</v>
      </c>
      <c r="L224" s="33">
        <v>3</v>
      </c>
      <c r="M224" s="33">
        <v>3</v>
      </c>
      <c r="N224" s="41"/>
      <c r="O224" s="41"/>
      <c r="P224" s="41"/>
      <c r="Q224" s="41"/>
      <c r="R224" s="41"/>
      <c r="S224" s="41"/>
      <c r="T224" s="41"/>
      <c r="U224" s="41"/>
      <c r="V224" s="41"/>
      <c r="W224" s="41"/>
      <c r="X224" s="41"/>
      <c r="Y224" s="41"/>
    </row>
    <row r="225" spans="1:25" x14ac:dyDescent="0.25">
      <c r="A225" s="51"/>
      <c r="B225" s="38" t="s">
        <v>202</v>
      </c>
      <c r="C225" s="34"/>
      <c r="E225" s="41"/>
      <c r="F225" s="41"/>
      <c r="G225" s="33">
        <v>5</v>
      </c>
      <c r="H225" s="33">
        <v>-6</v>
      </c>
      <c r="I225" s="33">
        <v>2</v>
      </c>
      <c r="J225" s="33">
        <v>1</v>
      </c>
      <c r="K225" s="33">
        <v>-10</v>
      </c>
      <c r="L225" s="33">
        <v>5</v>
      </c>
      <c r="M225" s="33">
        <v>0</v>
      </c>
      <c r="N225" s="41"/>
      <c r="O225" s="41"/>
      <c r="P225" s="41"/>
      <c r="Q225" s="41"/>
      <c r="R225" s="41"/>
      <c r="S225" s="41"/>
      <c r="T225" s="41"/>
      <c r="U225" s="41"/>
      <c r="V225" s="41"/>
      <c r="W225" s="41"/>
      <c r="X225" s="41"/>
      <c r="Y225" s="41"/>
    </row>
    <row r="226" spans="1:25" x14ac:dyDescent="0.25">
      <c r="A226" s="51"/>
      <c r="B226" s="32" t="s">
        <v>203</v>
      </c>
      <c r="C226" s="34"/>
      <c r="E226" s="41"/>
      <c r="F226" s="41"/>
      <c r="G226" s="33">
        <v>-6</v>
      </c>
      <c r="H226" s="33">
        <v>-10</v>
      </c>
      <c r="I226" s="33">
        <v>0</v>
      </c>
      <c r="J226" s="33">
        <v>-10</v>
      </c>
      <c r="K226" s="33">
        <v>0</v>
      </c>
      <c r="L226" s="33">
        <v>-4</v>
      </c>
      <c r="M226" s="33">
        <v>0</v>
      </c>
      <c r="N226" s="41"/>
      <c r="O226" s="41"/>
      <c r="P226" s="41"/>
      <c r="Q226" s="41"/>
      <c r="R226" s="41"/>
      <c r="S226" s="41"/>
      <c r="T226" s="41"/>
      <c r="U226" s="41"/>
      <c r="V226" s="41"/>
      <c r="W226" s="41"/>
      <c r="X226" s="41"/>
      <c r="Y226" s="41"/>
    </row>
    <row r="227" spans="1:25" x14ac:dyDescent="0.25">
      <c r="A227" s="51"/>
      <c r="B227" s="32" t="s">
        <v>201</v>
      </c>
      <c r="C227" s="34"/>
      <c r="E227" s="41"/>
      <c r="F227" s="41"/>
      <c r="G227" s="33">
        <v>-7</v>
      </c>
      <c r="H227" s="33">
        <v>0</v>
      </c>
      <c r="I227" s="33">
        <v>-8</v>
      </c>
      <c r="J227" s="33">
        <v>2</v>
      </c>
      <c r="K227" s="33">
        <v>0</v>
      </c>
      <c r="L227" s="33">
        <v>0</v>
      </c>
      <c r="M227" s="33">
        <v>0</v>
      </c>
      <c r="N227" s="41"/>
      <c r="O227" s="41"/>
      <c r="P227" s="41"/>
      <c r="Q227" s="41"/>
      <c r="R227" s="41"/>
      <c r="S227" s="41"/>
      <c r="T227" s="41"/>
      <c r="U227" s="41"/>
      <c r="V227" s="41"/>
      <c r="W227" s="41"/>
      <c r="X227" s="41"/>
      <c r="Y227" s="41"/>
    </row>
    <row r="228" spans="1:25" x14ac:dyDescent="0.25">
      <c r="A228" s="51"/>
      <c r="B228" s="32" t="s">
        <v>148</v>
      </c>
      <c r="E228" s="41"/>
      <c r="F228" s="41"/>
      <c r="G228" s="33">
        <v>-3</v>
      </c>
      <c r="H228" s="33">
        <v>-2</v>
      </c>
      <c r="I228" s="33">
        <v>-7</v>
      </c>
      <c r="J228" s="33">
        <v>-9</v>
      </c>
      <c r="K228" s="33">
        <v>-5</v>
      </c>
      <c r="L228" s="33">
        <v>-3</v>
      </c>
      <c r="M228" s="33">
        <v>0</v>
      </c>
      <c r="N228" s="41"/>
      <c r="O228" s="41"/>
      <c r="P228" s="41"/>
      <c r="Q228" s="41"/>
      <c r="R228" s="41"/>
      <c r="S228" s="41"/>
      <c r="T228" s="41"/>
      <c r="U228" s="41"/>
      <c r="V228" s="41"/>
      <c r="W228" s="41"/>
      <c r="X228" s="41"/>
      <c r="Y228" s="41"/>
    </row>
    <row r="229" spans="1:25" x14ac:dyDescent="0.25">
      <c r="A229" s="51"/>
      <c r="B229" s="32" t="s">
        <v>163</v>
      </c>
      <c r="E229" s="41"/>
      <c r="F229" s="41"/>
      <c r="G229" s="33">
        <v>7</v>
      </c>
      <c r="H229" s="33">
        <v>-7</v>
      </c>
      <c r="I229" s="33">
        <v>0</v>
      </c>
      <c r="J229" s="33">
        <v>0</v>
      </c>
      <c r="K229" s="33">
        <v>-11</v>
      </c>
      <c r="L229" s="33">
        <v>0</v>
      </c>
      <c r="M229" s="33">
        <v>-3</v>
      </c>
      <c r="N229" s="41"/>
      <c r="O229" s="41"/>
      <c r="P229" s="41"/>
      <c r="Q229" s="41"/>
      <c r="R229" s="41"/>
      <c r="S229" s="41"/>
      <c r="T229" s="41"/>
      <c r="U229" s="41"/>
      <c r="V229" s="41"/>
      <c r="W229" s="41"/>
      <c r="X229" s="41"/>
      <c r="Y229" s="41"/>
    </row>
    <row r="230" spans="1:25" x14ac:dyDescent="0.25">
      <c r="A230" s="51"/>
      <c r="B230" s="32" t="s">
        <v>483</v>
      </c>
      <c r="E230" s="41"/>
      <c r="F230" s="41"/>
      <c r="G230" s="33">
        <v>0</v>
      </c>
      <c r="H230" s="33">
        <v>0</v>
      </c>
      <c r="I230" s="33">
        <v>0</v>
      </c>
      <c r="J230" s="33">
        <v>0</v>
      </c>
      <c r="K230" s="33">
        <v>0</v>
      </c>
      <c r="L230" s="33">
        <v>8</v>
      </c>
      <c r="M230" s="33">
        <v>5</v>
      </c>
      <c r="N230" s="41"/>
      <c r="O230" s="41"/>
      <c r="P230" s="41"/>
      <c r="Q230" s="41"/>
      <c r="R230" s="41"/>
      <c r="S230" s="41"/>
      <c r="T230" s="41"/>
      <c r="U230" s="41"/>
      <c r="V230" s="41"/>
      <c r="W230" s="41"/>
      <c r="X230" s="41"/>
      <c r="Y230" s="41"/>
    </row>
    <row r="231" spans="1:25" x14ac:dyDescent="0.25">
      <c r="A231" s="51"/>
      <c r="B231" s="38" t="s">
        <v>484</v>
      </c>
      <c r="E231" s="41"/>
      <c r="F231" s="41"/>
      <c r="G231" s="33">
        <v>6</v>
      </c>
      <c r="H231" s="33">
        <v>0</v>
      </c>
      <c r="I231" s="33">
        <v>3</v>
      </c>
      <c r="J231" s="33">
        <v>0</v>
      </c>
      <c r="K231" s="33">
        <v>-12</v>
      </c>
      <c r="L231" s="33">
        <v>7</v>
      </c>
      <c r="M231" s="33">
        <v>0</v>
      </c>
      <c r="N231" s="41"/>
      <c r="O231" s="41"/>
      <c r="P231" s="41"/>
      <c r="Q231" s="41"/>
      <c r="R231" s="41"/>
      <c r="S231" s="41"/>
      <c r="T231" s="41"/>
      <c r="U231" s="41"/>
      <c r="V231" s="41"/>
      <c r="W231" s="41"/>
      <c r="X231" s="41"/>
      <c r="Y231" s="41"/>
    </row>
    <row r="232" spans="1:25" x14ac:dyDescent="0.25">
      <c r="A232" s="51"/>
      <c r="B232" s="38" t="s">
        <v>137</v>
      </c>
      <c r="E232" s="34"/>
      <c r="F232" s="34"/>
      <c r="G232" s="33">
        <v>-4</v>
      </c>
      <c r="H232" s="33">
        <v>-1</v>
      </c>
      <c r="I232" s="33">
        <v>-1</v>
      </c>
      <c r="J232" s="33">
        <v>-3</v>
      </c>
      <c r="K232" s="33">
        <v>-9</v>
      </c>
      <c r="L232" s="33">
        <v>4</v>
      </c>
      <c r="M232" s="33">
        <v>-5</v>
      </c>
      <c r="N232" s="34"/>
      <c r="O232" s="34"/>
      <c r="P232" s="34"/>
      <c r="Q232" s="34"/>
      <c r="R232" s="34"/>
      <c r="S232" s="34"/>
      <c r="T232" s="34"/>
      <c r="U232" s="34"/>
      <c r="V232" s="34"/>
      <c r="W232" s="34"/>
      <c r="X232" s="34"/>
      <c r="Y232" s="34"/>
    </row>
    <row r="233" spans="1:25" x14ac:dyDescent="0.25">
      <c r="A233" s="51"/>
      <c r="B233" s="32" t="s">
        <v>485</v>
      </c>
      <c r="E233" s="34"/>
      <c r="F233" s="34"/>
      <c r="G233" s="33">
        <v>8</v>
      </c>
      <c r="H233" s="33">
        <v>1</v>
      </c>
      <c r="I233" s="33">
        <v>-10</v>
      </c>
      <c r="J233" s="33">
        <v>0</v>
      </c>
      <c r="K233" s="33">
        <v>0</v>
      </c>
      <c r="L233" s="33">
        <v>-6</v>
      </c>
      <c r="M233" s="33">
        <v>6</v>
      </c>
      <c r="N233" s="34"/>
      <c r="O233" s="34"/>
      <c r="P233" s="34"/>
      <c r="Q233" s="34"/>
      <c r="R233" s="34"/>
      <c r="S233" s="34"/>
      <c r="T233" s="34"/>
      <c r="U233" s="34"/>
      <c r="V233" s="34"/>
      <c r="W233" s="34"/>
      <c r="X233" s="34"/>
      <c r="Y233" s="34"/>
    </row>
    <row r="234" spans="1:25" s="39" customFormat="1" x14ac:dyDescent="0.25">
      <c r="E234" s="40"/>
      <c r="F234" s="40"/>
      <c r="G234" s="40"/>
      <c r="H234" s="40"/>
      <c r="I234" s="40"/>
      <c r="J234" s="40"/>
      <c r="K234" s="40"/>
      <c r="L234" s="40"/>
      <c r="M234" s="40"/>
      <c r="N234" s="40"/>
      <c r="O234" s="40"/>
      <c r="P234" s="40"/>
      <c r="Q234" s="40"/>
      <c r="R234" s="40"/>
      <c r="S234" s="40"/>
      <c r="T234" s="40"/>
      <c r="U234" s="40"/>
      <c r="V234" s="40"/>
      <c r="W234" s="40"/>
      <c r="X234" s="40"/>
      <c r="Y234" s="40"/>
    </row>
    <row r="235" spans="1:25" x14ac:dyDescent="0.25">
      <c r="E235" s="34"/>
      <c r="F235" s="34"/>
      <c r="G235" s="34"/>
      <c r="H235" s="34"/>
      <c r="I235" s="34"/>
      <c r="J235" s="34"/>
      <c r="K235" s="34"/>
      <c r="L235" s="34"/>
      <c r="M235" s="34"/>
      <c r="N235" s="34"/>
      <c r="O235" s="34"/>
      <c r="P235" s="34"/>
      <c r="Q235" s="34"/>
      <c r="R235" s="34"/>
      <c r="S235" s="34"/>
      <c r="T235" s="34"/>
      <c r="U235" s="34"/>
      <c r="V235" s="34"/>
      <c r="W235" s="34"/>
      <c r="X235" s="34"/>
      <c r="Y235" s="34"/>
    </row>
    <row r="236" spans="1:25" x14ac:dyDescent="0.25">
      <c r="E236" s="34"/>
      <c r="F236" s="34"/>
      <c r="G236" s="34"/>
      <c r="H236" s="34"/>
      <c r="I236" s="34"/>
      <c r="J236" s="34"/>
      <c r="K236" s="34"/>
      <c r="L236" s="34"/>
      <c r="M236" s="34"/>
      <c r="N236" s="34"/>
      <c r="O236" s="34"/>
      <c r="P236" s="34"/>
      <c r="Q236" s="34"/>
      <c r="R236" s="34"/>
      <c r="S236" s="34"/>
      <c r="T236" s="34"/>
      <c r="U236" s="34"/>
      <c r="V236" s="34"/>
      <c r="W236" s="34"/>
      <c r="X236" s="34"/>
      <c r="Y236" s="34"/>
    </row>
    <row r="237" spans="1:25" x14ac:dyDescent="0.25">
      <c r="E237" s="34"/>
      <c r="F237" s="34"/>
      <c r="G237" s="34"/>
      <c r="H237" s="34"/>
      <c r="I237" s="34"/>
      <c r="J237" s="34"/>
      <c r="K237" s="34"/>
      <c r="L237" s="34"/>
      <c r="M237" s="34"/>
      <c r="N237" s="34"/>
      <c r="O237" s="34"/>
      <c r="P237" s="34"/>
      <c r="Q237" s="34"/>
      <c r="R237" s="34"/>
      <c r="S237" s="34"/>
      <c r="T237" s="34"/>
      <c r="U237" s="34"/>
      <c r="V237" s="34"/>
      <c r="W237" s="34"/>
      <c r="X237" s="34"/>
      <c r="Y237" s="34"/>
    </row>
    <row r="238" spans="1:25" x14ac:dyDescent="0.25">
      <c r="E238" s="34"/>
      <c r="F238" s="34"/>
      <c r="G238" s="34"/>
      <c r="H238" s="34"/>
      <c r="I238" s="34"/>
      <c r="J238" s="34"/>
      <c r="K238" s="34"/>
      <c r="L238" s="34"/>
      <c r="M238" s="34"/>
      <c r="N238" s="34"/>
      <c r="O238" s="34"/>
      <c r="P238" s="34"/>
      <c r="Q238" s="34"/>
      <c r="R238" s="34"/>
      <c r="S238" s="34"/>
      <c r="T238" s="34"/>
      <c r="U238" s="34"/>
      <c r="V238" s="34"/>
      <c r="W238" s="34"/>
      <c r="X238" s="34"/>
      <c r="Y238" s="34"/>
    </row>
    <row r="239" spans="1:25" x14ac:dyDescent="0.25">
      <c r="E239" s="34"/>
      <c r="F239" s="34"/>
      <c r="G239" s="34"/>
      <c r="H239" s="34"/>
      <c r="I239" s="34"/>
      <c r="J239" s="34"/>
      <c r="K239" s="34"/>
      <c r="L239" s="34"/>
      <c r="M239" s="34"/>
      <c r="N239" s="34"/>
      <c r="O239" s="34"/>
      <c r="P239" s="34"/>
      <c r="Q239" s="34"/>
      <c r="R239" s="34"/>
      <c r="S239" s="34"/>
      <c r="T239" s="34"/>
      <c r="U239" s="34"/>
      <c r="V239" s="34"/>
      <c r="W239" s="34"/>
      <c r="X239" s="34"/>
      <c r="Y239" s="34"/>
    </row>
    <row r="240" spans="1:25" x14ac:dyDescent="0.25">
      <c r="E240" s="34"/>
      <c r="F240" s="34"/>
      <c r="G240" s="34"/>
      <c r="H240" s="34"/>
      <c r="I240" s="34"/>
      <c r="J240" s="34"/>
      <c r="K240" s="34"/>
      <c r="L240" s="34"/>
      <c r="M240" s="34"/>
      <c r="N240" s="34"/>
      <c r="O240" s="34"/>
      <c r="P240" s="34"/>
      <c r="Q240" s="34"/>
      <c r="R240" s="34"/>
      <c r="S240" s="34"/>
      <c r="T240" s="34"/>
      <c r="U240" s="34"/>
      <c r="V240" s="34"/>
      <c r="W240" s="34"/>
      <c r="X240" s="34"/>
      <c r="Y240" s="34"/>
    </row>
    <row r="241" spans="5:25" x14ac:dyDescent="0.25">
      <c r="E241" s="34"/>
      <c r="F241" s="34"/>
      <c r="G241" s="34"/>
      <c r="H241" s="34"/>
      <c r="I241" s="34"/>
      <c r="J241" s="34"/>
      <c r="K241" s="34"/>
      <c r="L241" s="34"/>
      <c r="M241" s="34"/>
      <c r="N241" s="34"/>
      <c r="O241" s="34"/>
      <c r="P241" s="34"/>
      <c r="Q241" s="34"/>
      <c r="R241" s="34"/>
      <c r="S241" s="34"/>
      <c r="T241" s="34"/>
      <c r="U241" s="34"/>
      <c r="V241" s="34"/>
      <c r="W241" s="34"/>
      <c r="X241" s="34"/>
      <c r="Y241" s="34"/>
    </row>
    <row r="242" spans="5:25" x14ac:dyDescent="0.25">
      <c r="E242" s="34"/>
      <c r="F242" s="34"/>
      <c r="G242" s="34"/>
      <c r="H242" s="34"/>
      <c r="I242" s="34"/>
      <c r="J242" s="34"/>
      <c r="K242" s="34"/>
      <c r="L242" s="34"/>
      <c r="M242" s="34"/>
      <c r="N242" s="34"/>
      <c r="O242" s="34"/>
      <c r="P242" s="34"/>
      <c r="Q242" s="34"/>
      <c r="R242" s="34"/>
      <c r="S242" s="34"/>
      <c r="T242" s="34"/>
      <c r="U242" s="34"/>
      <c r="V242" s="34"/>
      <c r="W242" s="34"/>
      <c r="X242" s="34"/>
      <c r="Y242" s="34"/>
    </row>
    <row r="243" spans="5:25" x14ac:dyDescent="0.25">
      <c r="E243" s="34"/>
      <c r="F243" s="34"/>
      <c r="G243" s="34"/>
      <c r="H243" s="34"/>
      <c r="I243" s="34"/>
      <c r="J243" s="34"/>
      <c r="K243" s="34"/>
      <c r="L243" s="34"/>
      <c r="M243" s="34"/>
      <c r="N243" s="34"/>
      <c r="O243" s="34"/>
      <c r="P243" s="34"/>
      <c r="Q243" s="34"/>
      <c r="R243" s="34"/>
      <c r="S243" s="34"/>
      <c r="T243" s="34"/>
      <c r="U243" s="34"/>
      <c r="V243" s="34"/>
      <c r="W243" s="34"/>
      <c r="X243" s="34"/>
      <c r="Y243" s="34"/>
    </row>
    <row r="244" spans="5:25" x14ac:dyDescent="0.25">
      <c r="E244" s="34"/>
      <c r="F244" s="34"/>
      <c r="G244" s="34"/>
      <c r="H244" s="34"/>
      <c r="I244" s="34"/>
      <c r="J244" s="34"/>
      <c r="K244" s="34"/>
      <c r="L244" s="34"/>
      <c r="M244" s="34"/>
      <c r="N244" s="34"/>
      <c r="O244" s="34"/>
      <c r="P244" s="34"/>
      <c r="Q244" s="34"/>
      <c r="R244" s="34"/>
      <c r="S244" s="34"/>
      <c r="T244" s="34"/>
      <c r="U244" s="34"/>
      <c r="V244" s="34"/>
      <c r="W244" s="34"/>
      <c r="X244" s="34"/>
      <c r="Y244" s="34"/>
    </row>
  </sheetData>
  <mergeCells count="12">
    <mergeCell ref="A7:A24"/>
    <mergeCell ref="A26:A43"/>
    <mergeCell ref="A45:A62"/>
    <mergeCell ref="A64:A81"/>
    <mergeCell ref="A83:A100"/>
    <mergeCell ref="A216:A233"/>
    <mergeCell ref="A102:A119"/>
    <mergeCell ref="A121:A138"/>
    <mergeCell ref="A140:A157"/>
    <mergeCell ref="A159:A176"/>
    <mergeCell ref="A178:A195"/>
    <mergeCell ref="A197:A214"/>
  </mergeCells>
  <conditionalFormatting sqref="D7:D24">
    <cfRule type="top10" dxfId="1156" priority="335" percent="1" rank="25"/>
    <cfRule type="top10" dxfId="1155" priority="334" percent="1" bottom="1" rank="25"/>
  </conditionalFormatting>
  <conditionalFormatting sqref="D26:D43">
    <cfRule type="top10" dxfId="1154" priority="248" percent="1" bottom="1" rank="25"/>
    <cfRule type="top10" dxfId="1153" priority="249" percent="1" rank="25"/>
  </conditionalFormatting>
  <conditionalFormatting sqref="D45:D62">
    <cfRule type="top10" dxfId="1152" priority="291" percent="1" rank="25"/>
    <cfRule type="top10" dxfId="1151" priority="290" percent="1" bottom="1" rank="25"/>
  </conditionalFormatting>
  <conditionalFormatting sqref="D159:D176">
    <cfRule type="top10" dxfId="1150" priority="289" percent="1" rank="25"/>
    <cfRule type="top10" dxfId="1149" priority="288" percent="1" bottom="1" rank="25"/>
  </conditionalFormatting>
  <conditionalFormatting sqref="E7:E24">
    <cfRule type="top10" dxfId="1148" priority="337" percent="1" rank="25"/>
    <cfRule type="top10" dxfId="1147" priority="336" percent="1" bottom="1" rank="25"/>
  </conditionalFormatting>
  <conditionalFormatting sqref="E26:F43">
    <cfRule type="cellIs" dxfId="1146" priority="258" operator="lessThan">
      <formula>0</formula>
    </cfRule>
  </conditionalFormatting>
  <conditionalFormatting sqref="E45:F62 E64:F81 E83:F100 E102:F119 E121:F138 O121:S138 E140:F157 E159:F176 O159:S176 E178:F195 E197:F214 E216:F233">
    <cfRule type="cellIs" dxfId="1145" priority="491" operator="lessThan">
      <formula>0</formula>
    </cfRule>
  </conditionalFormatting>
  <conditionalFormatting sqref="E120:M120">
    <cfRule type="cellIs" dxfId="1144" priority="311" operator="lessThan">
      <formula>0</formula>
    </cfRule>
  </conditionalFormatting>
  <conditionalFormatting sqref="E139:M139">
    <cfRule type="cellIs" dxfId="1143" priority="310" operator="lessThan">
      <formula>0</formula>
    </cfRule>
  </conditionalFormatting>
  <conditionalFormatting sqref="E158:M158">
    <cfRule type="cellIs" dxfId="1142" priority="309" operator="lessThan">
      <formula>0</formula>
    </cfRule>
  </conditionalFormatting>
  <conditionalFormatting sqref="E177:M177">
    <cfRule type="cellIs" dxfId="1141" priority="308" operator="lessThan">
      <formula>0</formula>
    </cfRule>
  </conditionalFormatting>
  <conditionalFormatting sqref="E196:M196">
    <cfRule type="cellIs" dxfId="1140" priority="307" operator="lessThan">
      <formula>0</formula>
    </cfRule>
  </conditionalFormatting>
  <conditionalFormatting sqref="E215:M215">
    <cfRule type="cellIs" dxfId="1139" priority="306" operator="lessThan">
      <formula>0</formula>
    </cfRule>
  </conditionalFormatting>
  <conditionalFormatting sqref="E82:N82">
    <cfRule type="cellIs" dxfId="1138" priority="299" operator="lessThan">
      <formula>0</formula>
    </cfRule>
  </conditionalFormatting>
  <conditionalFormatting sqref="E101:N101">
    <cfRule type="cellIs" dxfId="1137" priority="296" operator="lessThan">
      <formula>0</formula>
    </cfRule>
  </conditionalFormatting>
  <conditionalFormatting sqref="E63:S63">
    <cfRule type="cellIs" dxfId="1136" priority="271" operator="lessThan">
      <formula>0</formula>
    </cfRule>
  </conditionalFormatting>
  <conditionalFormatting sqref="E234:S244">
    <cfRule type="cellIs" dxfId="1135" priority="340" operator="lessThan">
      <formula>0</formula>
    </cfRule>
  </conditionalFormatting>
  <conditionalFormatting sqref="E25:Y25">
    <cfRule type="cellIs" dxfId="1134" priority="241" operator="lessThan">
      <formula>0</formula>
    </cfRule>
  </conditionalFormatting>
  <conditionalFormatting sqref="E44:Y44">
    <cfRule type="cellIs" dxfId="1133" priority="244" operator="lessThan">
      <formula>0</formula>
    </cfRule>
  </conditionalFormatting>
  <conditionalFormatting sqref="F7:F24">
    <cfRule type="top10" dxfId="1132" priority="338" percent="1" bottom="1" rank="25"/>
    <cfRule type="top10" dxfId="1131" priority="339" percent="1" rank="25"/>
  </conditionalFormatting>
  <conditionalFormatting sqref="G7:G24">
    <cfRule type="top10" dxfId="1130" priority="480" percent="1" rank="25"/>
    <cfRule type="top10" dxfId="1129" priority="479" percent="1" bottom="1" rank="25"/>
  </conditionalFormatting>
  <conditionalFormatting sqref="G26:G43">
    <cfRule type="top10" dxfId="1128" priority="256" percent="1" bottom="1" rank="25"/>
    <cfRule type="top10" dxfId="1127" priority="257" percent="1" rank="25"/>
  </conditionalFormatting>
  <conditionalFormatting sqref="G45:G62">
    <cfRule type="top10" dxfId="1126" priority="470" percent="1" rank="25"/>
    <cfRule type="top10" dxfId="1125" priority="469" percent="1" bottom="1" rank="25"/>
  </conditionalFormatting>
  <conditionalFormatting sqref="G64:G81">
    <cfRule type="top10" dxfId="1124" priority="459" percent="1" bottom="1" rank="25"/>
    <cfRule type="top10" dxfId="1123" priority="460" percent="1" rank="25"/>
  </conditionalFormatting>
  <conditionalFormatting sqref="G83:G100">
    <cfRule type="top10" dxfId="1122" priority="449" percent="1" bottom="1" rank="25"/>
    <cfRule type="top10" dxfId="1121" priority="450" percent="1" rank="25"/>
  </conditionalFormatting>
  <conditionalFormatting sqref="G102:G119">
    <cfRule type="top10" dxfId="1120" priority="440" percent="1" rank="25"/>
    <cfRule type="top10" dxfId="1119" priority="439" percent="1" bottom="1" rank="25"/>
  </conditionalFormatting>
  <conditionalFormatting sqref="G121:G138">
    <cfRule type="top10" dxfId="1118" priority="430" percent="1" rank="25"/>
    <cfRule type="top10" dxfId="1117" priority="429" percent="1" bottom="1" rank="25"/>
  </conditionalFormatting>
  <conditionalFormatting sqref="G140:G157">
    <cfRule type="top10" dxfId="1116" priority="420" percent="1" rank="25"/>
    <cfRule type="top10" dxfId="1115" priority="419" percent="1" bottom="1" rank="25"/>
  </conditionalFormatting>
  <conditionalFormatting sqref="G159:G176">
    <cfRule type="top10" dxfId="1114" priority="410" percent="1" rank="25"/>
    <cfRule type="top10" dxfId="1113" priority="409" percent="1" bottom="1" rank="25"/>
  </conditionalFormatting>
  <conditionalFormatting sqref="G178:G195">
    <cfRule type="top10" dxfId="1112" priority="400" percent="1" rank="25"/>
    <cfRule type="top10" dxfId="1111" priority="399" percent="1" bottom="1" rank="25"/>
  </conditionalFormatting>
  <conditionalFormatting sqref="G197:G214">
    <cfRule type="top10" dxfId="1110" priority="390" percent="1" rank="25"/>
    <cfRule type="top10" dxfId="1109" priority="389" percent="1" bottom="1" rank="25"/>
  </conditionalFormatting>
  <conditionalFormatting sqref="G216:G233">
    <cfRule type="top10" dxfId="1108" priority="379" percent="1" bottom="1" rank="25"/>
    <cfRule type="top10" dxfId="1107" priority="380" percent="1" rank="25"/>
  </conditionalFormatting>
  <conditionalFormatting sqref="H7:H24">
    <cfRule type="top10" dxfId="1106" priority="478" percent="1" rank="25"/>
    <cfRule type="top10" dxfId="1105" priority="477" percent="1" bottom="1" rank="25"/>
  </conditionalFormatting>
  <conditionalFormatting sqref="H26:H43">
    <cfRule type="top10" dxfId="1104" priority="254" percent="1" bottom="1" rank="25"/>
    <cfRule type="top10" dxfId="1103" priority="255" percent="1" rank="25"/>
  </conditionalFormatting>
  <conditionalFormatting sqref="H45:H62">
    <cfRule type="top10" dxfId="1102" priority="468" percent="1" rank="25"/>
    <cfRule type="top10" dxfId="1101" priority="467" percent="1" bottom="1" rank="25"/>
  </conditionalFormatting>
  <conditionalFormatting sqref="H64:H81">
    <cfRule type="top10" dxfId="1100" priority="457" percent="1" bottom="1" rank="25"/>
    <cfRule type="top10" dxfId="1099" priority="458" percent="1" rank="25"/>
  </conditionalFormatting>
  <conditionalFormatting sqref="H83:H100">
    <cfRule type="top10" dxfId="1098" priority="447" percent="1" bottom="1" rank="25"/>
    <cfRule type="top10" dxfId="1097" priority="448" percent="1" rank="25"/>
  </conditionalFormatting>
  <conditionalFormatting sqref="H102:H119">
    <cfRule type="top10" dxfId="1096" priority="437" percent="1" bottom="1" rank="25"/>
    <cfRule type="top10" dxfId="1095" priority="438" percent="1" rank="25"/>
  </conditionalFormatting>
  <conditionalFormatting sqref="H121:H138">
    <cfRule type="top10" dxfId="1094" priority="427" percent="1" bottom="1" rank="25"/>
    <cfRule type="top10" dxfId="1093" priority="428" percent="1" rank="25"/>
  </conditionalFormatting>
  <conditionalFormatting sqref="H140:H157">
    <cfRule type="top10" dxfId="1092" priority="418" percent="1" rank="25"/>
    <cfRule type="top10" dxfId="1091" priority="417" percent="1" bottom="1" rank="25"/>
  </conditionalFormatting>
  <conditionalFormatting sqref="H159:H176">
    <cfRule type="top10" dxfId="1090" priority="408" percent="1" rank="25"/>
    <cfRule type="top10" dxfId="1089" priority="407" percent="1" bottom="1" rank="25"/>
  </conditionalFormatting>
  <conditionalFormatting sqref="H178:H195">
    <cfRule type="top10" dxfId="1088" priority="397" percent="1" bottom="1" rank="25"/>
    <cfRule type="top10" dxfId="1087" priority="398" percent="1" rank="25"/>
  </conditionalFormatting>
  <conditionalFormatting sqref="H197:H214">
    <cfRule type="top10" dxfId="1086" priority="387" percent="1" bottom="1" rank="25"/>
    <cfRule type="top10" dxfId="1085" priority="388" percent="1" rank="25"/>
  </conditionalFormatting>
  <conditionalFormatting sqref="H216:H233">
    <cfRule type="top10" dxfId="1084" priority="377" percent="1" bottom="1" rank="25"/>
    <cfRule type="top10" dxfId="1083" priority="378" percent="1" rank="25"/>
  </conditionalFormatting>
  <conditionalFormatting sqref="I7:I24">
    <cfRule type="top10" dxfId="1082" priority="476" percent="1" rank="25"/>
    <cfRule type="top10" dxfId="1081" priority="475" percent="1" bottom="1" rank="25"/>
  </conditionalFormatting>
  <conditionalFormatting sqref="I26:I43">
    <cfRule type="top10" dxfId="1080" priority="253" percent="1" rank="25"/>
    <cfRule type="top10" dxfId="1079" priority="252" percent="1" bottom="1" rank="25"/>
  </conditionalFormatting>
  <conditionalFormatting sqref="I45:I62">
    <cfRule type="top10" dxfId="1078" priority="465" percent="1" bottom="1" rank="25"/>
    <cfRule type="top10" dxfId="1077" priority="466" percent="1" rank="25"/>
  </conditionalFormatting>
  <conditionalFormatting sqref="I64:I81">
    <cfRule type="top10" dxfId="1076" priority="455" percent="1" bottom="1" rank="25"/>
    <cfRule type="top10" dxfId="1075" priority="456" percent="1" rank="25"/>
  </conditionalFormatting>
  <conditionalFormatting sqref="I83:I100">
    <cfRule type="top10" dxfId="1074" priority="445" percent="1" bottom="1" rank="25"/>
    <cfRule type="top10" dxfId="1073" priority="446" percent="1" rank="25"/>
  </conditionalFormatting>
  <conditionalFormatting sqref="I102:I119">
    <cfRule type="top10" dxfId="1072" priority="436" percent="1" rank="25"/>
    <cfRule type="top10" dxfId="1071" priority="435" percent="1" bottom="1" rank="25"/>
  </conditionalFormatting>
  <conditionalFormatting sqref="I121:I138">
    <cfRule type="top10" dxfId="1070" priority="426" percent="1" rank="25"/>
    <cfRule type="top10" dxfId="1069" priority="425" percent="1" bottom="1" rank="25"/>
  </conditionalFormatting>
  <conditionalFormatting sqref="I140:I157">
    <cfRule type="top10" dxfId="1068" priority="416" percent="1" rank="25"/>
    <cfRule type="top10" dxfId="1067" priority="415" percent="1" bottom="1" rank="25"/>
  </conditionalFormatting>
  <conditionalFormatting sqref="I159:I176">
    <cfRule type="top10" dxfId="1066" priority="405" percent="1" bottom="1" rank="25"/>
    <cfRule type="top10" dxfId="1065" priority="406" percent="1" rank="25"/>
  </conditionalFormatting>
  <conditionalFormatting sqref="I178:I195">
    <cfRule type="top10" dxfId="1064" priority="396" percent="1" rank="25"/>
    <cfRule type="top10" dxfId="1063" priority="395" percent="1" bottom="1" rank="25"/>
  </conditionalFormatting>
  <conditionalFormatting sqref="I197:I214">
    <cfRule type="top10" dxfId="1062" priority="386" percent="1" rank="25"/>
    <cfRule type="top10" dxfId="1061" priority="385" percent="1" bottom="1" rank="25"/>
  </conditionalFormatting>
  <conditionalFormatting sqref="I216:I233">
    <cfRule type="top10" dxfId="1060" priority="375" percent="1" bottom="1" rank="25"/>
    <cfRule type="top10" dxfId="1059" priority="376" percent="1" rank="25"/>
  </conditionalFormatting>
  <conditionalFormatting sqref="J7:J24">
    <cfRule type="top10" dxfId="1058" priority="473" percent="1" bottom="1" rank="25"/>
    <cfRule type="top10" dxfId="1057" priority="474" percent="1" rank="25"/>
  </conditionalFormatting>
  <conditionalFormatting sqref="J26:J43">
    <cfRule type="top10" dxfId="1056" priority="250" percent="1" bottom="1" rank="25"/>
    <cfRule type="top10" dxfId="1055" priority="251" percent="1" rank="25"/>
  </conditionalFormatting>
  <conditionalFormatting sqref="J45:J62">
    <cfRule type="top10" dxfId="1054" priority="463" percent="1" bottom="1" rank="25"/>
    <cfRule type="top10" dxfId="1053" priority="464" percent="1" rank="25"/>
  </conditionalFormatting>
  <conditionalFormatting sqref="J64:J81">
    <cfRule type="top10" dxfId="1052" priority="453" percent="1" bottom="1" rank="25"/>
    <cfRule type="top10" dxfId="1051" priority="454" percent="1" rank="25"/>
  </conditionalFormatting>
  <conditionalFormatting sqref="J83:J100">
    <cfRule type="top10" dxfId="1050" priority="444" percent="1" rank="25"/>
    <cfRule type="top10" dxfId="1049" priority="443" percent="1" bottom="1" rank="25"/>
  </conditionalFormatting>
  <conditionalFormatting sqref="J102:J119">
    <cfRule type="top10" dxfId="1048" priority="434" percent="1" rank="25"/>
    <cfRule type="top10" dxfId="1047" priority="433" percent="1" bottom="1" rank="25"/>
  </conditionalFormatting>
  <conditionalFormatting sqref="J121:J138">
    <cfRule type="top10" dxfId="1046" priority="424" percent="1" rank="25"/>
    <cfRule type="top10" dxfId="1045" priority="423" percent="1" bottom="1" rank="25"/>
  </conditionalFormatting>
  <conditionalFormatting sqref="J140:J157">
    <cfRule type="top10" dxfId="1044" priority="414" percent="1" rank="25"/>
    <cfRule type="top10" dxfId="1043" priority="413" percent="1" bottom="1" rank="25"/>
  </conditionalFormatting>
  <conditionalFormatting sqref="J159:J176">
    <cfRule type="top10" dxfId="1042" priority="404" percent="1" rank="25"/>
    <cfRule type="top10" dxfId="1041" priority="403" percent="1" bottom="1" rank="25"/>
  </conditionalFormatting>
  <conditionalFormatting sqref="J178:J195">
    <cfRule type="top10" dxfId="1040" priority="394" percent="1" rank="25"/>
    <cfRule type="top10" dxfId="1039" priority="393" percent="1" bottom="1" rank="25"/>
  </conditionalFormatting>
  <conditionalFormatting sqref="J197:J214">
    <cfRule type="top10" dxfId="1038" priority="384" percent="1" rank="25"/>
    <cfRule type="top10" dxfId="1037" priority="383" percent="1" bottom="1" rank="25"/>
  </conditionalFormatting>
  <conditionalFormatting sqref="J216:J233">
    <cfRule type="top10" dxfId="1036" priority="373" percent="1" bottom="1" rank="25"/>
    <cfRule type="top10" dxfId="1035" priority="374" percent="1" rank="25"/>
  </conditionalFormatting>
  <conditionalFormatting sqref="K7:K24">
    <cfRule type="top10" dxfId="1034" priority="472" percent="1" rank="25"/>
    <cfRule type="top10" dxfId="1033" priority="471" percent="1" bottom="1" rank="25"/>
  </conditionalFormatting>
  <conditionalFormatting sqref="K45:K62">
    <cfRule type="top10" dxfId="1032" priority="462" percent="1" rank="25"/>
    <cfRule type="top10" dxfId="1031" priority="461" percent="1" bottom="1" rank="25"/>
  </conditionalFormatting>
  <conditionalFormatting sqref="K64:K81">
    <cfRule type="top10" dxfId="1030" priority="452" percent="1" rank="25"/>
    <cfRule type="top10" dxfId="1029" priority="451" percent="1" bottom="1" rank="25"/>
  </conditionalFormatting>
  <conditionalFormatting sqref="K83:K100">
    <cfRule type="top10" dxfId="1028" priority="441" percent="1" bottom="1" rank="25"/>
    <cfRule type="top10" dxfId="1027" priority="442" percent="1" rank="25"/>
  </conditionalFormatting>
  <conditionalFormatting sqref="K102:K119">
    <cfRule type="top10" dxfId="1026" priority="431" percent="1" bottom="1" rank="25"/>
    <cfRule type="top10" dxfId="1025" priority="432" percent="1" rank="25"/>
  </conditionalFormatting>
  <conditionalFormatting sqref="K121:K138">
    <cfRule type="top10" dxfId="1024" priority="422" percent="1" rank="25"/>
    <cfRule type="top10" dxfId="1023" priority="421" percent="1" bottom="1" rank="25"/>
  </conditionalFormatting>
  <conditionalFormatting sqref="K140:K157">
    <cfRule type="top10" dxfId="1022" priority="412" percent="1" rank="25"/>
    <cfRule type="top10" dxfId="1021" priority="411" percent="1" bottom="1" rank="25"/>
  </conditionalFormatting>
  <conditionalFormatting sqref="K159:K176">
    <cfRule type="top10" dxfId="1020" priority="402" percent="1" rank="25"/>
    <cfRule type="top10" dxfId="1019" priority="401" percent="1" bottom="1" rank="25"/>
  </conditionalFormatting>
  <conditionalFormatting sqref="K178:K195">
    <cfRule type="top10" dxfId="1018" priority="391" percent="1" bottom="1" rank="25"/>
    <cfRule type="top10" dxfId="1017" priority="392" percent="1" rank="25"/>
  </conditionalFormatting>
  <conditionalFormatting sqref="K197:K214">
    <cfRule type="top10" dxfId="1016" priority="381" percent="1" bottom="1" rank="25"/>
    <cfRule type="top10" dxfId="1015" priority="382" percent="1" rank="25"/>
  </conditionalFormatting>
  <conditionalFormatting sqref="K216:K233">
    <cfRule type="top10" dxfId="1014" priority="372" percent="1" rank="25"/>
    <cfRule type="top10" dxfId="1013" priority="371" percent="1" bottom="1" rank="25"/>
  </conditionalFormatting>
  <conditionalFormatting sqref="K26:AD43">
    <cfRule type="top10" dxfId="1012" priority="247" percent="1" rank="25"/>
    <cfRule type="top10" dxfId="1011" priority="246" percent="1" bottom="1" rank="25"/>
  </conditionalFormatting>
  <conditionalFormatting sqref="L7:L24">
    <cfRule type="top10" dxfId="1010" priority="359" percent="1" bottom="1" rank="25"/>
    <cfRule type="top10" dxfId="1009" priority="360" percent="1" rank="25"/>
  </conditionalFormatting>
  <conditionalFormatting sqref="L45:L62">
    <cfRule type="top10" dxfId="1008" priority="358" percent="1" rank="25"/>
    <cfRule type="top10" dxfId="1007" priority="357" percent="1" bottom="1" rank="25"/>
  </conditionalFormatting>
  <conditionalFormatting sqref="L64:L81">
    <cfRule type="top10" dxfId="1006" priority="356" percent="1" rank="25"/>
    <cfRule type="top10" dxfId="1005" priority="355" percent="1" bottom="1" rank="25"/>
  </conditionalFormatting>
  <conditionalFormatting sqref="L83:L100">
    <cfRule type="top10" dxfId="1004" priority="354" percent="1" rank="25"/>
    <cfRule type="top10" dxfId="1003" priority="353" percent="1" bottom="1" rank="25"/>
  </conditionalFormatting>
  <conditionalFormatting sqref="L102:L119">
    <cfRule type="top10" dxfId="1002" priority="352" percent="1" rank="25"/>
    <cfRule type="top10" dxfId="1001" priority="351" percent="1" bottom="1" rank="25"/>
  </conditionalFormatting>
  <conditionalFormatting sqref="L121:L138">
    <cfRule type="top10" dxfId="1000" priority="350" percent="1" rank="25"/>
    <cfRule type="top10" dxfId="999" priority="349" percent="1" bottom="1" rank="25"/>
  </conditionalFormatting>
  <conditionalFormatting sqref="L140:L157">
    <cfRule type="top10" dxfId="998" priority="348" percent="1" rank="25"/>
    <cfRule type="top10" dxfId="997" priority="347" percent="1" bottom="1" rank="25"/>
  </conditionalFormatting>
  <conditionalFormatting sqref="L159:L176">
    <cfRule type="top10" dxfId="996" priority="346" percent="1" rank="25"/>
    <cfRule type="top10" dxfId="995" priority="345" percent="1" bottom="1" rank="25"/>
  </conditionalFormatting>
  <conditionalFormatting sqref="L178:L195">
    <cfRule type="top10" dxfId="994" priority="344" percent="1" rank="25"/>
    <cfRule type="top10" dxfId="993" priority="343" percent="1" bottom="1" rank="25"/>
  </conditionalFormatting>
  <conditionalFormatting sqref="L197:L214">
    <cfRule type="top10" dxfId="992" priority="342" percent="1" rank="25"/>
    <cfRule type="top10" dxfId="991" priority="341" percent="1" bottom="1" rank="25"/>
  </conditionalFormatting>
  <conditionalFormatting sqref="L217:L233">
    <cfRule type="top10" dxfId="990" priority="492" percent="1" bottom="1" rank="25"/>
    <cfRule type="top10" dxfId="989" priority="493" percent="1" rank="25"/>
  </conditionalFormatting>
  <conditionalFormatting sqref="M7:M24">
    <cfRule type="top10" dxfId="988" priority="330" percent="1" bottom="1" rank="25"/>
    <cfRule type="top10" dxfId="987" priority="331" percent="1" rank="25"/>
  </conditionalFormatting>
  <conditionalFormatting sqref="M45:M62">
    <cfRule type="top10" dxfId="986" priority="329" percent="1" rank="25"/>
    <cfRule type="top10" dxfId="985" priority="328" percent="1" bottom="1" rank="25"/>
  </conditionalFormatting>
  <conditionalFormatting sqref="M64:M81">
    <cfRule type="top10" dxfId="984" priority="327" percent="1" rank="25"/>
    <cfRule type="top10" dxfId="983" priority="326" percent="1" bottom="1" rank="25"/>
  </conditionalFormatting>
  <conditionalFormatting sqref="M83:M100">
    <cfRule type="top10" dxfId="982" priority="325" percent="1" rank="25"/>
    <cfRule type="top10" dxfId="981" priority="324" percent="1" bottom="1" rank="25"/>
  </conditionalFormatting>
  <conditionalFormatting sqref="M102:M119">
    <cfRule type="top10" dxfId="980" priority="323" percent="1" rank="25"/>
    <cfRule type="top10" dxfId="979" priority="322" percent="1" bottom="1" rank="25"/>
  </conditionalFormatting>
  <conditionalFormatting sqref="M121:M138">
    <cfRule type="top10" dxfId="978" priority="321" percent="1" rank="25"/>
    <cfRule type="top10" dxfId="977" priority="320" percent="1" bottom="1" rank="25"/>
  </conditionalFormatting>
  <conditionalFormatting sqref="M140:M157">
    <cfRule type="top10" dxfId="976" priority="318" percent="1" bottom="1" rank="25"/>
    <cfRule type="top10" dxfId="975" priority="319" percent="1" rank="25"/>
  </conditionalFormatting>
  <conditionalFormatting sqref="M159:M176">
    <cfRule type="top10" dxfId="974" priority="316" percent="1" bottom="1" rank="25"/>
    <cfRule type="top10" dxfId="973" priority="317" percent="1" rank="25"/>
  </conditionalFormatting>
  <conditionalFormatting sqref="M178:M195">
    <cfRule type="top10" dxfId="972" priority="315" percent="1" rank="25"/>
    <cfRule type="top10" dxfId="971" priority="314" percent="1" bottom="1" rank="25"/>
  </conditionalFormatting>
  <conditionalFormatting sqref="M197:M214">
    <cfRule type="top10" dxfId="970" priority="313" percent="1" rank="25"/>
    <cfRule type="top10" dxfId="969" priority="312" percent="1" bottom="1" rank="25"/>
  </conditionalFormatting>
  <conditionalFormatting sqref="M217:M233">
    <cfRule type="top10" dxfId="968" priority="333" percent="1" rank="25"/>
    <cfRule type="top10" dxfId="967" priority="332" percent="1" bottom="1" rank="25"/>
  </conditionalFormatting>
  <conditionalFormatting sqref="N7:N24">
    <cfRule type="top10" dxfId="966" priority="305" percent="1" rank="25"/>
    <cfRule type="top10" dxfId="965" priority="304" percent="1" bottom="1" rank="25"/>
  </conditionalFormatting>
  <conditionalFormatting sqref="N45:N62">
    <cfRule type="top10" dxfId="964" priority="302" percent="1" bottom="1" rank="25"/>
    <cfRule type="top10" dxfId="963" priority="303" percent="1" rank="25"/>
  </conditionalFormatting>
  <conditionalFormatting sqref="N64:N81">
    <cfRule type="top10" dxfId="962" priority="301" percent="1" rank="25"/>
    <cfRule type="top10" dxfId="961" priority="300" percent="1" bottom="1" rank="25"/>
  </conditionalFormatting>
  <conditionalFormatting sqref="N83:N100">
    <cfRule type="top10" dxfId="960" priority="297" percent="1" bottom="1" rank="25"/>
    <cfRule type="top10" dxfId="959" priority="298" percent="1" rank="25"/>
  </conditionalFormatting>
  <conditionalFormatting sqref="N121:N138">
    <cfRule type="top10" dxfId="958" priority="295" percent="1" rank="25"/>
    <cfRule type="top10" dxfId="957" priority="294" percent="1" bottom="1" rank="25"/>
  </conditionalFormatting>
  <conditionalFormatting sqref="N159:N176">
    <cfRule type="top10" dxfId="956" priority="293" percent="1" rank="25"/>
    <cfRule type="top10" dxfId="955" priority="292" percent="1" bottom="1" rank="25"/>
  </conditionalFormatting>
  <conditionalFormatting sqref="N102:S120">
    <cfRule type="cellIs" dxfId="954" priority="369" operator="lessThan">
      <formula>0</formula>
    </cfRule>
  </conditionalFormatting>
  <conditionalFormatting sqref="N139:S158">
    <cfRule type="cellIs" dxfId="953" priority="368" operator="lessThan">
      <formula>0</formula>
    </cfRule>
  </conditionalFormatting>
  <conditionalFormatting sqref="N177:S233">
    <cfRule type="cellIs" dxfId="952" priority="367" operator="lessThan">
      <formula>0</formula>
    </cfRule>
  </conditionalFormatting>
  <conditionalFormatting sqref="O7:O24">
    <cfRule type="top10" dxfId="951" priority="286" percent="1" bottom="1" rank="25"/>
    <cfRule type="top10" dxfId="950" priority="287" percent="1" rank="25"/>
  </conditionalFormatting>
  <conditionalFormatting sqref="O45:O62">
    <cfRule type="top10" dxfId="949" priority="284" percent="1" bottom="1" rank="25"/>
    <cfRule type="top10" dxfId="948" priority="285" percent="1" rank="25"/>
  </conditionalFormatting>
  <conditionalFormatting sqref="O64:S101">
    <cfRule type="cellIs" dxfId="947" priority="370" operator="lessThan">
      <formula>0</formula>
    </cfRule>
  </conditionalFormatting>
  <conditionalFormatting sqref="P7:P24">
    <cfRule type="top10" dxfId="946" priority="283" percent="1" rank="25"/>
    <cfRule type="top10" dxfId="945" priority="282" percent="1" bottom="1" rank="25"/>
  </conditionalFormatting>
  <conditionalFormatting sqref="P45:P62">
    <cfRule type="top10" dxfId="944" priority="281" percent="1" rank="25"/>
    <cfRule type="top10" dxfId="943" priority="280" percent="1" bottom="1" rank="25"/>
  </conditionalFormatting>
  <conditionalFormatting sqref="Q7:Q24">
    <cfRule type="top10" dxfId="942" priority="279" percent="1" rank="25"/>
    <cfRule type="top10" dxfId="941" priority="278" percent="1" bottom="1" rank="25"/>
  </conditionalFormatting>
  <conditionalFormatting sqref="Q45:Q62">
    <cfRule type="top10" dxfId="940" priority="277" percent="1" rank="25"/>
    <cfRule type="top10" dxfId="939" priority="276" percent="1" bottom="1" rank="25"/>
  </conditionalFormatting>
  <conditionalFormatting sqref="R7:R24">
    <cfRule type="top10" dxfId="938" priority="274" percent="1" bottom="1" rank="25"/>
    <cfRule type="top10" dxfId="937" priority="275" percent="1" rank="25"/>
  </conditionalFormatting>
  <conditionalFormatting sqref="R45:R62">
    <cfRule type="top10" dxfId="936" priority="273" percent="1" rank="25"/>
    <cfRule type="top10" dxfId="935" priority="272" percent="1" bottom="1" rank="25"/>
  </conditionalFormatting>
  <conditionalFormatting sqref="S7:S24">
    <cfRule type="top10" dxfId="934" priority="269" percent="1" bottom="1" rank="25"/>
    <cfRule type="top10" dxfId="933" priority="270" percent="1" rank="25"/>
  </conditionalFormatting>
  <conditionalFormatting sqref="S45:S62">
    <cfRule type="top10" dxfId="932" priority="267" percent="1" bottom="1" rank="25"/>
    <cfRule type="top10" dxfId="931" priority="268" percent="1" rank="25"/>
  </conditionalFormatting>
  <conditionalFormatting sqref="T7:T24 W7:W24 Y7:Y24">
    <cfRule type="top10" dxfId="930" priority="265" percent="1" bottom="1" rank="25"/>
    <cfRule type="top10" dxfId="929" priority="266" percent="1" rank="25"/>
  </conditionalFormatting>
  <conditionalFormatting sqref="T45:T62 W45:W62 Y45:Y62">
    <cfRule type="top10" dxfId="928" priority="264" percent="1" rank="25"/>
    <cfRule type="top10" dxfId="927" priority="263" percent="1" bottom="1" rank="25"/>
  </conditionalFormatting>
  <conditionalFormatting sqref="T63:Y244">
    <cfRule type="cellIs" dxfId="926" priority="245" operator="lessThan">
      <formula>0</formula>
    </cfRule>
  </conditionalFormatting>
  <conditionalFormatting sqref="U7:V24">
    <cfRule type="top10" dxfId="925" priority="261" percent="1" bottom="1" rank="25"/>
    <cfRule type="top10" dxfId="924" priority="262" percent="1" rank="25"/>
  </conditionalFormatting>
  <conditionalFormatting sqref="U45:V62">
    <cfRule type="top10" dxfId="923" priority="259" percent="1" bottom="1" rank="25"/>
    <cfRule type="top10" dxfId="922" priority="260" percent="1" rank="25"/>
  </conditionalFormatting>
  <conditionalFormatting sqref="X7:X24">
    <cfRule type="top10" dxfId="921" priority="243" percent="1" rank="25"/>
    <cfRule type="top10" dxfId="920" priority="242" percent="1" bottom="1" rank="25"/>
  </conditionalFormatting>
  <conditionalFormatting sqref="X45:X62">
    <cfRule type="top10" dxfId="919" priority="239" percent="1" bottom="1" rank="25"/>
    <cfRule type="top10" dxfId="918" priority="240" percent="1" rank="25"/>
  </conditionalFormatting>
  <conditionalFormatting sqref="Z7:Z24">
    <cfRule type="top10" dxfId="917" priority="238" percent="1" rank="25"/>
    <cfRule type="top10" dxfId="916" priority="237" percent="1" bottom="1" rank="25"/>
  </conditionalFormatting>
  <conditionalFormatting sqref="Z45:Z62">
    <cfRule type="top10" dxfId="915" priority="235" percent="1" bottom="1" rank="25"/>
    <cfRule type="top10" dxfId="914" priority="236" percent="1" rank="25"/>
  </conditionalFormatting>
  <conditionalFormatting sqref="AA7:AA24">
    <cfRule type="top10" dxfId="913" priority="231" percent="1" bottom="1" rank="25"/>
    <cfRule type="top10" dxfId="912" priority="232" percent="1" rank="25"/>
  </conditionalFormatting>
  <conditionalFormatting sqref="AA45:AA62">
    <cfRule type="top10" dxfId="911" priority="233" percent="1" bottom="1" rank="25"/>
    <cfRule type="top10" dxfId="910" priority="234" percent="1" rank="25"/>
  </conditionalFormatting>
  <conditionalFormatting sqref="AB7:AB24">
    <cfRule type="top10" dxfId="909" priority="229" percent="1" bottom="1" rank="25"/>
    <cfRule type="top10" dxfId="908" priority="230" percent="1" rank="25"/>
  </conditionalFormatting>
  <conditionalFormatting sqref="AB45:AB62">
    <cfRule type="top10" dxfId="907" priority="227" percent="1" bottom="1" rank="25"/>
    <cfRule type="top10" dxfId="906" priority="228" percent="1" rank="25"/>
  </conditionalFormatting>
  <conditionalFormatting sqref="AC7:AC24">
    <cfRule type="top10" dxfId="905" priority="225" percent="1" bottom="1" rank="25"/>
    <cfRule type="top10" dxfId="904" priority="226" percent="1" rank="25"/>
  </conditionalFormatting>
  <conditionalFormatting sqref="AC45:AC62">
    <cfRule type="top10" dxfId="903" priority="223" percent="1" bottom="1" rank="25"/>
    <cfRule type="top10" dxfId="902" priority="224" percent="1" rank="25"/>
  </conditionalFormatting>
  <conditionalFormatting sqref="AD7:AD24">
    <cfRule type="top10" dxfId="901" priority="222" percent="1" rank="25"/>
    <cfRule type="top10" dxfId="900" priority="221" percent="1" bottom="1" rank="25"/>
  </conditionalFormatting>
  <conditionalFormatting sqref="AD45:AD62">
    <cfRule type="top10" dxfId="899" priority="219" percent="1" bottom="1" rank="25"/>
    <cfRule type="top10" dxfId="898" priority="220" percent="1" rank="25"/>
  </conditionalFormatting>
  <conditionalFormatting sqref="AE7:AE24">
    <cfRule type="top10" dxfId="897" priority="210" percent="1" rank="25"/>
    <cfRule type="top10" dxfId="896" priority="209" percent="1" bottom="1" rank="25"/>
  </conditionalFormatting>
  <conditionalFormatting sqref="AE45:AE62">
    <cfRule type="top10" dxfId="895" priority="215" percent="1" bottom="1" rank="25"/>
    <cfRule type="top10" dxfId="894" priority="216" percent="1" rank="25"/>
  </conditionalFormatting>
  <conditionalFormatting sqref="AE26:AF43">
    <cfRule type="top10" dxfId="893" priority="217" percent="1" bottom="1" rank="25"/>
    <cfRule type="top10" dxfId="892" priority="218" percent="1" rank="25"/>
  </conditionalFormatting>
  <conditionalFormatting sqref="AF7:AF24">
    <cfRule type="top10" dxfId="891" priority="208" percent="1" rank="25"/>
    <cfRule type="top10" dxfId="890" priority="207" percent="1" bottom="1" rank="25"/>
  </conditionalFormatting>
  <conditionalFormatting sqref="AF45:AF62">
    <cfRule type="top10" dxfId="889" priority="211" percent="1" bottom="1" rank="25"/>
    <cfRule type="top10" dxfId="888" priority="212" percent="1" rank="25"/>
  </conditionalFormatting>
  <conditionalFormatting sqref="AG7:AG24">
    <cfRule type="top10" dxfId="887" priority="203" percent="1" bottom="1" rank="25"/>
    <cfRule type="top10" dxfId="886" priority="204" percent="1" rank="25"/>
  </conditionalFormatting>
  <conditionalFormatting sqref="AG26:AG43">
    <cfRule type="top10" dxfId="885" priority="199" percent="1" bottom="1" rank="25"/>
    <cfRule type="top10" dxfId="884" priority="200" percent="1" rank="25"/>
  </conditionalFormatting>
  <conditionalFormatting sqref="AG45:AG62">
    <cfRule type="top10" dxfId="883" priority="205" percent="1" bottom="1" rank="25"/>
    <cfRule type="top10" dxfId="882" priority="206" percent="1" rank="25"/>
  </conditionalFormatting>
  <conditionalFormatting sqref="AH7:AH24">
    <cfRule type="top10" dxfId="881" priority="196" percent="1" rank="25"/>
    <cfRule type="top10" dxfId="880" priority="195" percent="1" bottom="1" rank="25"/>
  </conditionalFormatting>
  <conditionalFormatting sqref="AH26:AH43">
    <cfRule type="top10" dxfId="879" priority="192" percent="1" rank="25"/>
    <cfRule type="top10" dxfId="878" priority="191" percent="1" bottom="1" rank="25"/>
  </conditionalFormatting>
  <conditionalFormatting sqref="AH45:AH62">
    <cfRule type="top10" dxfId="877" priority="198" percent="1" rank="25"/>
    <cfRule type="top10" dxfId="876" priority="197" percent="1" bottom="1" rank="25"/>
  </conditionalFormatting>
  <conditionalFormatting sqref="AI7:AI24">
    <cfRule type="top10" dxfId="875" priority="188" percent="1" rank="25"/>
    <cfRule type="top10" dxfId="874" priority="187" percent="1" bottom="1" rank="25"/>
  </conditionalFormatting>
  <conditionalFormatting sqref="AI45:AI62">
    <cfRule type="top10" dxfId="873" priority="190" percent="1" rank="25"/>
    <cfRule type="top10" dxfId="872" priority="189" percent="1" bottom="1" rank="25"/>
  </conditionalFormatting>
  <conditionalFormatting sqref="AI26:BA43">
    <cfRule type="top10" dxfId="871" priority="183" percent="1" bottom="1" rank="25"/>
    <cfRule type="top10" dxfId="870" priority="184" percent="1" rank="25"/>
  </conditionalFormatting>
  <conditionalFormatting sqref="AJ7:AJ24">
    <cfRule type="top10" dxfId="869" priority="180" percent="1" rank="25"/>
    <cfRule type="top10" dxfId="868" priority="179" percent="1" bottom="1" rank="25"/>
  </conditionalFormatting>
  <conditionalFormatting sqref="AJ45:AJ62">
    <cfRule type="top10" dxfId="867" priority="181" percent="1" bottom="1" rank="25"/>
    <cfRule type="top10" dxfId="866" priority="182" percent="1" rank="25"/>
  </conditionalFormatting>
  <conditionalFormatting sqref="AK7:AW24">
    <cfRule type="top10" dxfId="865" priority="173" percent="1" bottom="1" rank="25"/>
    <cfRule type="top10" dxfId="864" priority="174" percent="1" rank="25"/>
  </conditionalFormatting>
  <conditionalFormatting sqref="AK45:AW62">
    <cfRule type="top10" dxfId="863" priority="175" percent="1" bottom="1" rank="25"/>
    <cfRule type="top10" dxfId="862" priority="176" percent="1" rank="25"/>
  </conditionalFormatting>
  <conditionalFormatting sqref="AX7:AX24">
    <cfRule type="top10" dxfId="861" priority="171" percent="1" bottom="1" rank="25"/>
    <cfRule type="top10" dxfId="860" priority="172" percent="1" rank="25"/>
  </conditionalFormatting>
  <conditionalFormatting sqref="AX45:AX62">
    <cfRule type="top10" dxfId="859" priority="169" percent="1" bottom="1" rank="25"/>
    <cfRule type="top10" dxfId="858" priority="170" percent="1" rank="25"/>
  </conditionalFormatting>
  <conditionalFormatting sqref="AY7:AY24">
    <cfRule type="top10" dxfId="857" priority="166" percent="1" rank="25"/>
    <cfRule type="top10" dxfId="856" priority="165" percent="1" bottom="1" rank="25"/>
  </conditionalFormatting>
  <conditionalFormatting sqref="AY45:AY62">
    <cfRule type="top10" dxfId="855" priority="168" percent="1" rank="25"/>
    <cfRule type="top10" dxfId="854" priority="167" percent="1" bottom="1" rank="25"/>
  </conditionalFormatting>
  <conditionalFormatting sqref="AZ7:AZ24">
    <cfRule type="top10" dxfId="853" priority="164" percent="1" rank="25"/>
    <cfRule type="top10" dxfId="852" priority="163" percent="1" bottom="1" rank="25"/>
  </conditionalFormatting>
  <conditionalFormatting sqref="AZ45:AZ62">
    <cfRule type="top10" dxfId="851" priority="162" percent="1" rank="25"/>
    <cfRule type="top10" dxfId="850" priority="161" percent="1" bottom="1" rank="25"/>
  </conditionalFormatting>
  <conditionalFormatting sqref="BA7:BA24">
    <cfRule type="top10" dxfId="849" priority="160" percent="1" rank="25"/>
    <cfRule type="top10" dxfId="848" priority="159" percent="1" bottom="1" rank="25"/>
  </conditionalFormatting>
  <conditionalFormatting sqref="BA45:BA62">
    <cfRule type="top10" dxfId="847" priority="158" percent="1" rank="25"/>
    <cfRule type="top10" dxfId="846" priority="157" percent="1" bottom="1" rank="25"/>
  </conditionalFormatting>
  <conditionalFormatting sqref="BB7:BB24">
    <cfRule type="top10" dxfId="845" priority="156" percent="1" rank="25"/>
    <cfRule type="top10" dxfId="844" priority="155" percent="1" bottom="1" rank="25"/>
  </conditionalFormatting>
  <conditionalFormatting sqref="BB45:BB62">
    <cfRule type="top10" dxfId="843" priority="152" percent="1" rank="25"/>
    <cfRule type="top10" dxfId="842" priority="151" percent="1" bottom="1" rank="25"/>
  </conditionalFormatting>
  <conditionalFormatting sqref="BB26:BC43">
    <cfRule type="top10" dxfId="841" priority="154" percent="1" rank="25"/>
    <cfRule type="top10" dxfId="840" priority="153" percent="1" bottom="1" rank="25"/>
  </conditionalFormatting>
  <conditionalFormatting sqref="BC7:BC24">
    <cfRule type="top10" dxfId="839" priority="148" percent="1" rank="25"/>
    <cfRule type="top10" dxfId="838" priority="147" percent="1" bottom="1" rank="25"/>
  </conditionalFormatting>
  <conditionalFormatting sqref="BC45:BC62">
    <cfRule type="top10" dxfId="837" priority="150" percent="1" rank="25"/>
    <cfRule type="top10" dxfId="836" priority="149" percent="1" bottom="1" rank="25"/>
  </conditionalFormatting>
  <conditionalFormatting sqref="BD7:BD24">
    <cfRule type="top10" dxfId="835" priority="144" percent="1" rank="25"/>
    <cfRule type="top10" dxfId="834" priority="143" percent="1" bottom="1" rank="25"/>
  </conditionalFormatting>
  <conditionalFormatting sqref="BD45:BD62">
    <cfRule type="top10" dxfId="833" priority="142" percent="1" rank="25"/>
    <cfRule type="top10" dxfId="832" priority="141" percent="1" bottom="1" rank="25"/>
  </conditionalFormatting>
  <conditionalFormatting sqref="BD26:BN43">
    <cfRule type="top10" dxfId="831" priority="146" percent="1" rank="25"/>
    <cfRule type="top10" dxfId="830" priority="145" percent="1" bottom="1" rank="25"/>
  </conditionalFormatting>
  <conditionalFormatting sqref="BE7:BE24">
    <cfRule type="top10" dxfId="829" priority="138" percent="1" rank="25"/>
    <cfRule type="top10" dxfId="828" priority="137" percent="1" bottom="1" rank="25"/>
  </conditionalFormatting>
  <conditionalFormatting sqref="BE45:BE62">
    <cfRule type="top10" dxfId="827" priority="135" percent="1" bottom="1" rank="25"/>
    <cfRule type="top10" dxfId="826" priority="136" percent="1" rank="25"/>
  </conditionalFormatting>
  <conditionalFormatting sqref="BF7:BF24">
    <cfRule type="top10" dxfId="825" priority="131" percent="1" bottom="1" rank="25"/>
    <cfRule type="top10" dxfId="824" priority="132" percent="1" rank="25"/>
  </conditionalFormatting>
  <conditionalFormatting sqref="BF45:BF62">
    <cfRule type="top10" dxfId="823" priority="129" percent="1" bottom="1" rank="25"/>
    <cfRule type="top10" dxfId="822" priority="130" percent="1" rank="25"/>
  </conditionalFormatting>
  <conditionalFormatting sqref="BG7:BG24">
    <cfRule type="top10" dxfId="821" priority="126" percent="1" rank="25"/>
    <cfRule type="top10" dxfId="820" priority="125" percent="1" bottom="1" rank="25"/>
  </conditionalFormatting>
  <conditionalFormatting sqref="BG45:BG62">
    <cfRule type="top10" dxfId="819" priority="124" percent="1" rank="25"/>
    <cfRule type="top10" dxfId="818" priority="123" percent="1" bottom="1" rank="25"/>
  </conditionalFormatting>
  <conditionalFormatting sqref="BH7:BH24">
    <cfRule type="top10" dxfId="817" priority="121" percent="1" bottom="1" rank="25"/>
    <cfRule type="top10" dxfId="816" priority="122" percent="1" rank="25"/>
  </conditionalFormatting>
  <conditionalFormatting sqref="BH45:BH62">
    <cfRule type="top10" dxfId="815" priority="119" percent="1" bottom="1" rank="25"/>
    <cfRule type="top10" dxfId="814" priority="120" percent="1" rank="25"/>
  </conditionalFormatting>
  <conditionalFormatting sqref="BI7:BI24">
    <cfRule type="top10" dxfId="813" priority="117" percent="1" bottom="1" rank="25"/>
    <cfRule type="top10" dxfId="812" priority="118" percent="1" rank="25"/>
  </conditionalFormatting>
  <conditionalFormatting sqref="BI45:BI62">
    <cfRule type="top10" dxfId="811" priority="115" percent="1" bottom="1" rank="25"/>
    <cfRule type="top10" dxfId="810" priority="116" percent="1" rank="25"/>
  </conditionalFormatting>
  <conditionalFormatting sqref="BJ7:BJ24">
    <cfRule type="top10" dxfId="809" priority="111" percent="1" bottom="1" rank="25"/>
    <cfRule type="top10" dxfId="808" priority="112" percent="1" rank="25"/>
  </conditionalFormatting>
  <conditionalFormatting sqref="BJ45:BJ62">
    <cfRule type="top10" dxfId="807" priority="109" percent="1" bottom="1" rank="25"/>
    <cfRule type="top10" dxfId="806" priority="110" percent="1" rank="25"/>
  </conditionalFormatting>
  <conditionalFormatting sqref="BK7:BK24">
    <cfRule type="top10" dxfId="805" priority="107" percent="1" bottom="1" rank="25"/>
    <cfRule type="top10" dxfId="804" priority="108" percent="1" rank="25"/>
  </conditionalFormatting>
  <conditionalFormatting sqref="BK45:BK62">
    <cfRule type="top10" dxfId="803" priority="105" percent="1" bottom="1" rank="25"/>
    <cfRule type="top10" dxfId="802" priority="106" percent="1" rank="25"/>
  </conditionalFormatting>
  <conditionalFormatting sqref="BL7:BL24">
    <cfRule type="top10" dxfId="801" priority="102" percent="1" rank="25"/>
    <cfRule type="top10" dxfId="800" priority="101" percent="1" bottom="1" rank="25"/>
  </conditionalFormatting>
  <conditionalFormatting sqref="BL45:BL62">
    <cfRule type="top10" dxfId="799" priority="104" percent="1" rank="25"/>
    <cfRule type="top10" dxfId="798" priority="103" percent="1" bottom="1" rank="25"/>
  </conditionalFormatting>
  <conditionalFormatting sqref="BM7:BM24">
    <cfRule type="top10" dxfId="797" priority="95" percent="1" bottom="1" rank="25"/>
    <cfRule type="top10" dxfId="796" priority="96" percent="1" rank="25"/>
  </conditionalFormatting>
  <conditionalFormatting sqref="BM45:BM62">
    <cfRule type="top10" dxfId="795" priority="97" percent="1" bottom="1" rank="25"/>
    <cfRule type="top10" dxfId="794" priority="98" percent="1" rank="25"/>
  </conditionalFormatting>
  <conditionalFormatting sqref="BN7:BN24">
    <cfRule type="top10" dxfId="793" priority="90" percent="1" rank="25"/>
    <cfRule type="top10" dxfId="792" priority="89" percent="1" bottom="1" rank="25"/>
  </conditionalFormatting>
  <conditionalFormatting sqref="BN45:BN62">
    <cfRule type="top10" dxfId="791" priority="92" percent="1" rank="25"/>
    <cfRule type="top10" dxfId="790" priority="91" percent="1" bottom="1" rank="25"/>
  </conditionalFormatting>
  <conditionalFormatting sqref="BO7:BO24">
    <cfRule type="top10" dxfId="789" priority="83" percent="1" bottom="1" rank="25"/>
    <cfRule type="top10" dxfId="788" priority="84" percent="1" rank="25"/>
  </conditionalFormatting>
  <conditionalFormatting sqref="BO45:BO62">
    <cfRule type="top10" dxfId="787" priority="85" percent="1" bottom="1" rank="25"/>
    <cfRule type="top10" dxfId="786" priority="86" percent="1" rank="25"/>
  </conditionalFormatting>
  <conditionalFormatting sqref="BO26:CB43">
    <cfRule type="top10" dxfId="785" priority="88" percent="1" rank="25"/>
    <cfRule type="top10" dxfId="784" priority="87" percent="1" bottom="1" rank="25"/>
  </conditionalFormatting>
  <conditionalFormatting sqref="BP7:BP24">
    <cfRule type="top10" dxfId="783" priority="80" percent="1" rank="25"/>
    <cfRule type="top10" dxfId="782" priority="79" percent="1" bottom="1" rank="25"/>
  </conditionalFormatting>
  <conditionalFormatting sqref="BP45:BP62">
    <cfRule type="top10" dxfId="781" priority="82" percent="1" rank="25"/>
    <cfRule type="top10" dxfId="780" priority="81" percent="1" bottom="1" rank="25"/>
  </conditionalFormatting>
  <conditionalFormatting sqref="BQ7:BQ24">
    <cfRule type="top10" dxfId="779" priority="73" percent="1" bottom="1" rank="25"/>
    <cfRule type="top10" dxfId="778" priority="74" percent="1" rank="25"/>
  </conditionalFormatting>
  <conditionalFormatting sqref="BQ45:BQ62">
    <cfRule type="top10" dxfId="777" priority="76" percent="1" rank="25"/>
    <cfRule type="top10" dxfId="776" priority="75" percent="1" bottom="1" rank="25"/>
  </conditionalFormatting>
  <conditionalFormatting sqref="BR7:BR24">
    <cfRule type="top10" dxfId="775" priority="71" percent="1" bottom="1" rank="25"/>
    <cfRule type="top10" dxfId="774" priority="72" percent="1" rank="25"/>
  </conditionalFormatting>
  <conditionalFormatting sqref="BR45:BR62">
    <cfRule type="top10" dxfId="773" priority="70" percent="1" rank="25"/>
    <cfRule type="top10" dxfId="772" priority="69" percent="1" bottom="1" rank="25"/>
  </conditionalFormatting>
  <conditionalFormatting sqref="BS7:BS24">
    <cfRule type="top10" dxfId="771" priority="66" percent="1" rank="25"/>
    <cfRule type="top10" dxfId="770" priority="65" percent="1" bottom="1" rank="25"/>
  </conditionalFormatting>
  <conditionalFormatting sqref="BS45:BS62">
    <cfRule type="top10" dxfId="769" priority="64" percent="1" rank="25"/>
    <cfRule type="top10" dxfId="768" priority="63" percent="1" bottom="1" rank="25"/>
  </conditionalFormatting>
  <conditionalFormatting sqref="BT7:BT24">
    <cfRule type="top10" dxfId="767" priority="62" percent="1" rank="25"/>
    <cfRule type="top10" dxfId="766" priority="61" percent="1" bottom="1" rank="25"/>
  </conditionalFormatting>
  <conditionalFormatting sqref="BT45:BT62">
    <cfRule type="top10" dxfId="765" priority="59" percent="1" bottom="1" rank="25"/>
    <cfRule type="top10" dxfId="764" priority="60" percent="1" rank="25"/>
  </conditionalFormatting>
  <conditionalFormatting sqref="BU7:BU24">
    <cfRule type="top10" dxfId="763" priority="55" percent="1" bottom="1" rank="25"/>
    <cfRule type="top10" dxfId="762" priority="56" percent="1" rank="25"/>
  </conditionalFormatting>
  <conditionalFormatting sqref="BU45:BU62">
    <cfRule type="top10" dxfId="761" priority="53" percent="1" bottom="1" rank="25"/>
    <cfRule type="top10" dxfId="760" priority="54" percent="1" rank="25"/>
  </conditionalFormatting>
  <conditionalFormatting sqref="BV7:BV24">
    <cfRule type="top10" dxfId="759" priority="49" percent="1" bottom="1" rank="25"/>
    <cfRule type="top10" dxfId="758" priority="50" percent="1" rank="25"/>
  </conditionalFormatting>
  <conditionalFormatting sqref="BV45:BV62">
    <cfRule type="top10" dxfId="757" priority="52" percent="1" rank="25"/>
    <cfRule type="top10" dxfId="756" priority="51" percent="1" bottom="1" rank="25"/>
  </conditionalFormatting>
  <conditionalFormatting sqref="BW7:BW24">
    <cfRule type="top10" dxfId="755" priority="47" percent="1" bottom="1" rank="25"/>
    <cfRule type="top10" dxfId="754" priority="48" percent="1" rank="25"/>
  </conditionalFormatting>
  <conditionalFormatting sqref="BW45:BW62">
    <cfRule type="top10" dxfId="753" priority="45" percent="1" bottom="1" rank="25"/>
    <cfRule type="top10" dxfId="752" priority="46" percent="1" rank="25"/>
  </conditionalFormatting>
  <conditionalFormatting sqref="BX7:BX24">
    <cfRule type="top10" dxfId="751" priority="43" percent="1" bottom="1" rank="25"/>
    <cfRule type="top10" dxfId="750" priority="44" percent="1" rank="25"/>
  </conditionalFormatting>
  <conditionalFormatting sqref="BX45:BX62">
    <cfRule type="top10" dxfId="749" priority="42" percent="1" rank="25"/>
    <cfRule type="top10" dxfId="748" priority="41" percent="1" bottom="1" rank="25"/>
  </conditionalFormatting>
  <conditionalFormatting sqref="BY7:BY24">
    <cfRule type="top10" dxfId="747" priority="37" percent="1" bottom="1" rank="25"/>
    <cfRule type="top10" dxfId="746" priority="38" percent="1" rank="25"/>
  </conditionalFormatting>
  <conditionalFormatting sqref="BY45:BY62">
    <cfRule type="top10" dxfId="745" priority="36" percent="1" rank="25"/>
    <cfRule type="top10" dxfId="744" priority="35" percent="1" bottom="1" rank="25"/>
  </conditionalFormatting>
  <conditionalFormatting sqref="BZ7:BZ24">
    <cfRule type="top10" dxfId="743" priority="33" percent="1" bottom="1" rank="25"/>
    <cfRule type="top10" dxfId="742" priority="34" percent="1" rank="25"/>
  </conditionalFormatting>
  <conditionalFormatting sqref="BZ45:BZ62">
    <cfRule type="top10" dxfId="741" priority="32" percent="1" rank="25"/>
    <cfRule type="top10" dxfId="740" priority="31" percent="1" bottom="1" rank="25"/>
  </conditionalFormatting>
  <conditionalFormatting sqref="CA7:CA24">
    <cfRule type="top10" dxfId="739" priority="30" percent="1" rank="25"/>
    <cfRule type="top10" dxfId="738" priority="29" percent="1" bottom="1" rank="25"/>
  </conditionalFormatting>
  <conditionalFormatting sqref="CA45:CA62">
    <cfRule type="top10" dxfId="737" priority="28" percent="1" rank="25"/>
    <cfRule type="top10" dxfId="736" priority="27" percent="1" bottom="1" rank="25"/>
  </conditionalFormatting>
  <conditionalFormatting sqref="CB7:CB24">
    <cfRule type="top10" dxfId="735" priority="23" percent="1" bottom="1" rank="25"/>
    <cfRule type="top10" dxfId="734" priority="24" percent="1" rank="25"/>
  </conditionalFormatting>
  <conditionalFormatting sqref="CB45:CB62">
    <cfRule type="top10" dxfId="733" priority="22" percent="1" rank="25"/>
    <cfRule type="top10" dxfId="732" priority="21" percent="1" bottom="1" rank="25"/>
  </conditionalFormatting>
  <conditionalFormatting sqref="CC7:CC24">
    <cfRule type="top10" dxfId="731" priority="16" percent="1" rank="25"/>
    <cfRule type="top10" dxfId="730" priority="15" percent="1" bottom="1" rank="25"/>
  </conditionalFormatting>
  <conditionalFormatting sqref="CC45:CC62">
    <cfRule type="top10" dxfId="729" priority="14" percent="1" rank="25"/>
    <cfRule type="top10" dxfId="728" priority="13" percent="1" bottom="1" rank="25"/>
  </conditionalFormatting>
  <conditionalFormatting sqref="CC26:CE43">
    <cfRule type="top10" dxfId="727" priority="18" percent="1" rank="25"/>
    <cfRule type="top10" dxfId="726" priority="17" percent="1" bottom="1" rank="25"/>
  </conditionalFormatting>
  <conditionalFormatting sqref="CD7:CD24">
    <cfRule type="top10" dxfId="725" priority="10" percent="1" rank="25"/>
    <cfRule type="top10" dxfId="724" priority="9" percent="1" bottom="1" rank="25"/>
  </conditionalFormatting>
  <conditionalFormatting sqref="CD45:CD62">
    <cfRule type="top10" dxfId="723" priority="8" percent="1" rank="25"/>
    <cfRule type="top10" dxfId="722" priority="7" percent="1" bottom="1" rank="25"/>
  </conditionalFormatting>
  <conditionalFormatting sqref="CE7:CE24">
    <cfRule type="top10" dxfId="721" priority="3" percent="1" bottom="1" rank="25"/>
    <cfRule type="top10" dxfId="720" priority="4" percent="1" rank="25"/>
  </conditionalFormatting>
  <conditionalFormatting sqref="CE45:CE62">
    <cfRule type="top10" dxfId="719" priority="1" percent="1" bottom="1" rank="25"/>
    <cfRule type="top10" dxfId="718" priority="2" percent="1" rank="25"/>
  </conditionalFormatting>
  <dataValidations count="1">
    <dataValidation type="list" allowBlank="1" showInputMessage="1" showErrorMessage="1" sqref="C5" xr:uid="{CE6491B1-F0FC-4861-B0D7-0B3C0D54B88D}">
      <formula1>$C$2:$C$3</formula1>
    </dataValidation>
  </dataValidations>
  <hyperlinks>
    <hyperlink ref="Z2" r:id="rId1" xr:uid="{452B8EF6-6172-40FE-9D3A-0EDE78CCB979}"/>
    <hyperlink ref="Z3" r:id="rId2" xr:uid="{E28C0AF8-299B-4F99-B068-347AD5115428}"/>
    <hyperlink ref="Z1" r:id="rId3" location="etf-holdings&amp;sort_name=weight&amp;sort_order=desc&amp;page=1" xr:uid="{69169221-3887-41BC-B8CB-5E5D9830B604}"/>
    <hyperlink ref="AD2" r:id="rId4" xr:uid="{4A82059F-3BE6-4FB1-B1FA-91BF311A0628}"/>
    <hyperlink ref="Z4" r:id="rId5" xr:uid="{FFFB41E2-9AA0-4126-A1B8-74CC6B17036A}"/>
    <hyperlink ref="AF2" r:id="rId6" xr:uid="{CA2AD8B5-EE84-4E44-936C-577A6A0F2F86}"/>
    <hyperlink ref="AF3" r:id="rId7" xr:uid="{1A23ED33-AD08-4370-A8DF-5F4F7FA4AAD6}"/>
    <hyperlink ref="AD1" r:id="rId8" xr:uid="{9E07EEEE-8C22-4718-9188-D321C7BC1015}"/>
    <hyperlink ref="J4" r:id="rId9" xr:uid="{92DB231F-284C-48B5-B2C2-11DA7DA55FAE}"/>
    <hyperlink ref="I4" r:id="rId10" xr:uid="{44B46F53-C5DC-4A01-9AAA-0A5197426396}"/>
    <hyperlink ref="H4" r:id="rId11" xr:uid="{76205C36-9E8E-451F-A328-4FCC9A30C49C}"/>
    <hyperlink ref="G4" r:id="rId12" xr:uid="{47B027F8-9ED5-4D0A-84F0-0A4CE0D83E0B}"/>
    <hyperlink ref="B2" r:id="rId13" xr:uid="{31B98A3D-8391-4DA3-8050-4CB5753AF64A}"/>
    <hyperlink ref="B3" r:id="rId14" xr:uid="{D1D5533C-66F2-417E-80A8-0C732F731C9A}"/>
    <hyperlink ref="F4" r:id="rId15" xr:uid="{E2F9CD37-90BA-4AC0-8DC9-B5A238E6606E}"/>
    <hyperlink ref="E4" r:id="rId16" xr:uid="{BC6286B5-1556-405B-9BC1-55FDEB245EB9}"/>
  </hyperlinks>
  <pageMargins left="0.7" right="0.7" top="0.75" bottom="0.75" header="0.3" footer="0.3"/>
  <ignoredErrors>
    <ignoredError sqref="D7:D62" formulaRange="1"/>
    <ignoredError sqref="BH26:BH43 BI26:BI43 BW26:BW43 CC26:CC43" evalError="1"/>
  </ignoredErrors>
  <drawing r:id="rId17"/>
  <legacy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02D2-CD73-4AB1-84FD-5AE5E5F9FE42}">
  <dimension ref="B2:L43"/>
  <sheetViews>
    <sheetView workbookViewId="0">
      <selection activeCell="B4" sqref="B4"/>
    </sheetView>
  </sheetViews>
  <sheetFormatPr defaultColWidth="9.140625" defaultRowHeight="11.25" x14ac:dyDescent="0.2"/>
  <cols>
    <col min="1" max="1" width="2.5703125" style="13" customWidth="1"/>
    <col min="2" max="2" width="21.7109375" style="13" customWidth="1"/>
    <col min="3" max="3" width="12.28515625" style="13" customWidth="1"/>
    <col min="4" max="4" width="28.28515625" style="13" customWidth="1"/>
    <col min="5" max="5" width="23.140625" style="13" customWidth="1"/>
    <col min="6" max="6" width="22.85546875" style="13" customWidth="1"/>
    <col min="7" max="7" width="27.42578125" style="13" customWidth="1"/>
    <col min="8" max="8" width="22.28515625" style="13" customWidth="1"/>
    <col min="9" max="9" width="9.140625" style="13"/>
    <col min="10" max="10" width="12.140625" style="13" customWidth="1"/>
    <col min="11" max="11" width="26.5703125" style="13" customWidth="1"/>
    <col min="12" max="12" width="18.42578125" style="13" customWidth="1"/>
    <col min="13" max="16384" width="9.140625" style="13"/>
  </cols>
  <sheetData>
    <row r="2" spans="2:12" s="15" customFormat="1" x14ac:dyDescent="0.2">
      <c r="B2" s="12" t="s">
        <v>229</v>
      </c>
      <c r="C2" s="12" t="s">
        <v>230</v>
      </c>
      <c r="D2" s="12" t="s">
        <v>231</v>
      </c>
      <c r="E2" s="12" t="s">
        <v>232</v>
      </c>
      <c r="F2" s="12" t="s">
        <v>233</v>
      </c>
      <c r="G2" s="12" t="s">
        <v>234</v>
      </c>
      <c r="H2" s="12" t="s">
        <v>235</v>
      </c>
      <c r="I2" s="13"/>
      <c r="J2" s="13"/>
      <c r="K2" s="12" t="s">
        <v>236</v>
      </c>
      <c r="L2" s="14" t="s">
        <v>186</v>
      </c>
    </row>
    <row r="3" spans="2:12" x14ac:dyDescent="0.2">
      <c r="F3" s="16"/>
      <c r="G3" s="16"/>
      <c r="H3" s="16"/>
    </row>
    <row r="4" spans="2:12" x14ac:dyDescent="0.2">
      <c r="B4" s="12" t="s">
        <v>237</v>
      </c>
      <c r="C4" s="12" t="s">
        <v>230</v>
      </c>
      <c r="D4" s="12" t="s">
        <v>238</v>
      </c>
      <c r="E4" s="12" t="s">
        <v>239</v>
      </c>
      <c r="F4" s="12" t="s">
        <v>240</v>
      </c>
      <c r="G4" s="12" t="s">
        <v>241</v>
      </c>
      <c r="H4" s="12" t="s">
        <v>242</v>
      </c>
      <c r="I4" s="12" t="s">
        <v>243</v>
      </c>
      <c r="K4" s="12" t="s">
        <v>244</v>
      </c>
      <c r="L4" s="12" t="s">
        <v>245</v>
      </c>
    </row>
    <row r="5" spans="2:12" x14ac:dyDescent="0.2">
      <c r="B5" s="12" t="s">
        <v>246</v>
      </c>
      <c r="C5" s="16"/>
      <c r="D5" s="12" t="s">
        <v>247</v>
      </c>
      <c r="E5" s="12" t="s">
        <v>248</v>
      </c>
      <c r="F5" s="12" t="s">
        <v>249</v>
      </c>
      <c r="G5" s="12" t="s">
        <v>250</v>
      </c>
      <c r="H5" s="12" t="s">
        <v>251</v>
      </c>
      <c r="I5" s="12" t="s">
        <v>252</v>
      </c>
      <c r="K5" s="12" t="s">
        <v>253</v>
      </c>
      <c r="L5" s="12" t="s">
        <v>254</v>
      </c>
    </row>
    <row r="6" spans="2:12" x14ac:dyDescent="0.2">
      <c r="B6" s="12" t="s">
        <v>255</v>
      </c>
      <c r="C6" s="16"/>
      <c r="D6" s="12" t="s">
        <v>256</v>
      </c>
      <c r="E6" s="12" t="s">
        <v>257</v>
      </c>
      <c r="F6" s="12" t="s">
        <v>258</v>
      </c>
      <c r="G6" s="12" t="s">
        <v>259</v>
      </c>
      <c r="H6" s="12" t="s">
        <v>260</v>
      </c>
      <c r="I6" s="12" t="s">
        <v>261</v>
      </c>
      <c r="K6" s="12" t="s">
        <v>262</v>
      </c>
      <c r="L6" s="12" t="s">
        <v>263</v>
      </c>
    </row>
    <row r="7" spans="2:12" x14ac:dyDescent="0.2">
      <c r="B7" s="12" t="s">
        <v>264</v>
      </c>
      <c r="C7" s="16"/>
      <c r="D7" s="12" t="s">
        <v>265</v>
      </c>
      <c r="E7" s="12" t="s">
        <v>266</v>
      </c>
      <c r="F7" s="12" t="s">
        <v>267</v>
      </c>
      <c r="G7" s="12" t="s">
        <v>268</v>
      </c>
      <c r="H7" s="12" t="s">
        <v>269</v>
      </c>
      <c r="I7" s="12" t="s">
        <v>270</v>
      </c>
      <c r="K7" s="12" t="s">
        <v>271</v>
      </c>
      <c r="L7" s="12" t="s">
        <v>272</v>
      </c>
    </row>
    <row r="8" spans="2:12" x14ac:dyDescent="0.2">
      <c r="B8" s="12" t="s">
        <v>273</v>
      </c>
      <c r="C8" s="16"/>
      <c r="D8" s="12" t="s">
        <v>274</v>
      </c>
      <c r="E8" s="12" t="s">
        <v>275</v>
      </c>
      <c r="F8" s="12" t="s">
        <v>276</v>
      </c>
      <c r="G8" s="12" t="s">
        <v>277</v>
      </c>
      <c r="H8" s="12" t="s">
        <v>278</v>
      </c>
      <c r="I8" s="12" t="s">
        <v>279</v>
      </c>
      <c r="K8" s="12" t="s">
        <v>280</v>
      </c>
      <c r="L8" s="12" t="s">
        <v>281</v>
      </c>
    </row>
    <row r="9" spans="2:12" x14ac:dyDescent="0.2">
      <c r="B9" s="12" t="s">
        <v>282</v>
      </c>
      <c r="C9" s="16"/>
      <c r="D9" s="12" t="s">
        <v>283</v>
      </c>
      <c r="E9" s="12" t="s">
        <v>284</v>
      </c>
      <c r="F9" s="12" t="s">
        <v>285</v>
      </c>
      <c r="G9" s="12" t="s">
        <v>286</v>
      </c>
      <c r="H9" s="12" t="s">
        <v>287</v>
      </c>
      <c r="I9" s="12" t="s">
        <v>288</v>
      </c>
      <c r="K9" s="12" t="s">
        <v>289</v>
      </c>
    </row>
    <row r="10" spans="2:12" x14ac:dyDescent="0.2">
      <c r="B10" s="12" t="s">
        <v>290</v>
      </c>
      <c r="C10" s="16"/>
      <c r="D10" s="12" t="s">
        <v>291</v>
      </c>
      <c r="E10" s="12" t="s">
        <v>292</v>
      </c>
      <c r="F10" s="12" t="s">
        <v>293</v>
      </c>
      <c r="G10" s="12" t="s">
        <v>294</v>
      </c>
      <c r="H10" s="12" t="s">
        <v>295</v>
      </c>
      <c r="I10" s="12" t="s">
        <v>296</v>
      </c>
      <c r="K10" s="12" t="s">
        <v>297</v>
      </c>
      <c r="L10" s="17"/>
    </row>
    <row r="11" spans="2:12" x14ac:dyDescent="0.2">
      <c r="B11" s="12" t="s">
        <v>298</v>
      </c>
      <c r="C11" s="16"/>
      <c r="D11" s="12" t="s">
        <v>299</v>
      </c>
      <c r="E11" s="12" t="s">
        <v>300</v>
      </c>
      <c r="F11" s="12" t="s">
        <v>301</v>
      </c>
      <c r="G11" s="12" t="s">
        <v>302</v>
      </c>
      <c r="H11" s="12" t="s">
        <v>303</v>
      </c>
      <c r="I11" s="12" t="s">
        <v>304</v>
      </c>
      <c r="K11" s="12" t="s">
        <v>305</v>
      </c>
    </row>
    <row r="12" spans="2:12" x14ac:dyDescent="0.2">
      <c r="B12" s="12" t="s">
        <v>306</v>
      </c>
      <c r="C12" s="16"/>
      <c r="D12" s="12" t="s">
        <v>307</v>
      </c>
      <c r="E12" s="12" t="s">
        <v>308</v>
      </c>
      <c r="F12" s="12" t="s">
        <v>309</v>
      </c>
      <c r="G12" s="12" t="s">
        <v>310</v>
      </c>
      <c r="H12" s="12" t="s">
        <v>311</v>
      </c>
      <c r="I12" s="12" t="s">
        <v>312</v>
      </c>
      <c r="K12" s="12" t="s">
        <v>313</v>
      </c>
    </row>
    <row r="13" spans="2:12" x14ac:dyDescent="0.2">
      <c r="B13" s="12" t="s">
        <v>314</v>
      </c>
      <c r="C13" s="16"/>
      <c r="D13" s="12" t="s">
        <v>315</v>
      </c>
      <c r="E13" s="12" t="s">
        <v>316</v>
      </c>
      <c r="F13" s="12" t="s">
        <v>317</v>
      </c>
      <c r="G13" s="12" t="s">
        <v>318</v>
      </c>
      <c r="H13" s="12" t="s">
        <v>319</v>
      </c>
      <c r="I13" s="12" t="s">
        <v>320</v>
      </c>
      <c r="K13" s="12" t="s">
        <v>321</v>
      </c>
    </row>
    <row r="14" spans="2:12" x14ac:dyDescent="0.2">
      <c r="B14" s="12" t="s">
        <v>322</v>
      </c>
      <c r="C14" s="16"/>
      <c r="D14" s="12" t="s">
        <v>323</v>
      </c>
      <c r="E14" s="12" t="s">
        <v>324</v>
      </c>
      <c r="F14" s="12" t="s">
        <v>325</v>
      </c>
      <c r="G14" s="12" t="s">
        <v>326</v>
      </c>
      <c r="H14" s="12" t="s">
        <v>327</v>
      </c>
      <c r="I14" s="12" t="s">
        <v>328</v>
      </c>
      <c r="K14" s="12" t="s">
        <v>329</v>
      </c>
    </row>
    <row r="15" spans="2:12" x14ac:dyDescent="0.2">
      <c r="B15" s="12" t="s">
        <v>330</v>
      </c>
      <c r="C15" s="16"/>
      <c r="D15" s="12" t="s">
        <v>331</v>
      </c>
      <c r="E15" s="12" t="s">
        <v>332</v>
      </c>
      <c r="F15" s="12" t="s">
        <v>333</v>
      </c>
      <c r="G15" s="12" t="s">
        <v>334</v>
      </c>
      <c r="H15" s="12" t="s">
        <v>335</v>
      </c>
      <c r="I15" s="12" t="s">
        <v>336</v>
      </c>
      <c r="K15" s="12" t="s">
        <v>337</v>
      </c>
    </row>
    <row r="16" spans="2:12" x14ac:dyDescent="0.2">
      <c r="B16" s="12" t="s">
        <v>338</v>
      </c>
      <c r="C16" s="16"/>
      <c r="D16" s="12" t="s">
        <v>339</v>
      </c>
      <c r="E16" s="12" t="s">
        <v>340</v>
      </c>
      <c r="F16" s="12" t="s">
        <v>341</v>
      </c>
      <c r="G16" s="12" t="s">
        <v>342</v>
      </c>
      <c r="H16" s="12" t="s">
        <v>343</v>
      </c>
      <c r="I16" s="12" t="s">
        <v>344</v>
      </c>
      <c r="K16" s="12" t="s">
        <v>345</v>
      </c>
    </row>
    <row r="17" spans="2:11" x14ac:dyDescent="0.2">
      <c r="B17" s="12" t="s">
        <v>346</v>
      </c>
      <c r="C17" s="16"/>
      <c r="D17" s="12" t="s">
        <v>347</v>
      </c>
      <c r="E17" s="12" t="s">
        <v>348</v>
      </c>
      <c r="F17" s="12" t="s">
        <v>349</v>
      </c>
      <c r="G17" s="12" t="s">
        <v>350</v>
      </c>
      <c r="H17" s="12" t="s">
        <v>351</v>
      </c>
      <c r="I17" s="12" t="s">
        <v>352</v>
      </c>
      <c r="K17" s="12" t="s">
        <v>353</v>
      </c>
    </row>
    <row r="18" spans="2:11" x14ac:dyDescent="0.2">
      <c r="B18" s="12" t="s">
        <v>354</v>
      </c>
      <c r="C18" s="16"/>
      <c r="D18" s="12" t="s">
        <v>355</v>
      </c>
      <c r="E18" s="12" t="s">
        <v>356</v>
      </c>
      <c r="F18" s="12" t="s">
        <v>357</v>
      </c>
      <c r="G18" s="12" t="s">
        <v>358</v>
      </c>
      <c r="H18" s="12" t="s">
        <v>359</v>
      </c>
      <c r="I18" s="12" t="s">
        <v>360</v>
      </c>
      <c r="K18" s="12" t="s">
        <v>361</v>
      </c>
    </row>
    <row r="19" spans="2:11" x14ac:dyDescent="0.2">
      <c r="B19" s="12" t="s">
        <v>362</v>
      </c>
      <c r="D19" s="12" t="s">
        <v>363</v>
      </c>
      <c r="E19" s="12" t="s">
        <v>364</v>
      </c>
      <c r="F19" s="12" t="s">
        <v>365</v>
      </c>
      <c r="G19" s="12" t="s">
        <v>366</v>
      </c>
      <c r="H19" s="12" t="s">
        <v>367</v>
      </c>
      <c r="I19" s="12" t="s">
        <v>368</v>
      </c>
      <c r="K19" s="12" t="s">
        <v>369</v>
      </c>
    </row>
    <row r="20" spans="2:11" x14ac:dyDescent="0.2">
      <c r="B20" s="12" t="s">
        <v>370</v>
      </c>
      <c r="D20" s="12" t="s">
        <v>371</v>
      </c>
      <c r="E20" s="12" t="s">
        <v>372</v>
      </c>
      <c r="G20" s="12" t="s">
        <v>373</v>
      </c>
      <c r="H20" s="12" t="s">
        <v>374</v>
      </c>
      <c r="I20" s="12" t="s">
        <v>375</v>
      </c>
      <c r="K20" s="12" t="s">
        <v>376</v>
      </c>
    </row>
    <row r="21" spans="2:11" x14ac:dyDescent="0.2">
      <c r="D21" s="12" t="s">
        <v>377</v>
      </c>
      <c r="E21" s="12" t="s">
        <v>378</v>
      </c>
      <c r="G21" s="12" t="s">
        <v>379</v>
      </c>
      <c r="H21" s="12" t="s">
        <v>380</v>
      </c>
      <c r="I21" s="12" t="s">
        <v>381</v>
      </c>
      <c r="K21" s="12" t="s">
        <v>382</v>
      </c>
    </row>
    <row r="22" spans="2:11" x14ac:dyDescent="0.2">
      <c r="D22" s="12" t="s">
        <v>383</v>
      </c>
      <c r="E22" s="12" t="s">
        <v>384</v>
      </c>
      <c r="G22" s="12" t="s">
        <v>385</v>
      </c>
      <c r="H22" s="12" t="s">
        <v>386</v>
      </c>
      <c r="I22" s="12" t="s">
        <v>387</v>
      </c>
      <c r="K22" s="12" t="s">
        <v>388</v>
      </c>
    </row>
    <row r="23" spans="2:11" x14ac:dyDescent="0.2">
      <c r="D23" s="12" t="s">
        <v>389</v>
      </c>
      <c r="E23" s="12" t="s">
        <v>390</v>
      </c>
      <c r="F23" s="18"/>
      <c r="H23" s="12" t="s">
        <v>391</v>
      </c>
      <c r="I23" s="12" t="s">
        <v>392</v>
      </c>
      <c r="K23" s="12" t="s">
        <v>393</v>
      </c>
    </row>
    <row r="24" spans="2:11" x14ac:dyDescent="0.2">
      <c r="D24" s="12" t="s">
        <v>394</v>
      </c>
      <c r="E24" s="12" t="s">
        <v>395</v>
      </c>
      <c r="F24" s="16"/>
      <c r="H24" s="12" t="s">
        <v>396</v>
      </c>
      <c r="K24" s="12" t="s">
        <v>397</v>
      </c>
    </row>
    <row r="25" spans="2:11" x14ac:dyDescent="0.2">
      <c r="D25" s="12" t="s">
        <v>398</v>
      </c>
      <c r="E25" s="12" t="s">
        <v>399</v>
      </c>
      <c r="F25" s="16"/>
      <c r="G25" s="16"/>
      <c r="H25" s="12" t="s">
        <v>400</v>
      </c>
      <c r="K25" s="12" t="s">
        <v>401</v>
      </c>
    </row>
    <row r="26" spans="2:11" x14ac:dyDescent="0.2">
      <c r="D26" s="12" t="s">
        <v>402</v>
      </c>
      <c r="E26" s="12" t="s">
        <v>403</v>
      </c>
      <c r="F26" s="16"/>
      <c r="G26" s="16"/>
      <c r="H26" s="12" t="s">
        <v>404</v>
      </c>
      <c r="K26" s="12" t="s">
        <v>405</v>
      </c>
    </row>
    <row r="27" spans="2:11" x14ac:dyDescent="0.2">
      <c r="D27" s="12" t="s">
        <v>406</v>
      </c>
      <c r="E27" s="12" t="s">
        <v>407</v>
      </c>
      <c r="F27" s="16"/>
      <c r="G27" s="16"/>
      <c r="H27" s="12" t="s">
        <v>408</v>
      </c>
      <c r="K27" s="12" t="s">
        <v>409</v>
      </c>
    </row>
    <row r="28" spans="2:11" x14ac:dyDescent="0.2">
      <c r="D28" s="12" t="s">
        <v>410</v>
      </c>
      <c r="E28" s="12" t="s">
        <v>411</v>
      </c>
      <c r="F28" s="16"/>
      <c r="G28" s="16"/>
      <c r="H28" s="12" t="s">
        <v>412</v>
      </c>
      <c r="K28" s="12" t="s">
        <v>413</v>
      </c>
    </row>
    <row r="29" spans="2:11" x14ac:dyDescent="0.2">
      <c r="D29" s="12" t="s">
        <v>414</v>
      </c>
      <c r="E29" s="12" t="s">
        <v>415</v>
      </c>
      <c r="F29" s="16"/>
      <c r="G29" s="16"/>
      <c r="H29" s="12" t="s">
        <v>416</v>
      </c>
      <c r="K29" s="12" t="s">
        <v>417</v>
      </c>
    </row>
    <row r="30" spans="2:11" x14ac:dyDescent="0.2">
      <c r="D30" s="12" t="s">
        <v>418</v>
      </c>
      <c r="E30" s="12" t="s">
        <v>419</v>
      </c>
      <c r="F30" s="16"/>
      <c r="G30" s="16"/>
      <c r="H30" s="12" t="s">
        <v>420</v>
      </c>
      <c r="K30" s="12" t="s">
        <v>421</v>
      </c>
    </row>
    <row r="31" spans="2:11" x14ac:dyDescent="0.2">
      <c r="D31" s="12" t="s">
        <v>422</v>
      </c>
      <c r="E31" s="12" t="s">
        <v>423</v>
      </c>
      <c r="F31" s="16"/>
      <c r="G31" s="16"/>
      <c r="H31" s="12" t="s">
        <v>424</v>
      </c>
      <c r="K31" s="12" t="s">
        <v>425</v>
      </c>
    </row>
    <row r="32" spans="2:11" x14ac:dyDescent="0.2">
      <c r="D32" s="12" t="s">
        <v>426</v>
      </c>
      <c r="E32" s="12" t="s">
        <v>427</v>
      </c>
      <c r="F32" s="16"/>
      <c r="G32" s="16"/>
      <c r="H32" s="12" t="s">
        <v>428</v>
      </c>
      <c r="K32" s="12" t="s">
        <v>429</v>
      </c>
    </row>
    <row r="33" spans="2:11" x14ac:dyDescent="0.2">
      <c r="D33" s="12" t="s">
        <v>430</v>
      </c>
      <c r="E33" s="12" t="s">
        <v>431</v>
      </c>
      <c r="F33" s="16"/>
      <c r="G33" s="16"/>
      <c r="H33" s="12" t="s">
        <v>432</v>
      </c>
      <c r="K33" s="12" t="s">
        <v>433</v>
      </c>
    </row>
    <row r="34" spans="2:11" x14ac:dyDescent="0.2">
      <c r="D34" s="12" t="s">
        <v>434</v>
      </c>
      <c r="E34" s="12" t="s">
        <v>435</v>
      </c>
      <c r="F34" s="16"/>
      <c r="G34" s="16"/>
      <c r="H34" s="12" t="s">
        <v>436</v>
      </c>
      <c r="K34" s="12" t="s">
        <v>437</v>
      </c>
    </row>
    <row r="35" spans="2:11" x14ac:dyDescent="0.2">
      <c r="D35" s="12" t="s">
        <v>438</v>
      </c>
      <c r="E35" s="12" t="s">
        <v>439</v>
      </c>
      <c r="H35" s="12" t="s">
        <v>440</v>
      </c>
      <c r="K35" s="12" t="s">
        <v>441</v>
      </c>
    </row>
    <row r="36" spans="2:11" x14ac:dyDescent="0.2">
      <c r="E36" s="12" t="s">
        <v>442</v>
      </c>
      <c r="H36" s="12" t="s">
        <v>443</v>
      </c>
    </row>
    <row r="37" spans="2:11" x14ac:dyDescent="0.2">
      <c r="H37" s="12" t="s">
        <v>444</v>
      </c>
    </row>
    <row r="38" spans="2:11" x14ac:dyDescent="0.2">
      <c r="H38" s="12" t="s">
        <v>445</v>
      </c>
    </row>
    <row r="39" spans="2:11" x14ac:dyDescent="0.2">
      <c r="H39" s="12" t="s">
        <v>446</v>
      </c>
    </row>
    <row r="40" spans="2:11" x14ac:dyDescent="0.2">
      <c r="H40" s="12" t="s">
        <v>447</v>
      </c>
    </row>
    <row r="41" spans="2:11" x14ac:dyDescent="0.2">
      <c r="H41" s="12" t="s">
        <v>448</v>
      </c>
    </row>
    <row r="42" spans="2:11" ht="18.75" x14ac:dyDescent="0.3">
      <c r="B42" s="19" t="s">
        <v>449</v>
      </c>
      <c r="C42" s="20"/>
      <c r="D42" s="20"/>
      <c r="E42" s="20"/>
      <c r="F42" s="20"/>
      <c r="H42" s="12" t="s">
        <v>450</v>
      </c>
    </row>
    <row r="43" spans="2:11" ht="18.75" x14ac:dyDescent="0.3">
      <c r="B43" s="19" t="s">
        <v>451</v>
      </c>
      <c r="C43" s="20"/>
      <c r="D43" s="20"/>
      <c r="E43" s="20"/>
      <c r="F43" s="20"/>
      <c r="H43" s="12" t="s">
        <v>452</v>
      </c>
    </row>
  </sheetData>
  <hyperlinks>
    <hyperlink ref="B2" r:id="rId1" display="http://biz.yahoo.com/p/1conameu.html" xr:uid="{DB4577F6-5A06-4FBF-831A-B9F896AA3CBB}"/>
    <hyperlink ref="B4" r:id="rId2" display="http://biz.yahoo.com/p/112conameu.html" xr:uid="{AB446650-D159-4E3E-A03A-CC6A5DD3F6BE}"/>
    <hyperlink ref="B5" r:id="rId3" display="http://biz.yahoo.com/p/132conameu.html" xr:uid="{17FD11C7-EDAC-4A43-BC67-638655E513E8}"/>
    <hyperlink ref="B6" r:id="rId4" display="http://biz.yahoo.com/p/110conameu.html" xr:uid="{54B91A91-AB1A-4AC1-AE07-7AA9F505EF79}"/>
    <hyperlink ref="B7" r:id="rId5" display="http://biz.yahoo.com/p/131conameu.html" xr:uid="{C2E7E311-30E8-4095-BC39-20E0D1C8D435}"/>
    <hyperlink ref="B8" r:id="rId6" display="http://biz.yahoo.com/p/134conameu.html" xr:uid="{F25ECCD2-9E8A-4CF4-B863-E5DB252CA694}"/>
    <hyperlink ref="B9" r:id="rId7" display="http://biz.yahoo.com/p/121conameu.html" xr:uid="{F0515AC7-39BB-4ED1-8C59-491D8972CB1E}"/>
    <hyperlink ref="B10" r:id="rId8" display="http://biz.yahoo.com/p/133conameu.html" xr:uid="{DBB203FE-A277-47A4-920C-988C4E1723CD}"/>
    <hyperlink ref="B11" r:id="rId9" display="http://biz.yahoo.com/p/120conameu.html" xr:uid="{77DE701E-61E4-41E6-8615-F28AA64E14ED}"/>
    <hyperlink ref="B12" r:id="rId10" display="http://biz.yahoo.com/p/136conameu.html" xr:uid="{158C9C0D-4395-4558-AADA-82FECE2965E8}"/>
    <hyperlink ref="B13" r:id="rId11" display="http://biz.yahoo.com/p/123conameu.html" xr:uid="{AF2C661F-FB86-4E66-9CDF-67BC05CC6064}"/>
    <hyperlink ref="B14" r:id="rId12" display="http://biz.yahoo.com/p/124conameu.html" xr:uid="{F6934C27-3239-4C1C-8FDB-F82BBB3A4251}"/>
    <hyperlink ref="B15" r:id="rId13" display="http://biz.yahoo.com/p/125conameu.html" xr:uid="{B2B99FB9-6001-43B6-B1D8-90FDB86DDD45}"/>
    <hyperlink ref="B16" r:id="rId14" display="http://biz.yahoo.com/p/122conameu.html" xr:uid="{13D96CAE-10C2-4FCE-B743-154BF136DEB9}"/>
    <hyperlink ref="B17" r:id="rId15" display="http://biz.yahoo.com/p/135conameu.html" xr:uid="{1B3E2393-3FCB-4C04-B7B0-06140DE91FCF}"/>
    <hyperlink ref="B18" r:id="rId16" display="http://biz.yahoo.com/p/113conameu.html" xr:uid="{637362BC-B682-4C4C-A439-4CE4C8A5E32F}"/>
    <hyperlink ref="B19" r:id="rId17" display="http://biz.yahoo.com/p/130conameu.html" xr:uid="{41AC76C7-02E9-4036-B63A-E50D06055B21}"/>
    <hyperlink ref="B20" r:id="rId18" display="http://biz.yahoo.com/p/111conameu.html" xr:uid="{E247EA1B-4DC6-4D93-873E-9260149D45E7}"/>
    <hyperlink ref="C2" r:id="rId19" display="http://biz.yahoo.com/p/2conameu.html" xr:uid="{08774091-1238-4095-9737-06B4AC090F1A}"/>
    <hyperlink ref="C4" r:id="rId20" display="http://biz.yahoo.com/p/210conameu.html" xr:uid="{44A2D914-12C2-407F-99AF-523CEF989AF8}"/>
    <hyperlink ref="D2" r:id="rId21" display="http://biz.yahoo.com/p/3conameu.html" xr:uid="{3F589AE5-00CD-451B-81B7-9F821C7B8AD6}"/>
    <hyperlink ref="D4" r:id="rId22" display="http://biz.yahoo.com/p/310conameu.html" xr:uid="{C58F13CF-91F7-4927-A811-6E876B617F84}"/>
    <hyperlink ref="D5" r:id="rId23" display="http://biz.yahoo.com/p/330conameu.html" xr:uid="{42D845A7-539F-4098-8733-80EC9C4B9E91}"/>
    <hyperlink ref="D6" r:id="rId24" display="http://biz.yahoo.com/p/333conameu.html" xr:uid="{DC2B8B30-38A1-455C-B196-6CA642A6A08D}"/>
    <hyperlink ref="D7" r:id="rId25" display="http://biz.yahoo.com/p/346conameu.html" xr:uid="{D38DBF38-1CCA-4F41-82F6-C41FA4E6861D}"/>
    <hyperlink ref="D8" r:id="rId26" display="http://biz.yahoo.com/p/348conameu.html" xr:uid="{0D1183E0-97A0-49AE-A3EC-9711C1BE0FFE}"/>
    <hyperlink ref="D9" r:id="rId27" display="http://biz.yahoo.com/p/347conameu.html" xr:uid="{F901BE79-686D-43F6-BE37-74DF50B317EE}"/>
    <hyperlink ref="D10" r:id="rId28" display="http://biz.yahoo.com/p/313conameu.html" xr:uid="{44891F09-8543-4752-A614-5762BB319E3C}"/>
    <hyperlink ref="D11" r:id="rId29" display="http://biz.yahoo.com/p/350conameu.html" xr:uid="{A48C708D-ECA6-4E0F-AA6A-5C92DB88C349}"/>
    <hyperlink ref="D12" r:id="rId30" display="http://biz.yahoo.com/p/326conameu.html" xr:uid="{9D681ECF-0FBC-4C69-B715-FD596F1FC75A}"/>
    <hyperlink ref="D13" r:id="rId31" display="http://biz.yahoo.com/p/345conameu.html" xr:uid="{F3099377-192E-4F8E-AE4C-2310FB250B56}"/>
    <hyperlink ref="D14" r:id="rId32" display="http://biz.yahoo.com/p/344conameu.html" xr:uid="{FE2954F9-959E-4DD6-9FB6-3E34A0EDA678}"/>
    <hyperlink ref="D15" r:id="rId33" display="http://biz.yahoo.com/p/314conameu.html" xr:uid="{CFF0793C-684F-4BB9-A361-90CFE6AA5103}"/>
    <hyperlink ref="D16" r:id="rId34" display="http://biz.yahoo.com/p/341conameu.html" xr:uid="{904CB07F-AEBE-4347-87CF-4A15207F2DBA}"/>
    <hyperlink ref="D17" r:id="rId35" display="http://biz.yahoo.com/p/340conameu.html" xr:uid="{4C2CB9D4-B8F0-481F-A41E-CEE912C9E86F}"/>
    <hyperlink ref="D18" r:id="rId36" display="http://biz.yahoo.com/p/311conameu.html" xr:uid="{A8864A3F-66A6-4242-8531-83CE0144140B}"/>
    <hyperlink ref="D19" r:id="rId37" display="http://biz.yahoo.com/p/312conameu.html" xr:uid="{F3AF4945-9631-4EBD-9908-AE42A3E38F87}"/>
    <hyperlink ref="D20" r:id="rId38" display="http://biz.yahoo.com/p/343conameu.html" xr:uid="{CD55634B-178E-4BD8-8E4F-E1C061D4C0E7}"/>
    <hyperlink ref="D21" r:id="rId39" display="http://biz.yahoo.com/p/327conameu.html" xr:uid="{5284709C-84B5-4F3D-AEA8-1C118742D9EA}"/>
    <hyperlink ref="D22" r:id="rId40" display="http://biz.yahoo.com/p/325conameu.html" xr:uid="{5DCE4B54-5FD6-4CF9-81B8-A60EB1B0E0A4}"/>
    <hyperlink ref="D23" r:id="rId41" display="http://biz.yahoo.com/p/324conameu.html" xr:uid="{F4B648DE-2CE7-438C-AF7F-9019CFF6E8A2}"/>
    <hyperlink ref="D24" r:id="rId42" display="http://biz.yahoo.com/p/323conameu.html" xr:uid="{02C02138-49A8-4851-8472-F8076E4AF927}"/>
    <hyperlink ref="D25" r:id="rId43" display="http://biz.yahoo.com/p/318conameu.html" xr:uid="{37F76FBE-D06E-4E29-AB12-4408C5D1AF6E}"/>
    <hyperlink ref="D26" r:id="rId44" display="http://biz.yahoo.com/p/342conameu.html" xr:uid="{8419F30A-2F82-4B0B-BA1C-E32D2DC583FB}"/>
    <hyperlink ref="D27" r:id="rId45" display="http://biz.yahoo.com/p/317conameu.html" xr:uid="{0178DA6C-FFA3-4D51-8E9A-3466F0BDD75E}"/>
    <hyperlink ref="D28" r:id="rId46" display="http://biz.yahoo.com/p/332conameu.html" xr:uid="{F18E95E6-4732-49CC-BF83-AF4F32EE8847}"/>
    <hyperlink ref="D29" r:id="rId47" display="http://biz.yahoo.com/p/322conameu.html" xr:uid="{A3D58AE6-F5CB-412A-9DE2-4FB3AF5FA21E}"/>
    <hyperlink ref="D30" r:id="rId48" display="http://biz.yahoo.com/p/316conameu.html" xr:uid="{8511E025-3D72-491E-A3D1-D3855565E415}"/>
    <hyperlink ref="D31" r:id="rId49" display="http://biz.yahoo.com/p/320conameu.html" xr:uid="{C7A336A1-7C4A-4569-99B5-6D3D6DAE9809}"/>
    <hyperlink ref="D32" r:id="rId50" display="http://biz.yahoo.com/p/321conameu.html" xr:uid="{70241EC7-9910-4AF5-92F0-08C2CB996533}"/>
    <hyperlink ref="D33" r:id="rId51" display="http://biz.yahoo.com/p/351conameu.html" xr:uid="{67CACD6B-96B1-47CA-90BD-58C9EB86DD5A}"/>
    <hyperlink ref="D34" r:id="rId52" display="http://biz.yahoo.com/p/315conameu.html" xr:uid="{B4621764-A6A8-4A0C-9378-A4BEE6990A6D}"/>
    <hyperlink ref="D35" r:id="rId53" display="http://biz.yahoo.com/p/331conameu.html" xr:uid="{9C1C9EBB-E1EB-4D0E-BA49-6590840F9F1E}"/>
    <hyperlink ref="E4" r:id="rId54" display="http://biz.yahoo.com/p/431conameu.html" xr:uid="{2DD5B5B8-25A1-4120-9B96-F2F8406E8BCC}"/>
    <hyperlink ref="E5" r:id="rId55" display="http://biz.yahoo.com/p/422conameu.html" xr:uid="{055FD3AF-D7E4-42C9-A095-5B068195F1E2}"/>
    <hyperlink ref="E6" r:id="rId56" display="http://biz.yahoo.com/p/425conameu.html" xr:uid="{2A6DCE72-726A-4928-A999-231930FF45AA}"/>
    <hyperlink ref="E7" r:id="rId57" display="http://biz.yahoo.com/p/426conameu.html" xr:uid="{5C4EBA98-9571-493B-81FE-78B2675DDDBE}"/>
    <hyperlink ref="E8" r:id="rId58" display="http://biz.yahoo.com/p/427conameu.html" xr:uid="{21151A67-263B-4138-85B1-8A8DAD2EF4FE}"/>
    <hyperlink ref="E9" r:id="rId59" display="http://biz.yahoo.com/p/424conameu.html" xr:uid="{9BAD057F-C799-4260-A106-2D8AB5742CA0}"/>
    <hyperlink ref="E10" r:id="rId60" display="http://biz.yahoo.com/p/423conameu.html" xr:uid="{0631503D-3BBD-4D81-8985-2A8589712A4F}"/>
    <hyperlink ref="E11" r:id="rId61" display="http://biz.yahoo.com/p/417conameu.html" xr:uid="{047C30E0-002E-486D-BB8D-45C194160FDB}"/>
    <hyperlink ref="E12" r:id="rId62" display="http://biz.yahoo.com/p/418conameu.html" xr:uid="{77DA0F1C-F820-4FCE-81EC-7D6EC4F62738}"/>
    <hyperlink ref="E13" r:id="rId63" display="http://biz.yahoo.com/p/434conameu.html" xr:uid="{35086F94-97D0-40D8-897D-2DDEED7A4215}"/>
    <hyperlink ref="E14" r:id="rId64" display="http://biz.yahoo.com/p/420conameu.html" xr:uid="{5BD94831-2DDF-4FF4-99CB-3F8800350295}"/>
    <hyperlink ref="E15" r:id="rId65" display="http://biz.yahoo.com/p/421conameu.html" xr:uid="{DA66AF55-A5AC-44DF-A43D-3A417F6986CF}"/>
    <hyperlink ref="E16" r:id="rId66" display="http://biz.yahoo.com/p/430conameu.html" xr:uid="{8234473D-8BED-4F57-80D2-80598216F5AD}"/>
    <hyperlink ref="E17" r:id="rId67" display="http://biz.yahoo.com/p/410conameu.html" xr:uid="{10E84232-A0DF-4B6E-920D-1CA66A606039}"/>
    <hyperlink ref="E18" r:id="rId68" display="http://biz.yahoo.com/p/447conameu.html" xr:uid="{C04E56B1-03B5-47D8-9639-57ED2D5425C4}"/>
    <hyperlink ref="E19" r:id="rId69" display="http://biz.yahoo.com/p/432conameu.html" xr:uid="{A7613AAF-B28E-4FE3-8315-1A14904CFB2C}"/>
    <hyperlink ref="E20" r:id="rId70" display="http://biz.yahoo.com/p/448conameu.html" xr:uid="{E5D51A21-73C8-42B3-8BC8-74BC282DA2FF}"/>
    <hyperlink ref="E21" r:id="rId71" display="http://biz.yahoo.com/p/449conameu.html" xr:uid="{AFD5C066-0C70-4016-861F-27B8DD05C315}"/>
    <hyperlink ref="E22" r:id="rId72" display="http://biz.yahoo.com/p/412conameu.html" xr:uid="{E4566FA1-D078-466B-84FA-2E07565EDA56}"/>
    <hyperlink ref="E23" r:id="rId73" display="http://biz.yahoo.com/p/414conameu.html" xr:uid="{58350960-CB5D-44BE-880A-926217E6145C}"/>
    <hyperlink ref="E24" r:id="rId74" display="http://biz.yahoo.com/p/411conameu.html" xr:uid="{1746DDAC-4CD6-4EA0-9D26-AAB042057EB9}"/>
    <hyperlink ref="E25" r:id="rId75" display="http://biz.yahoo.com/p/416conameu.html" xr:uid="{6BA91EB5-647A-4EFE-9FE6-86B1F5866548}"/>
    <hyperlink ref="E26" r:id="rId76" display="http://biz.yahoo.com/p/413conameu.html" xr:uid="{DED816D4-B275-4792-ACD2-4AE132B544DC}"/>
    <hyperlink ref="E27" r:id="rId77" display="http://biz.yahoo.com/p/415conameu.html" xr:uid="{160900C2-0CA3-4803-B69F-A4B7C32419CB}"/>
    <hyperlink ref="E28" r:id="rId78" display="http://biz.yahoo.com/p/440conameu.html" xr:uid="{C1B619E8-C7A2-4E7C-9D3D-3B38E5E0CF64}"/>
    <hyperlink ref="E29" r:id="rId79" display="http://biz.yahoo.com/p/442conameu.html" xr:uid="{1A30AACC-8885-431B-830A-D35C9DF86FDD}"/>
    <hyperlink ref="E30" r:id="rId80" display="http://biz.yahoo.com/p/443conameu.html" xr:uid="{5CE46113-82B7-4561-BE79-D589A75DFA34}"/>
    <hyperlink ref="E31" r:id="rId81" display="http://biz.yahoo.com/p/444conameu.html" xr:uid="{BAAE4F19-C1FD-462F-AC78-048DD3758CFC}"/>
    <hyperlink ref="E32" r:id="rId82" display="http://biz.yahoo.com/p/441conameu.html" xr:uid="{98248C29-66C3-4392-8126-E629B7841494}"/>
    <hyperlink ref="E33" r:id="rId83" display="http://biz.yahoo.com/p/445conameu.html" xr:uid="{19084C8F-C50B-40D0-BE0B-52378BC28980}"/>
    <hyperlink ref="E34" r:id="rId84" display="http://biz.yahoo.com/p/446conameu.html" xr:uid="{9ADF0FF5-D733-457F-88B6-5FA9C3FD4FFB}"/>
    <hyperlink ref="E35" r:id="rId85" display="http://biz.yahoo.com/p/419conameu.html" xr:uid="{4830A32B-BB63-4DB5-99D5-5C62A491CC21}"/>
    <hyperlink ref="E36" r:id="rId86" display="http://biz.yahoo.com/p/433conameu.html" xr:uid="{CBE830E5-1022-4C63-959D-0E0F52A35CF6}"/>
    <hyperlink ref="E2" r:id="rId87" display="http://biz.yahoo.com/p/4conameu.html" xr:uid="{A441C974-1068-4255-B37E-9809ACCE7C03}"/>
    <hyperlink ref="F2" r:id="rId88" display="http://biz.yahoo.com/p/5conameu.html" xr:uid="{F222E7D7-F25E-4537-8F53-8CB3B81B0401}"/>
    <hyperlink ref="F4" r:id="rId89" display="http://biz.yahoo.com/p/515conameu.html" xr:uid="{59C51189-460D-4694-B63D-D0826560F021}"/>
    <hyperlink ref="F5" r:id="rId90" display="http://biz.yahoo.com/p/516conameu.html" xr:uid="{80144D09-CD79-41A7-A5C8-276A3B99B26F}"/>
    <hyperlink ref="F6" r:id="rId91" display="http://biz.yahoo.com/p/513conameu.html" xr:uid="{226B8F11-6FED-498A-99FB-C0A3EB506FFC}"/>
    <hyperlink ref="F7" r:id="rId92" display="http://biz.yahoo.com/p/510conameu.html" xr:uid="{639898D3-7796-4091-BD0D-ACF029087665}"/>
    <hyperlink ref="F8" r:id="rId93" display="http://biz.yahoo.com/p/511conameu.html" xr:uid="{D61D2CAC-314F-41A1-BCDB-95A30EC12B12}"/>
    <hyperlink ref="F9" r:id="rId94" display="http://biz.yahoo.com/p/514conameu.html" xr:uid="{C0DCC297-A3E1-4C2B-9D46-3B70568AAD9C}"/>
    <hyperlink ref="F10" r:id="rId95" display="http://biz.yahoo.com/p/512conameu.html" xr:uid="{866DC143-7F9B-4E31-A11A-525DAE8C4D04}"/>
    <hyperlink ref="F11" r:id="rId96" display="http://biz.yahoo.com/p/522conameu.html" xr:uid="{7244D89A-9FBB-422E-B8C7-62AEFEF67E38}"/>
    <hyperlink ref="F12" r:id="rId97" display="http://biz.yahoo.com/p/526conameu.html" xr:uid="{9E0A8EBA-6777-4749-9603-29C0DAA59083}"/>
    <hyperlink ref="F13" r:id="rId98" display="http://biz.yahoo.com/p/524conameu.html" xr:uid="{887AAE71-8B9B-44C9-8A6B-F29AFE8FC0EA}"/>
    <hyperlink ref="F14" r:id="rId99" display="http://biz.yahoo.com/p/523conameu.html" xr:uid="{4D510BB8-064A-4B52-8BB4-4D2CC5802DA6}"/>
    <hyperlink ref="F15" r:id="rId100" display="http://biz.yahoo.com/p/521conameu.html" xr:uid="{DC08CB17-6FC1-4E84-AD48-82C3CD991BEB}"/>
    <hyperlink ref="F16" r:id="rId101" display="http://biz.yahoo.com/p/520conameu.html" xr:uid="{33BDC4C0-964D-41C8-B024-9AAC4264594B}"/>
    <hyperlink ref="F17" r:id="rId102" display="http://biz.yahoo.com/p/525conameu.html" xr:uid="{F95DE97C-D253-426E-ADBF-EF0124A8AF2A}"/>
    <hyperlink ref="F18" r:id="rId103" display="http://biz.yahoo.com/p/527conameu.html" xr:uid="{20CDEE70-E548-49ED-A81A-4764B6D1BB8B}"/>
    <hyperlink ref="F19" r:id="rId104" display="http://biz.yahoo.com/p/528conameu.html" xr:uid="{A52DA4F7-9E7F-40EC-AD77-A536A23CC21C}"/>
    <hyperlink ref="G4" r:id="rId105" display="http://biz.yahoo.com/p/610conameu.html" xr:uid="{F948B9F9-E1C3-457C-ABAC-64933627B0AF}"/>
    <hyperlink ref="G5" r:id="rId106" display="http://biz.yahoo.com/p/611conameu.html" xr:uid="{4FC2D19A-7865-4410-BDCF-0FC68E8ED2D6}"/>
    <hyperlink ref="G6" r:id="rId107" display="http://biz.yahoo.com/p/633conameu.html" xr:uid="{FB37FC7C-8ED7-4537-97DF-A0BBD14AF4FE}"/>
    <hyperlink ref="G7" r:id="rId108" display="http://biz.yahoo.com/p/622conameu.html" xr:uid="{1031BA3A-07AC-4BBE-9872-7B5952BAEAE5}"/>
    <hyperlink ref="G8" r:id="rId109" display="http://biz.yahoo.com/p/620conameu.html" xr:uid="{E40075DD-E8A8-49B7-94FC-20B91BECC541}"/>
    <hyperlink ref="G9" r:id="rId110" display="http://biz.yahoo.com/p/634conameu.html" xr:uid="{4BF03B33-5DAD-4F8B-8A75-5CEFE0A42732}"/>
    <hyperlink ref="G10" r:id="rId111" display="http://biz.yahoo.com/p/636conameu.html" xr:uid="{CA85BFE0-1022-4651-9AFC-D934577988A4}"/>
    <hyperlink ref="G11" r:id="rId112" display="http://biz.yahoo.com/p/635conameu.html" xr:uid="{30E8384A-B0B2-4DE8-AE45-44FD1F80994B}"/>
    <hyperlink ref="G12" r:id="rId113" display="http://biz.yahoo.com/p/627conameu.html" xr:uid="{EBE71F7B-EDFC-44EB-B1AA-E452667A404C}"/>
    <hyperlink ref="G13" r:id="rId114" display="http://biz.yahoo.com/p/621conameu.html" xr:uid="{B45F7100-7A60-4E54-B2DB-448B0C3DDDAD}"/>
    <hyperlink ref="G14" r:id="rId115" display="http://biz.yahoo.com/p/632conameu.html" xr:uid="{D976B1A8-0B53-438F-A399-D3C828B4A063}"/>
    <hyperlink ref="G15" r:id="rId116" display="http://biz.yahoo.com/p/624conameu.html" xr:uid="{7FFFC1B8-CDF0-44EE-9323-6E2E47DA9FEE}"/>
    <hyperlink ref="G16" r:id="rId117" display="http://biz.yahoo.com/p/631conameu.html" xr:uid="{DC2AA0DC-1727-4DD8-8A14-F59356DDD80C}"/>
    <hyperlink ref="G17" r:id="rId118" display="http://biz.yahoo.com/p/626conameu.html" xr:uid="{6A99B2FC-FCE5-4D48-A960-49087B1DD6E6}"/>
    <hyperlink ref="G18" r:id="rId119" display="http://biz.yahoo.com/p/623conameu.html" xr:uid="{3C879407-8FFD-4BA8-B2B3-FBA78B999D3C}"/>
    <hyperlink ref="G19" r:id="rId120" display="http://biz.yahoo.com/p/630conameu.html" xr:uid="{C0F9E868-6C38-47B1-922C-3034C17D8FFA}"/>
    <hyperlink ref="G20" r:id="rId121" display="http://biz.yahoo.com/p/625conameu.html" xr:uid="{3993F5A9-6098-4F8A-B003-D3222E08811B}"/>
    <hyperlink ref="G21" r:id="rId122" display="http://biz.yahoo.com/p/628conameu.html" xr:uid="{327DBEDD-4EB3-41EE-BF48-BDD3BF8362B7}"/>
    <hyperlink ref="G22" r:id="rId123" display="http://biz.yahoo.com/p/637conameu.html" xr:uid="{61EF5E03-428C-43A0-9902-E6F2EE995EA9}"/>
    <hyperlink ref="G2" r:id="rId124" display="http://biz.yahoo.com/p/6conameu.html" xr:uid="{283BE23B-D688-4B2C-81CE-33712BD48107}"/>
    <hyperlink ref="H4" r:id="rId125" display="http://biz.yahoo.com/p/720conameu.html" xr:uid="{428627AC-EC13-4B79-A65D-4008E7B8FD0E}"/>
    <hyperlink ref="H5" r:id="rId126" display="http://biz.yahoo.com/p/773conameu.html" xr:uid="{DB5B2C5B-F269-44ED-9708-E14194D7A95A}"/>
    <hyperlink ref="H6" r:id="rId127" display="http://biz.yahoo.com/p/772conameu.html" xr:uid="{20E99EA3-6640-4127-8A7C-5A4ACB3D3F37}"/>
    <hyperlink ref="H7" r:id="rId128" display="http://biz.yahoo.com/p/730conameu.html" xr:uid="{C9721B96-EC9B-4BA4-BD00-EAC6A45F072B}"/>
    <hyperlink ref="H8" r:id="rId129" display="http://biz.yahoo.com/p/744conameu.html" xr:uid="{A027E1D6-3027-40CE-A740-FD506311A62B}"/>
    <hyperlink ref="H9" r:id="rId130" display="http://biz.yahoo.com/p/738conameu.html" xr:uid="{BD3FE88A-2763-4A4D-8BFD-ADEA6569756D}"/>
    <hyperlink ref="H10" r:id="rId131" display="http://biz.yahoo.com/p/750conameu.html" xr:uid="{13CB4385-8354-4C6D-8741-2E10723E6E38}"/>
    <hyperlink ref="H11" r:id="rId132" display="http://biz.yahoo.com/p/758conameu.html" xr:uid="{AFD73BAC-81CC-4E5C-B859-F284D3398E50}"/>
    <hyperlink ref="H12" r:id="rId133" display="http://biz.yahoo.com/p/724conameu.html" xr:uid="{D7B5B8A1-3F99-4741-8B8F-451570C56678}"/>
    <hyperlink ref="H13" r:id="rId134" display="http://biz.yahoo.com/p/723conameu.html" xr:uid="{012FFC0F-6863-4864-ACE5-F3D19416AC7D}"/>
    <hyperlink ref="H14" r:id="rId135" display="http://biz.yahoo.com/p/751conameu.html" xr:uid="{E590BB04-6D8D-4632-A5BF-1F94E8453CC8}"/>
    <hyperlink ref="H15" r:id="rId136" display="http://biz.yahoo.com/p/760conameu.html" xr:uid="{6A60A9B6-9401-4993-BB2D-5457EAD4B7E1}"/>
    <hyperlink ref="H16" r:id="rId137" display="http://biz.yahoo.com/p/739conameu.html" xr:uid="{BB418354-8AF0-4D9A-B0F1-0E378F690EBE}"/>
    <hyperlink ref="H17" r:id="rId138" display="http://biz.yahoo.com/p/725conameu.html" xr:uid="{8AFD79FD-8625-4CEA-8E0D-DD081FE07324}"/>
    <hyperlink ref="H18" r:id="rId139" display="http://biz.yahoo.com/p/755conameu.html" xr:uid="{D00F9090-C235-49C5-ACAB-D432FE876DFA}"/>
    <hyperlink ref="H19" r:id="rId140" display="http://biz.yahoo.com/p/763conameu.html" xr:uid="{59799E1A-E2D9-48FC-B307-7FF5021536EB}"/>
    <hyperlink ref="H20" r:id="rId141" display="http://biz.yahoo.com/p/731conameu.html" xr:uid="{87D3E73D-E707-4C51-B914-19D5C0113986}"/>
    <hyperlink ref="H21" r:id="rId142" display="http://biz.yahoo.com/p/732conameu.html" xr:uid="{1933022F-ED5B-4AB5-BAAD-F30E33FB7549}"/>
    <hyperlink ref="H22" r:id="rId143" display="http://biz.yahoo.com/p/733conameu.html" xr:uid="{4C9723A4-10B3-4D05-B778-C32C5A8CA1D8}"/>
    <hyperlink ref="H23" r:id="rId144" display="http://biz.yahoo.com/p/756conameu.html" xr:uid="{F7325376-CC1F-459A-9B14-E7C5F241DDFC}"/>
    <hyperlink ref="H24" r:id="rId145" display="http://biz.yahoo.com/p/766conameu.html" xr:uid="{4FCBB77D-8F29-4F91-A58C-36CAAAE8390C}"/>
    <hyperlink ref="H25" r:id="rId146" display="http://biz.yahoo.com/p/735conameu.html" xr:uid="{9B44D035-E0B9-443C-869E-1CEC2D6736D8}"/>
    <hyperlink ref="H26" r:id="rId147" display="http://biz.yahoo.com/p/753conameu.html" xr:uid="{D8182B1F-23C7-4B35-8E05-303F8CCAEF3C}"/>
    <hyperlink ref="H27" r:id="rId148" display="http://biz.yahoo.com/p/722conameu.html" xr:uid="{BFDA3DE4-C96F-46BC-A155-8C44E8B2DD30}"/>
    <hyperlink ref="H28" r:id="rId149" display="http://biz.yahoo.com/p/757conameu.html" xr:uid="{09C0CBEB-FFA5-45CF-AE9F-45AB0A9BBA37}"/>
    <hyperlink ref="H29" r:id="rId150" display="http://biz.yahoo.com/p/714conameu.html" xr:uid="{D46A6C92-393C-4803-A3EC-3DCEDECB2577}"/>
    <hyperlink ref="H30" r:id="rId151" display="http://biz.yahoo.com/p/716conameu.html" xr:uid="{4B4FB4D8-0320-4461-947D-1A9EE595C2CC}"/>
    <hyperlink ref="H31" r:id="rId152" display="http://biz.yahoo.com/p/734conameu.html" xr:uid="{6F9FE3B0-F57B-4CC0-A39B-BC2243BF7759}"/>
    <hyperlink ref="H32" r:id="rId153" display="http://biz.yahoo.com/p/737conameu.html" xr:uid="{57C854B1-B6A0-4FD0-A6F3-4113133B10A7}"/>
    <hyperlink ref="H33" r:id="rId154" display="http://biz.yahoo.com/p/736conameu.html" xr:uid="{3111CCA6-0F20-4BDC-AB54-66813AA1D0F6}"/>
    <hyperlink ref="H34" r:id="rId155" display="http://biz.yahoo.com/p/752conameu.html" xr:uid="{B6835A63-A080-479E-94AD-E71E8BFD3E28}"/>
    <hyperlink ref="H35" r:id="rId156" display="http://biz.yahoo.com/p/742conameu.html" xr:uid="{DF418C43-40FB-4536-A4FD-DB64691AF044}"/>
    <hyperlink ref="H36" r:id="rId157" display="http://biz.yahoo.com/p/710conameu.html" xr:uid="{5052856A-535C-4480-8F44-3E5FE9A02078}"/>
    <hyperlink ref="H37" r:id="rId158" display="http://biz.yahoo.com/p/770conameu.html" xr:uid="{A7813089-6808-4465-B867-E2DC67E680EE}"/>
    <hyperlink ref="H38" r:id="rId159" display="http://biz.yahoo.com/p/769conameu.html" xr:uid="{78619C22-1844-4ED9-B82C-F003807F6052}"/>
    <hyperlink ref="H39" r:id="rId160" display="http://biz.yahoo.com/p/721conameu.html" xr:uid="{4AFD15A5-2AAF-41CE-A172-D47DD95A29F1}"/>
    <hyperlink ref="H40" r:id="rId161" display="http://biz.yahoo.com/p/754conameu.html" xr:uid="{B36BE46E-F847-4CC0-97BF-01A63681C1CB}"/>
    <hyperlink ref="H41" r:id="rId162" display="http://biz.yahoo.com/p/726conameu.html" xr:uid="{DE9819EB-644A-4B79-9F2B-B236CB5EEF2E}"/>
    <hyperlink ref="H42" r:id="rId163" display="http://biz.yahoo.com/p/743conameu.html" xr:uid="{61B95D2A-8ED7-4E1C-83BF-785A4A6314FA}"/>
    <hyperlink ref="H43" r:id="rId164" display="http://biz.yahoo.com/p/762conameu.html" xr:uid="{F5B7CAEE-9FA8-45F4-9F57-850F3F9B2267}"/>
    <hyperlink ref="I4" r:id="rId165" display="http://biz.yahoo.com/p/729conameu.html" xr:uid="{370DA555-6326-4774-8905-B86539B2EACB}"/>
    <hyperlink ref="I5" r:id="rId166" display="http://biz.yahoo.com/p/727conameu.html" xr:uid="{69C9F598-743D-4BDB-AD7D-A3F1FC98F534}"/>
    <hyperlink ref="I6" r:id="rId167" display="http://biz.yahoo.com/p/728conameu.html" xr:uid="{699D9FBE-CB04-4BE6-B1E1-4A714D353F42}"/>
    <hyperlink ref="I7" r:id="rId168" display="http://biz.yahoo.com/p/776conameu.html" xr:uid="{E961C450-2486-4E2E-9629-382AA177E08A}"/>
    <hyperlink ref="I8" r:id="rId169" display="http://biz.yahoo.com/p/771conameu.html" xr:uid="{4B4C3708-2E29-485D-9B12-D58677E9B896}"/>
    <hyperlink ref="I9" r:id="rId170" display="http://biz.yahoo.com/p/761conameu.html" xr:uid="{61C68734-27F0-4A40-BA8B-A2CE4FEA910F}"/>
    <hyperlink ref="I10" r:id="rId171" display="http://biz.yahoo.com/p/768conameu.html" xr:uid="{5CFECD8F-824A-4460-8E21-DE9C9249A703}"/>
    <hyperlink ref="I11" r:id="rId172" display="http://biz.yahoo.com/p/711conameu.html" xr:uid="{E30A5259-7A87-48BE-A852-2E11DE8AD1D0}"/>
    <hyperlink ref="I12" r:id="rId173" display="http://biz.yahoo.com/p/712conameu.html" xr:uid="{18966BE9-FAC6-4BE9-9E57-0086E1E8C5C6}"/>
    <hyperlink ref="I13" r:id="rId174" display="http://biz.yahoo.com/p/765conameu.html" xr:uid="{55A9E462-65EF-4AF9-A28C-742AD08FAA0C}"/>
    <hyperlink ref="I14" r:id="rId175" display="http://biz.yahoo.com/p/775conameu.html" xr:uid="{07103345-AF4B-4A7D-864D-07431DF56227}"/>
    <hyperlink ref="I15" r:id="rId176" display="http://biz.yahoo.com/p/713conameu.html" xr:uid="{296BE969-939D-4684-A2E0-87EA7AE39C8A}"/>
    <hyperlink ref="I16" r:id="rId177" display="http://biz.yahoo.com/p/745conameu.html" xr:uid="{2C604637-23A5-4923-989A-C9B17CFD5C25}"/>
    <hyperlink ref="I17" r:id="rId178" display="http://biz.yahoo.com/p/715conameu.html" xr:uid="{D00ACF3A-628B-43EF-99CA-EFC29AE709E8}"/>
    <hyperlink ref="I18" r:id="rId179" display="http://biz.yahoo.com/p/740conameu.html" xr:uid="{6812A3D3-D704-4EBB-B31A-E30DB03BB6FD}"/>
    <hyperlink ref="I19" r:id="rId180" display="http://biz.yahoo.com/p/764conameu.html" xr:uid="{5224F66B-F5FC-4FCA-9AE9-FD92313755D8}"/>
    <hyperlink ref="I20" r:id="rId181" display="http://biz.yahoo.com/p/767conameu.html" xr:uid="{51FDC11F-23BD-4D23-B342-0CF32C123597}"/>
    <hyperlink ref="I21" r:id="rId182" display="http://biz.yahoo.com/p/741conameu.html" xr:uid="{650416D3-C9B8-4D83-85AF-ABD588702E8E}"/>
    <hyperlink ref="I22" r:id="rId183" display="http://biz.yahoo.com/p/774conameu.html" xr:uid="{F99CCAA9-5DB7-4F7D-B190-EEB639AD0C90}"/>
    <hyperlink ref="I23" r:id="rId184" display="http://biz.yahoo.com/p/759conameu.html" xr:uid="{209CA237-D0DF-48C0-BDEF-74BD7AF23F4E}"/>
    <hyperlink ref="H2" r:id="rId185" display="http://biz.yahoo.com/p/7conameu.html" xr:uid="{47B9F34D-2D02-443B-A094-F5051DEC262D}"/>
    <hyperlink ref="K2" r:id="rId186" display="http://biz.yahoo.com/p/8conameu.html" xr:uid="{24C6066F-DC20-4CBA-836A-57EFED07AF53}"/>
    <hyperlink ref="K4" r:id="rId187" display="http://biz.yahoo.com/p/821conameu.html" xr:uid="{0E4531DE-FF25-405D-8C7C-6E2FF3E74321}"/>
    <hyperlink ref="K5" r:id="rId188" display="http://biz.yahoo.com/p/826conameu.html" xr:uid="{07B55933-319A-45E2-B449-3F4781A75EF0}"/>
    <hyperlink ref="K6" r:id="rId189" display="http://biz.yahoo.com/p/841conameu.html" xr:uid="{FC2545C1-A236-44C2-BB0C-01EB39A14B50}"/>
    <hyperlink ref="K7" r:id="rId190" display="http://biz.yahoo.com/p/812conameu.html" xr:uid="{4578BBC8-CE8B-4D70-BFCD-C58A08F4E102}"/>
    <hyperlink ref="K8" r:id="rId191" display="http://biz.yahoo.com/p/815conameu.html" xr:uid="{EDD9992A-8EE2-4A17-9A5D-0A7E89B82EBE}"/>
    <hyperlink ref="K9" r:id="rId192" display="http://biz.yahoo.com/p/813conameu.html" xr:uid="{D4E8F6ED-86B1-448E-BEEB-E71BC127FE73}"/>
    <hyperlink ref="K10" r:id="rId193" display="http://biz.yahoo.com/p/846conameu.html" xr:uid="{00DD7D98-DCAB-4195-A3D7-42B573A4D0CE}"/>
    <hyperlink ref="K11" r:id="rId194" display="http://biz.yahoo.com/p/810conameu.html" xr:uid="{821CC52D-F1A9-494A-9B53-2E5D2A08A377}"/>
    <hyperlink ref="K12" r:id="rId195" display="http://biz.yahoo.com/p/836conameu.html" xr:uid="{31515307-7DCE-4B50-AEDD-DD88E20FB406}"/>
    <hyperlink ref="K13" r:id="rId196" display="http://biz.yahoo.com/p/825conameu.html" xr:uid="{9C3C160A-F285-4EB2-80D3-0226DDBC7F6F}"/>
    <hyperlink ref="K14" r:id="rId197" display="http://biz.yahoo.com/p/827conameu.html" xr:uid="{DAD16049-5317-49D2-B037-070BE7A25C17}"/>
    <hyperlink ref="K15" r:id="rId198" display="http://biz.yahoo.com/p/824conameu.html" xr:uid="{D5DDC0FA-AC2D-45D9-A0B8-4A34485DBDDB}"/>
    <hyperlink ref="K16" r:id="rId199" display="http://biz.yahoo.com/p/851conameu.html" xr:uid="{2A6CC7CF-A3EE-4FBE-B22B-C0EFA5294D94}"/>
    <hyperlink ref="K17" r:id="rId200" display="http://biz.yahoo.com/p/850conameu.html" xr:uid="{824544C1-159D-4C28-B7EF-DB8C2525A125}"/>
    <hyperlink ref="K18" r:id="rId201" display="http://biz.yahoo.com/p/852conameu.html" xr:uid="{D1C04C15-8CA7-437C-B6AE-E16BC1E3CA76}"/>
    <hyperlink ref="K19" r:id="rId202" display="http://biz.yahoo.com/p/843conameu.html" xr:uid="{EBD408B3-7AA3-4209-8BD5-28C8BA20F865}"/>
    <hyperlink ref="K20" r:id="rId203" display="http://biz.yahoo.com/p/820conameu.html" xr:uid="{57F523F3-4AA8-467B-80F9-04CF982FBBD5}"/>
    <hyperlink ref="K21" r:id="rId204" display="http://biz.yahoo.com/p/814conameu.html" xr:uid="{30928415-C0F5-4DDA-9CE5-581652519CBF}"/>
    <hyperlink ref="K22" r:id="rId205" display="http://biz.yahoo.com/p/811conameu.html" xr:uid="{C9449257-A398-492A-BB4B-1E0071502B88}"/>
    <hyperlink ref="K23" r:id="rId206" display="http://biz.yahoo.com/p/835conameu.html" xr:uid="{0C3FC7B0-111A-4592-B899-01C23AB79398}"/>
    <hyperlink ref="K24" r:id="rId207" display="http://biz.yahoo.com/p/842conameu.html" xr:uid="{AF4B7C07-B146-41E0-9411-D024C9D338AA}"/>
    <hyperlink ref="K25" r:id="rId208" display="http://biz.yahoo.com/p/837conameu.html" xr:uid="{99AE3F2F-A455-4CC8-8DD4-F566859C140E}"/>
    <hyperlink ref="K26" r:id="rId209" display="http://biz.yahoo.com/p/823conameu.html" xr:uid="{033F495A-AAF2-4720-8DFF-9CBB494C87FC}"/>
    <hyperlink ref="K27" r:id="rId210" display="http://biz.yahoo.com/p/830conameu.html" xr:uid="{BA4672FD-769A-4843-A7E4-F8C41C04373D}"/>
    <hyperlink ref="K28" r:id="rId211" display="http://biz.yahoo.com/p/833conameu.html" xr:uid="{0B86D5DC-D591-4263-B79B-0B9619C61F13}"/>
    <hyperlink ref="K29" r:id="rId212" display="http://biz.yahoo.com/p/832conameu.html" xr:uid="{ABAA45D3-60A9-406E-878E-6958D1F81BC4}"/>
    <hyperlink ref="K30" r:id="rId213" display="http://biz.yahoo.com/p/834conameu.html" xr:uid="{AD039B53-8191-47A6-9DAC-36091D8ACB97}"/>
    <hyperlink ref="K31" r:id="rId214" display="http://biz.yahoo.com/p/831conameu.html" xr:uid="{5447C98A-7B39-4A40-BB0A-275DC3072091}"/>
    <hyperlink ref="K32" r:id="rId215" display="http://biz.yahoo.com/p/822conameu.html" xr:uid="{F397D26D-5FD6-4909-82C4-0D3CDCAB3897}"/>
    <hyperlink ref="K33" r:id="rId216" display="http://biz.yahoo.com/p/844conameu.html" xr:uid="{BB27C9C4-65A5-4148-AD4F-2DBC09162AC6}"/>
    <hyperlink ref="K34" r:id="rId217" display="http://biz.yahoo.com/p/845conameu.html" xr:uid="{6A3B9E1C-46C8-4D43-A9DE-0673C207002A}"/>
    <hyperlink ref="K35" r:id="rId218" display="http://biz.yahoo.com/p/840conameu.html" xr:uid="{2A05DB15-2962-49E1-B18F-8A3B9445E21E}"/>
    <hyperlink ref="L4" r:id="rId219" display="http://biz.yahoo.com/p/913conameu.html" xr:uid="{D9D71890-4C3A-46A4-8A20-CF77D37A8D1A}"/>
    <hyperlink ref="L5" r:id="rId220" display="http://biz.yahoo.com/p/911conameu.html" xr:uid="{EB86723B-6AB0-440C-8284-0C3185429AFF}"/>
    <hyperlink ref="L6" r:id="rId221" display="http://biz.yahoo.com/p/910conameu.html" xr:uid="{59875B2D-4D33-4610-B79A-11EF416136A0}"/>
    <hyperlink ref="L7" r:id="rId222" display="http://biz.yahoo.com/p/912conameu.html" xr:uid="{F44106C9-237E-459C-BD5E-BECCBCD19CBA}"/>
    <hyperlink ref="L8" r:id="rId223" display="http://biz.yahoo.com/p/914conameu.html" xr:uid="{23B8F05F-5CDE-4707-A9AA-66019F2747BD}"/>
    <hyperlink ref="L2" r:id="rId224" display="http://biz.yahoo.com/p/9conameu.html" xr:uid="{E57F3282-DDDA-4CA0-B6F2-F2C293C93F7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1EE9A-D9C0-4A9E-8385-D01656F88DE5}">
  <sheetPr>
    <tabColor theme="1"/>
  </sheetPr>
  <dimension ref="A1:S99"/>
  <sheetViews>
    <sheetView showGridLines="0" workbookViewId="0">
      <pane xSplit="1" ySplit="1" topLeftCell="B57" activePane="bottomRight" state="frozen"/>
      <selection pane="topRight" activeCell="C1" sqref="C1"/>
      <selection pane="bottomLeft" activeCell="A3" sqref="A3"/>
      <selection pane="bottomRight" activeCell="B71" sqref="B71:S71"/>
    </sheetView>
  </sheetViews>
  <sheetFormatPr defaultRowHeight="15" x14ac:dyDescent="0.25"/>
  <cols>
    <col min="1" max="16384" width="9.140625" style="1"/>
  </cols>
  <sheetData>
    <row r="1" spans="1:19" ht="75.75" customHeight="1" x14ac:dyDescent="0.25">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18" customHeight="1" x14ac:dyDescent="0.25">
      <c r="A2" s="5">
        <v>43831</v>
      </c>
      <c r="B2" s="4">
        <v>-7</v>
      </c>
      <c r="C2" s="4">
        <v>2</v>
      </c>
      <c r="D2" s="4">
        <v>5</v>
      </c>
      <c r="E2" s="4">
        <v>-6</v>
      </c>
      <c r="F2" s="4">
        <v>1</v>
      </c>
      <c r="G2" s="4">
        <v>6</v>
      </c>
      <c r="H2" s="4">
        <v>8</v>
      </c>
      <c r="I2" s="4">
        <v>-1</v>
      </c>
      <c r="J2" s="4">
        <v>4</v>
      </c>
      <c r="K2" s="4">
        <v>3</v>
      </c>
      <c r="L2" s="4">
        <v>0</v>
      </c>
      <c r="M2" s="4">
        <v>-5</v>
      </c>
      <c r="N2" s="4">
        <v>0</v>
      </c>
      <c r="O2" s="4">
        <v>-2</v>
      </c>
      <c r="P2" s="4">
        <v>-8</v>
      </c>
      <c r="Q2" s="4">
        <v>-4</v>
      </c>
      <c r="R2" s="4">
        <v>-3</v>
      </c>
      <c r="S2" s="4">
        <v>7</v>
      </c>
    </row>
    <row r="3" spans="1:19" ht="18" customHeight="1" x14ac:dyDescent="0.25">
      <c r="A3" s="5">
        <v>43862</v>
      </c>
      <c r="B3" s="4">
        <v>0</v>
      </c>
      <c r="C3" s="4">
        <v>1</v>
      </c>
      <c r="D3" s="4">
        <v>6</v>
      </c>
      <c r="E3" s="4">
        <v>4</v>
      </c>
      <c r="F3" s="4">
        <v>3</v>
      </c>
      <c r="G3" s="4">
        <v>7</v>
      </c>
      <c r="H3" s="4">
        <v>13</v>
      </c>
      <c r="I3" s="4">
        <v>2</v>
      </c>
      <c r="J3" s="4">
        <v>5</v>
      </c>
      <c r="K3" s="4">
        <v>-1</v>
      </c>
      <c r="L3" s="4">
        <v>10</v>
      </c>
      <c r="M3" s="4">
        <v>-3</v>
      </c>
      <c r="N3" s="4">
        <v>12</v>
      </c>
      <c r="O3" s="4">
        <v>8</v>
      </c>
      <c r="P3" s="4">
        <v>11</v>
      </c>
      <c r="Q3" s="4">
        <v>9</v>
      </c>
      <c r="R3" s="4">
        <v>-2</v>
      </c>
      <c r="S3" s="4">
        <v>14</v>
      </c>
    </row>
    <row r="4" spans="1:19" ht="18" customHeight="1" x14ac:dyDescent="0.25">
      <c r="A4" s="5">
        <v>43891</v>
      </c>
      <c r="B4" s="4">
        <v>8</v>
      </c>
      <c r="C4" s="4">
        <v>5</v>
      </c>
      <c r="D4" s="4">
        <v>4</v>
      </c>
      <c r="E4" s="4">
        <v>0</v>
      </c>
      <c r="F4" s="4">
        <v>-2</v>
      </c>
      <c r="G4" s="4">
        <v>9</v>
      </c>
      <c r="H4" s="4">
        <v>-3</v>
      </c>
      <c r="I4" s="4">
        <v>-1</v>
      </c>
      <c r="J4" s="4">
        <v>2</v>
      </c>
      <c r="K4" s="4">
        <v>0</v>
      </c>
      <c r="L4" s="4">
        <v>6</v>
      </c>
      <c r="M4" s="4">
        <v>-6</v>
      </c>
      <c r="N4" s="4">
        <v>1</v>
      </c>
      <c r="O4" s="4">
        <v>3</v>
      </c>
      <c r="P4" s="4">
        <v>10</v>
      </c>
      <c r="Q4" s="4">
        <v>-5</v>
      </c>
      <c r="R4" s="4">
        <v>-4</v>
      </c>
      <c r="S4" s="4">
        <v>7</v>
      </c>
    </row>
    <row r="5" spans="1:19" ht="18" customHeight="1" x14ac:dyDescent="0.25">
      <c r="A5" s="5">
        <v>43922</v>
      </c>
      <c r="B5" s="4">
        <v>0</v>
      </c>
      <c r="C5" s="4">
        <v>-1</v>
      </c>
      <c r="D5" s="4">
        <v>-3</v>
      </c>
      <c r="E5" s="4">
        <v>-7</v>
      </c>
      <c r="F5" s="4">
        <v>-11</v>
      </c>
      <c r="G5" s="4">
        <v>1</v>
      </c>
      <c r="H5" s="4">
        <v>-14</v>
      </c>
      <c r="I5" s="4">
        <v>-9</v>
      </c>
      <c r="J5" s="4">
        <v>-4</v>
      </c>
      <c r="K5" s="4">
        <v>-10</v>
      </c>
      <c r="L5" s="4">
        <v>2</v>
      </c>
      <c r="M5" s="4">
        <v>-6</v>
      </c>
      <c r="N5" s="4">
        <v>-8</v>
      </c>
      <c r="O5" s="4">
        <v>-2</v>
      </c>
      <c r="P5" s="4">
        <v>-15</v>
      </c>
      <c r="Q5" s="4">
        <v>-12</v>
      </c>
      <c r="R5" s="4">
        <v>-13</v>
      </c>
      <c r="S5" s="4">
        <v>-5</v>
      </c>
    </row>
    <row r="6" spans="1:19" ht="18" customHeight="1" x14ac:dyDescent="0.25">
      <c r="A6" s="5">
        <v>43952</v>
      </c>
      <c r="B6" s="4">
        <v>4</v>
      </c>
      <c r="C6" s="4">
        <v>-3</v>
      </c>
      <c r="D6" s="4">
        <v>-2</v>
      </c>
      <c r="E6" s="4">
        <v>-4</v>
      </c>
      <c r="F6" s="4">
        <v>-7</v>
      </c>
      <c r="G6" s="4">
        <v>3</v>
      </c>
      <c r="H6" s="4">
        <v>5</v>
      </c>
      <c r="I6" s="4">
        <v>-6</v>
      </c>
      <c r="J6" s="4">
        <v>-5</v>
      </c>
      <c r="K6" s="4">
        <v>6</v>
      </c>
      <c r="L6" s="4">
        <v>2</v>
      </c>
      <c r="M6" s="4">
        <v>-8</v>
      </c>
      <c r="N6" s="4">
        <v>-1</v>
      </c>
      <c r="O6" s="4">
        <v>-10</v>
      </c>
      <c r="P6" s="4">
        <v>-11</v>
      </c>
      <c r="Q6" s="4">
        <v>0</v>
      </c>
      <c r="R6" s="4">
        <v>-9</v>
      </c>
      <c r="S6" s="4">
        <v>1</v>
      </c>
    </row>
    <row r="7" spans="1:19" ht="18" customHeight="1" x14ac:dyDescent="0.25">
      <c r="A7" s="5">
        <v>43983</v>
      </c>
      <c r="B7" s="4">
        <v>9</v>
      </c>
      <c r="C7" s="4">
        <v>5</v>
      </c>
      <c r="D7" s="4">
        <v>7</v>
      </c>
      <c r="E7" s="4">
        <v>1</v>
      </c>
      <c r="F7" s="4">
        <v>-2</v>
      </c>
      <c r="G7" s="4">
        <v>8</v>
      </c>
      <c r="H7" s="4">
        <v>11</v>
      </c>
      <c r="I7" s="4">
        <v>-1</v>
      </c>
      <c r="J7" s="4">
        <v>4</v>
      </c>
      <c r="K7" s="4">
        <v>3</v>
      </c>
      <c r="L7" s="4">
        <v>2</v>
      </c>
      <c r="M7" s="4">
        <v>0</v>
      </c>
      <c r="N7" s="4">
        <v>6</v>
      </c>
      <c r="O7" s="4">
        <v>-3</v>
      </c>
      <c r="P7" s="4">
        <v>10</v>
      </c>
      <c r="Q7" s="4">
        <v>13</v>
      </c>
      <c r="R7" s="4">
        <v>-4</v>
      </c>
      <c r="S7" s="4">
        <v>12</v>
      </c>
    </row>
    <row r="8" spans="1:19" ht="18" customHeight="1" x14ac:dyDescent="0.25">
      <c r="A8" s="5">
        <v>44013</v>
      </c>
      <c r="B8" s="4">
        <v>6</v>
      </c>
      <c r="C8" s="4">
        <v>7</v>
      </c>
      <c r="D8" s="4">
        <v>5</v>
      </c>
      <c r="E8" s="4">
        <v>1</v>
      </c>
      <c r="F8" s="4">
        <v>-1</v>
      </c>
      <c r="G8" s="4">
        <v>9</v>
      </c>
      <c r="H8" s="4">
        <v>12</v>
      </c>
      <c r="I8" s="4">
        <v>-2</v>
      </c>
      <c r="J8" s="4">
        <v>2</v>
      </c>
      <c r="K8" s="4">
        <v>0</v>
      </c>
      <c r="L8" s="4">
        <v>0</v>
      </c>
      <c r="M8" s="4">
        <v>3</v>
      </c>
      <c r="N8" s="4">
        <v>8</v>
      </c>
      <c r="O8" s="4">
        <v>4</v>
      </c>
      <c r="P8" s="4">
        <v>10</v>
      </c>
      <c r="Q8" s="4">
        <v>11</v>
      </c>
      <c r="R8" s="4">
        <v>-3</v>
      </c>
      <c r="S8" s="4">
        <v>13</v>
      </c>
    </row>
    <row r="9" spans="1:19" ht="18" customHeight="1" x14ac:dyDescent="0.25">
      <c r="A9" s="5">
        <v>44044</v>
      </c>
      <c r="B9" s="4">
        <v>6</v>
      </c>
      <c r="C9" s="4">
        <v>11</v>
      </c>
      <c r="D9" s="4">
        <v>10</v>
      </c>
      <c r="E9" s="4">
        <v>3</v>
      </c>
      <c r="F9" s="4">
        <v>8</v>
      </c>
      <c r="G9" s="4">
        <v>13</v>
      </c>
      <c r="H9" s="4">
        <v>-1</v>
      </c>
      <c r="I9" s="4">
        <v>7</v>
      </c>
      <c r="J9" s="4">
        <v>4</v>
      </c>
      <c r="K9" s="4">
        <v>5</v>
      </c>
      <c r="L9" s="4">
        <v>2</v>
      </c>
      <c r="M9" s="4">
        <v>-2</v>
      </c>
      <c r="N9" s="4">
        <v>14</v>
      </c>
      <c r="O9" s="4">
        <v>9</v>
      </c>
      <c r="P9" s="4">
        <v>-3</v>
      </c>
      <c r="Q9" s="4">
        <v>12</v>
      </c>
      <c r="R9" s="4">
        <v>1</v>
      </c>
      <c r="S9" s="4">
        <v>15</v>
      </c>
    </row>
    <row r="10" spans="1:19" ht="18" customHeight="1" x14ac:dyDescent="0.25">
      <c r="A10" s="5">
        <v>44094</v>
      </c>
      <c r="B10" s="4">
        <v>-4</v>
      </c>
      <c r="C10" s="4">
        <v>7</v>
      </c>
      <c r="D10" s="4">
        <v>2</v>
      </c>
      <c r="E10" s="4">
        <v>10</v>
      </c>
      <c r="F10" s="4">
        <v>8</v>
      </c>
      <c r="G10" s="4">
        <v>12</v>
      </c>
      <c r="H10" s="4">
        <v>11</v>
      </c>
      <c r="I10" s="4">
        <v>4</v>
      </c>
      <c r="J10" s="4">
        <v>6</v>
      </c>
      <c r="K10" s="4">
        <v>9</v>
      </c>
      <c r="L10" s="4">
        <v>14</v>
      </c>
      <c r="M10" s="4">
        <v>-2</v>
      </c>
      <c r="N10" s="4">
        <v>5</v>
      </c>
      <c r="O10" s="4">
        <v>-1</v>
      </c>
      <c r="P10" s="4">
        <v>-3</v>
      </c>
      <c r="Q10" s="4">
        <v>3</v>
      </c>
      <c r="R10" s="4">
        <v>1</v>
      </c>
      <c r="S10" s="4">
        <v>13</v>
      </c>
    </row>
    <row r="11" spans="1:19" ht="18" customHeight="1" x14ac:dyDescent="0.25">
      <c r="A11" s="5">
        <v>44105</v>
      </c>
      <c r="B11" s="4">
        <v>15</v>
      </c>
      <c r="C11" s="4">
        <v>6</v>
      </c>
      <c r="D11" s="4">
        <v>4</v>
      </c>
      <c r="E11" s="4">
        <v>2</v>
      </c>
      <c r="F11" s="4">
        <v>14</v>
      </c>
      <c r="G11" s="4">
        <v>12</v>
      </c>
      <c r="H11" s="4">
        <v>9</v>
      </c>
      <c r="I11" s="4">
        <v>10</v>
      </c>
      <c r="J11" s="4">
        <v>1</v>
      </c>
      <c r="K11" s="4">
        <v>13</v>
      </c>
      <c r="L11" s="4">
        <v>8</v>
      </c>
      <c r="M11" s="4">
        <v>0</v>
      </c>
      <c r="N11" s="4">
        <v>11</v>
      </c>
      <c r="O11" s="4">
        <v>5</v>
      </c>
      <c r="P11" s="4">
        <v>-1</v>
      </c>
      <c r="Q11" s="4">
        <v>-2</v>
      </c>
      <c r="R11" s="4">
        <v>3</v>
      </c>
      <c r="S11" s="4">
        <v>7</v>
      </c>
    </row>
    <row r="12" spans="1:19" ht="18" customHeight="1" x14ac:dyDescent="0.25">
      <c r="A12" s="5">
        <v>44136</v>
      </c>
      <c r="B12" s="4">
        <v>16</v>
      </c>
      <c r="C12" s="4">
        <v>8</v>
      </c>
      <c r="D12" s="4">
        <v>6</v>
      </c>
      <c r="E12" s="4">
        <v>12</v>
      </c>
      <c r="F12" s="4">
        <v>11</v>
      </c>
      <c r="G12" s="4">
        <v>1</v>
      </c>
      <c r="H12" s="4">
        <v>2</v>
      </c>
      <c r="I12" s="4">
        <v>7</v>
      </c>
      <c r="J12" s="4">
        <v>4</v>
      </c>
      <c r="K12" s="4">
        <v>15</v>
      </c>
      <c r="L12" s="4">
        <v>5</v>
      </c>
      <c r="M12" s="4">
        <v>-1</v>
      </c>
      <c r="N12" s="4">
        <v>10</v>
      </c>
      <c r="O12" s="4">
        <v>9</v>
      </c>
      <c r="P12" s="4">
        <v>-2</v>
      </c>
      <c r="Q12" s="4">
        <v>14</v>
      </c>
      <c r="R12" s="4">
        <v>3</v>
      </c>
      <c r="S12" s="4">
        <v>13</v>
      </c>
    </row>
    <row r="13" spans="1:19" ht="18" customHeight="1" x14ac:dyDescent="0.25">
      <c r="A13" s="5">
        <v>44166</v>
      </c>
      <c r="B13" s="4">
        <v>16</v>
      </c>
      <c r="C13" s="4">
        <v>7</v>
      </c>
      <c r="D13" s="4">
        <v>11</v>
      </c>
      <c r="E13" s="4">
        <v>3</v>
      </c>
      <c r="F13" s="4">
        <v>13</v>
      </c>
      <c r="G13" s="4">
        <v>2</v>
      </c>
      <c r="H13" s="4">
        <v>15</v>
      </c>
      <c r="I13" s="4">
        <v>12</v>
      </c>
      <c r="J13" s="4">
        <v>1</v>
      </c>
      <c r="K13" s="4">
        <v>-1</v>
      </c>
      <c r="L13" s="4">
        <v>8</v>
      </c>
      <c r="M13" s="4">
        <v>6</v>
      </c>
      <c r="N13" s="4">
        <v>9</v>
      </c>
      <c r="O13" s="4">
        <v>5</v>
      </c>
      <c r="P13" s="4">
        <v>-2</v>
      </c>
      <c r="Q13" s="4">
        <v>4</v>
      </c>
      <c r="R13" s="4">
        <v>10</v>
      </c>
      <c r="S13" s="4">
        <v>14</v>
      </c>
    </row>
    <row r="14" spans="1:19" ht="18" customHeight="1" x14ac:dyDescent="0.25">
      <c r="A14" s="5">
        <v>44197</v>
      </c>
      <c r="B14" s="4">
        <v>9</v>
      </c>
      <c r="C14" s="4">
        <v>13</v>
      </c>
      <c r="D14" s="4">
        <v>1</v>
      </c>
      <c r="E14" s="4">
        <v>16</v>
      </c>
      <c r="F14" s="4">
        <v>12</v>
      </c>
      <c r="G14" s="4">
        <v>6</v>
      </c>
      <c r="H14" s="4">
        <v>4</v>
      </c>
      <c r="I14" s="4">
        <v>15</v>
      </c>
      <c r="J14" s="4">
        <v>3</v>
      </c>
      <c r="K14" s="4">
        <v>5</v>
      </c>
      <c r="L14" s="4">
        <v>8</v>
      </c>
      <c r="M14" s="4">
        <v>-1</v>
      </c>
      <c r="N14" s="4">
        <v>11</v>
      </c>
      <c r="O14" s="4">
        <v>14</v>
      </c>
      <c r="P14" s="4">
        <v>-2</v>
      </c>
      <c r="Q14" s="4">
        <v>2</v>
      </c>
      <c r="R14" s="4">
        <v>10</v>
      </c>
      <c r="S14" s="4">
        <v>7</v>
      </c>
    </row>
    <row r="15" spans="1:19" ht="18" customHeight="1" x14ac:dyDescent="0.25">
      <c r="A15" s="5">
        <v>44228</v>
      </c>
      <c r="B15" s="4">
        <v>5</v>
      </c>
      <c r="C15" s="4">
        <v>12</v>
      </c>
      <c r="D15" s="4">
        <v>6</v>
      </c>
      <c r="E15" s="4">
        <v>15</v>
      </c>
      <c r="F15" s="4">
        <v>10</v>
      </c>
      <c r="G15" s="4">
        <v>4</v>
      </c>
      <c r="H15" s="4">
        <v>2</v>
      </c>
      <c r="I15" s="4">
        <v>11</v>
      </c>
      <c r="J15" s="4">
        <v>3</v>
      </c>
      <c r="K15" s="4">
        <v>1</v>
      </c>
      <c r="L15" s="4">
        <v>13</v>
      </c>
      <c r="M15" s="4">
        <v>-1</v>
      </c>
      <c r="N15" s="4">
        <v>7</v>
      </c>
      <c r="O15" s="4">
        <v>14</v>
      </c>
      <c r="P15" s="4">
        <v>-2</v>
      </c>
      <c r="Q15" s="4">
        <v>16</v>
      </c>
      <c r="R15" s="4">
        <v>9</v>
      </c>
      <c r="S15" s="4">
        <v>8</v>
      </c>
    </row>
    <row r="16" spans="1:19" ht="18" customHeight="1" x14ac:dyDescent="0.25">
      <c r="A16" s="5">
        <v>44256</v>
      </c>
      <c r="B16" s="4">
        <v>13</v>
      </c>
      <c r="C16" s="4">
        <v>5</v>
      </c>
      <c r="D16" s="4">
        <v>14</v>
      </c>
      <c r="E16" s="4">
        <v>16</v>
      </c>
      <c r="F16" s="4">
        <v>11</v>
      </c>
      <c r="G16" s="4">
        <v>10</v>
      </c>
      <c r="H16" s="4">
        <v>12</v>
      </c>
      <c r="I16" s="4">
        <v>15</v>
      </c>
      <c r="J16" s="4">
        <v>3</v>
      </c>
      <c r="K16" s="4">
        <v>4</v>
      </c>
      <c r="L16" s="4">
        <v>7</v>
      </c>
      <c r="M16" s="4">
        <v>1</v>
      </c>
      <c r="N16" s="4">
        <v>8</v>
      </c>
      <c r="O16" s="4">
        <v>9</v>
      </c>
      <c r="P16" s="4">
        <v>2</v>
      </c>
      <c r="Q16" s="4">
        <v>17</v>
      </c>
      <c r="R16" s="4">
        <v>6</v>
      </c>
      <c r="S16" s="4">
        <v>0</v>
      </c>
    </row>
    <row r="17" spans="1:19" ht="18" customHeight="1" x14ac:dyDescent="0.25">
      <c r="A17" s="5">
        <v>44287</v>
      </c>
      <c r="B17" s="4">
        <v>6</v>
      </c>
      <c r="C17" s="4">
        <v>11</v>
      </c>
      <c r="D17" s="4">
        <v>8</v>
      </c>
      <c r="E17" s="4">
        <v>18</v>
      </c>
      <c r="F17" s="4">
        <v>14</v>
      </c>
      <c r="G17" s="4">
        <v>9</v>
      </c>
      <c r="H17" s="4">
        <v>16</v>
      </c>
      <c r="I17" s="4">
        <v>15</v>
      </c>
      <c r="J17" s="4">
        <v>12</v>
      </c>
      <c r="K17" s="4">
        <v>7</v>
      </c>
      <c r="L17" s="4">
        <v>4</v>
      </c>
      <c r="M17" s="4">
        <v>3</v>
      </c>
      <c r="N17" s="4">
        <v>10</v>
      </c>
      <c r="O17" s="4">
        <v>13</v>
      </c>
      <c r="P17" s="4">
        <v>2</v>
      </c>
      <c r="Q17" s="4">
        <v>17</v>
      </c>
      <c r="R17" s="4">
        <v>5</v>
      </c>
      <c r="S17" s="4">
        <v>1</v>
      </c>
    </row>
    <row r="18" spans="1:19" ht="18" customHeight="1" x14ac:dyDescent="0.25">
      <c r="A18" s="5">
        <v>44317</v>
      </c>
      <c r="B18" s="4">
        <v>0</v>
      </c>
      <c r="C18" s="4">
        <v>6</v>
      </c>
      <c r="D18" s="4">
        <v>11</v>
      </c>
      <c r="E18" s="4">
        <v>10</v>
      </c>
      <c r="F18" s="4">
        <v>9</v>
      </c>
      <c r="G18" s="4">
        <v>8</v>
      </c>
      <c r="H18" s="4">
        <v>16</v>
      </c>
      <c r="I18" s="4">
        <v>7</v>
      </c>
      <c r="J18" s="4">
        <v>5</v>
      </c>
      <c r="K18" s="4">
        <v>15</v>
      </c>
      <c r="L18" s="4">
        <v>2</v>
      </c>
      <c r="M18" s="4">
        <v>1</v>
      </c>
      <c r="N18" s="4">
        <v>14</v>
      </c>
      <c r="O18" s="4">
        <v>12</v>
      </c>
      <c r="P18" s="4">
        <v>-1</v>
      </c>
      <c r="Q18" s="4">
        <v>13</v>
      </c>
      <c r="R18" s="4">
        <v>4</v>
      </c>
      <c r="S18" s="4">
        <v>3</v>
      </c>
    </row>
    <row r="19" spans="1:19" ht="18" customHeight="1" x14ac:dyDescent="0.25">
      <c r="A19" s="5">
        <v>44348</v>
      </c>
      <c r="B19" s="4">
        <v>0</v>
      </c>
      <c r="C19" s="4">
        <v>12</v>
      </c>
      <c r="D19" s="4">
        <v>14</v>
      </c>
      <c r="E19" s="4">
        <v>15</v>
      </c>
      <c r="F19" s="4">
        <v>11</v>
      </c>
      <c r="G19" s="4">
        <v>5</v>
      </c>
      <c r="H19" s="4">
        <v>17</v>
      </c>
      <c r="I19" s="4">
        <v>16</v>
      </c>
      <c r="J19" s="4">
        <v>9</v>
      </c>
      <c r="K19" s="4">
        <v>8</v>
      </c>
      <c r="L19" s="4">
        <v>4</v>
      </c>
      <c r="M19" s="4">
        <v>1</v>
      </c>
      <c r="N19" s="4">
        <v>13</v>
      </c>
      <c r="O19" s="4">
        <v>6</v>
      </c>
      <c r="P19" s="4">
        <v>3</v>
      </c>
      <c r="Q19" s="4">
        <v>7</v>
      </c>
      <c r="R19" s="4">
        <v>10</v>
      </c>
      <c r="S19" s="4">
        <v>2</v>
      </c>
    </row>
    <row r="20" spans="1:19" ht="18" customHeight="1" x14ac:dyDescent="0.25">
      <c r="A20" s="5">
        <v>44378</v>
      </c>
      <c r="B20" s="4">
        <v>15</v>
      </c>
      <c r="C20" s="4">
        <v>8</v>
      </c>
      <c r="D20" s="4">
        <v>13</v>
      </c>
      <c r="E20" s="4">
        <v>3</v>
      </c>
      <c r="F20" s="4">
        <v>10</v>
      </c>
      <c r="G20" s="4">
        <v>7</v>
      </c>
      <c r="H20" s="4">
        <v>17</v>
      </c>
      <c r="I20" s="4">
        <v>11</v>
      </c>
      <c r="J20" s="4">
        <v>14</v>
      </c>
      <c r="K20" s="4">
        <v>12</v>
      </c>
      <c r="L20" s="4">
        <v>9</v>
      </c>
      <c r="M20" s="4">
        <v>1</v>
      </c>
      <c r="N20" s="4">
        <v>5</v>
      </c>
      <c r="O20" s="4">
        <v>6</v>
      </c>
      <c r="P20" s="4">
        <v>16</v>
      </c>
      <c r="Q20" s="4">
        <v>-1</v>
      </c>
      <c r="R20" s="4">
        <v>4</v>
      </c>
      <c r="S20" s="4">
        <v>2</v>
      </c>
    </row>
    <row r="21" spans="1:19" ht="18" customHeight="1" x14ac:dyDescent="0.25">
      <c r="A21" s="5">
        <v>44409</v>
      </c>
      <c r="B21" s="4">
        <v>0</v>
      </c>
      <c r="C21" s="4">
        <v>8</v>
      </c>
      <c r="D21" s="4">
        <v>14</v>
      </c>
      <c r="E21" s="4">
        <v>11</v>
      </c>
      <c r="F21" s="4">
        <v>10</v>
      </c>
      <c r="G21" s="4">
        <v>6</v>
      </c>
      <c r="H21" s="4">
        <v>15</v>
      </c>
      <c r="I21" s="4">
        <v>13</v>
      </c>
      <c r="J21" s="4">
        <v>7</v>
      </c>
      <c r="K21" s="4">
        <v>-1</v>
      </c>
      <c r="L21" s="4">
        <v>2</v>
      </c>
      <c r="M21" s="4">
        <v>1</v>
      </c>
      <c r="N21" s="4">
        <v>9</v>
      </c>
      <c r="O21" s="4">
        <v>12</v>
      </c>
      <c r="P21" s="4">
        <v>3</v>
      </c>
      <c r="Q21" s="4">
        <v>-2</v>
      </c>
      <c r="R21" s="4">
        <v>5</v>
      </c>
      <c r="S21" s="4">
        <v>4</v>
      </c>
    </row>
    <row r="22" spans="1:19" ht="18" customHeight="1" x14ac:dyDescent="0.25">
      <c r="A22" s="5">
        <v>44440</v>
      </c>
      <c r="B22" s="4">
        <v>11</v>
      </c>
      <c r="C22" s="4">
        <v>12</v>
      </c>
      <c r="D22" s="4">
        <v>13</v>
      </c>
      <c r="E22" s="4">
        <v>14</v>
      </c>
      <c r="F22" s="4">
        <v>5</v>
      </c>
      <c r="G22" s="4">
        <v>6</v>
      </c>
      <c r="H22" s="4">
        <v>17</v>
      </c>
      <c r="I22" s="4">
        <v>15</v>
      </c>
      <c r="J22" s="4">
        <v>7</v>
      </c>
      <c r="K22" s="4">
        <v>2</v>
      </c>
      <c r="L22" s="4">
        <v>9</v>
      </c>
      <c r="M22" s="4">
        <v>16</v>
      </c>
      <c r="N22" s="4">
        <v>1</v>
      </c>
      <c r="O22" s="4">
        <v>3</v>
      </c>
      <c r="P22" s="4">
        <v>8</v>
      </c>
      <c r="Q22" s="4">
        <v>10</v>
      </c>
      <c r="R22" s="4">
        <v>4</v>
      </c>
      <c r="S22" s="4">
        <v>-1</v>
      </c>
    </row>
    <row r="23" spans="1:19" ht="18" customHeight="1" x14ac:dyDescent="0.25">
      <c r="A23" s="5">
        <v>44470</v>
      </c>
      <c r="B23" s="4">
        <v>16</v>
      </c>
      <c r="C23" s="4">
        <v>8</v>
      </c>
      <c r="D23" s="4">
        <v>9</v>
      </c>
      <c r="E23" s="4">
        <v>13</v>
      </c>
      <c r="F23" s="4">
        <v>7</v>
      </c>
      <c r="G23" s="4">
        <v>10</v>
      </c>
      <c r="H23" s="4">
        <v>15</v>
      </c>
      <c r="I23" s="4">
        <v>12</v>
      </c>
      <c r="J23" s="4">
        <v>6</v>
      </c>
      <c r="K23" s="4">
        <v>-1</v>
      </c>
      <c r="L23" s="4">
        <v>3</v>
      </c>
      <c r="M23" s="4">
        <v>5</v>
      </c>
      <c r="N23" s="4">
        <v>4</v>
      </c>
      <c r="O23" s="4">
        <v>2</v>
      </c>
      <c r="P23" s="4">
        <v>11</v>
      </c>
      <c r="Q23" s="4">
        <v>14</v>
      </c>
      <c r="R23" s="4">
        <v>1</v>
      </c>
      <c r="S23" s="4">
        <v>-2</v>
      </c>
    </row>
    <row r="24" spans="1:19" ht="18" customHeight="1" x14ac:dyDescent="0.25">
      <c r="A24" s="5">
        <v>44501</v>
      </c>
      <c r="B24" s="4">
        <v>13</v>
      </c>
      <c r="C24" s="4">
        <v>4</v>
      </c>
      <c r="D24" s="4">
        <v>10</v>
      </c>
      <c r="E24" s="4">
        <v>11</v>
      </c>
      <c r="F24" s="4">
        <v>2</v>
      </c>
      <c r="G24" s="4">
        <v>6</v>
      </c>
      <c r="H24" s="4">
        <v>12</v>
      </c>
      <c r="I24" s="4">
        <v>9</v>
      </c>
      <c r="J24" s="4">
        <v>5</v>
      </c>
      <c r="K24" s="4">
        <v>0</v>
      </c>
      <c r="L24" s="4">
        <v>7</v>
      </c>
      <c r="M24" s="4">
        <v>3</v>
      </c>
      <c r="N24" s="4">
        <v>8</v>
      </c>
      <c r="O24" s="4">
        <v>-1</v>
      </c>
      <c r="P24" s="4">
        <v>-2</v>
      </c>
      <c r="Q24" s="4">
        <v>0</v>
      </c>
      <c r="R24" s="4">
        <v>1</v>
      </c>
      <c r="S24" s="4">
        <v>0</v>
      </c>
    </row>
    <row r="25" spans="1:19" ht="18" customHeight="1" x14ac:dyDescent="0.25">
      <c r="A25" s="5">
        <v>44531</v>
      </c>
      <c r="B25" s="4">
        <v>15</v>
      </c>
      <c r="C25" s="4">
        <v>8</v>
      </c>
      <c r="D25" s="4">
        <v>5</v>
      </c>
      <c r="E25" s="4">
        <v>7</v>
      </c>
      <c r="F25" s="4">
        <v>6</v>
      </c>
      <c r="G25" s="4">
        <v>4</v>
      </c>
      <c r="H25" s="4">
        <v>14</v>
      </c>
      <c r="I25" s="4">
        <v>11</v>
      </c>
      <c r="J25" s="4">
        <v>9</v>
      </c>
      <c r="K25" s="4">
        <v>10</v>
      </c>
      <c r="L25" s="4">
        <v>-1</v>
      </c>
      <c r="M25" s="4">
        <v>1</v>
      </c>
      <c r="N25" s="4">
        <v>12</v>
      </c>
      <c r="O25" s="4">
        <v>2</v>
      </c>
      <c r="P25" s="4">
        <v>-2</v>
      </c>
      <c r="Q25" s="4">
        <v>13</v>
      </c>
      <c r="R25" s="4">
        <v>3</v>
      </c>
      <c r="S25" s="4">
        <v>-3</v>
      </c>
    </row>
    <row r="26" spans="1:19" ht="18" customHeight="1" x14ac:dyDescent="0.25">
      <c r="A26" s="5">
        <v>44562</v>
      </c>
      <c r="B26" s="4">
        <v>14</v>
      </c>
      <c r="C26" s="4">
        <v>3</v>
      </c>
      <c r="D26" s="4">
        <v>4</v>
      </c>
      <c r="E26" s="4">
        <v>9</v>
      </c>
      <c r="F26" s="4">
        <v>5</v>
      </c>
      <c r="G26" s="4">
        <v>8</v>
      </c>
      <c r="H26" s="4">
        <v>13</v>
      </c>
      <c r="I26" s="4">
        <v>10</v>
      </c>
      <c r="J26" s="4">
        <v>12</v>
      </c>
      <c r="K26" s="4">
        <v>11</v>
      </c>
      <c r="L26" s="4">
        <v>-1</v>
      </c>
      <c r="M26" s="4">
        <v>2</v>
      </c>
      <c r="N26" s="4">
        <v>1</v>
      </c>
      <c r="O26" s="4">
        <v>6</v>
      </c>
      <c r="P26" s="4">
        <v>0</v>
      </c>
      <c r="Q26" s="4">
        <v>0</v>
      </c>
      <c r="R26" s="4">
        <v>7</v>
      </c>
      <c r="S26" s="4">
        <v>0</v>
      </c>
    </row>
    <row r="27" spans="1:19" ht="18" customHeight="1" x14ac:dyDescent="0.25">
      <c r="A27" s="5">
        <v>44593</v>
      </c>
      <c r="B27" s="4">
        <v>16</v>
      </c>
      <c r="C27" s="4">
        <v>2</v>
      </c>
      <c r="D27" s="4">
        <v>8</v>
      </c>
      <c r="E27" s="4">
        <v>9</v>
      </c>
      <c r="F27" s="4">
        <v>5</v>
      </c>
      <c r="G27" s="4">
        <v>4</v>
      </c>
      <c r="H27" s="4">
        <v>7</v>
      </c>
      <c r="I27" s="4">
        <v>12</v>
      </c>
      <c r="J27" s="4">
        <v>11</v>
      </c>
      <c r="K27" s="4">
        <v>3</v>
      </c>
      <c r="L27" s="4">
        <v>14</v>
      </c>
      <c r="M27" s="4">
        <v>1</v>
      </c>
      <c r="N27" s="4">
        <v>6</v>
      </c>
      <c r="O27" s="4">
        <v>10</v>
      </c>
      <c r="P27" s="4">
        <v>0</v>
      </c>
      <c r="Q27" s="4">
        <v>15</v>
      </c>
      <c r="R27" s="4">
        <v>13</v>
      </c>
      <c r="S27" s="4">
        <v>-1</v>
      </c>
    </row>
    <row r="28" spans="1:19" ht="18" customHeight="1" x14ac:dyDescent="0.25">
      <c r="A28" s="5">
        <v>44621</v>
      </c>
      <c r="B28" s="4">
        <v>15</v>
      </c>
      <c r="C28" s="4">
        <v>5</v>
      </c>
      <c r="D28" s="4">
        <v>4</v>
      </c>
      <c r="E28" s="4">
        <v>12</v>
      </c>
      <c r="F28" s="4">
        <v>7</v>
      </c>
      <c r="G28" s="4">
        <v>13</v>
      </c>
      <c r="H28" s="4">
        <v>14</v>
      </c>
      <c r="I28" s="4">
        <v>10</v>
      </c>
      <c r="J28" s="4">
        <v>11</v>
      </c>
      <c r="K28" s="4">
        <v>3</v>
      </c>
      <c r="L28" s="4">
        <v>6</v>
      </c>
      <c r="M28" s="4">
        <v>-1</v>
      </c>
      <c r="N28" s="4">
        <v>1</v>
      </c>
      <c r="O28" s="4">
        <v>2</v>
      </c>
      <c r="P28" s="4">
        <v>0</v>
      </c>
      <c r="Q28" s="4">
        <v>9</v>
      </c>
      <c r="R28" s="4">
        <v>8</v>
      </c>
      <c r="S28" s="4">
        <v>-2</v>
      </c>
    </row>
    <row r="29" spans="1:19" ht="18" customHeight="1" x14ac:dyDescent="0.25">
      <c r="A29" s="5">
        <v>44652</v>
      </c>
      <c r="B29" s="4">
        <v>17</v>
      </c>
      <c r="C29" s="4">
        <v>5</v>
      </c>
      <c r="D29" s="4">
        <v>13</v>
      </c>
      <c r="E29" s="4">
        <v>9</v>
      </c>
      <c r="F29" s="4">
        <v>3</v>
      </c>
      <c r="G29" s="4">
        <v>12</v>
      </c>
      <c r="H29" s="4">
        <v>6</v>
      </c>
      <c r="I29" s="4">
        <v>16</v>
      </c>
      <c r="J29" s="4">
        <v>2</v>
      </c>
      <c r="K29" s="4">
        <v>14</v>
      </c>
      <c r="L29" s="4">
        <v>8</v>
      </c>
      <c r="M29" s="4">
        <v>-1</v>
      </c>
      <c r="N29" s="4">
        <v>15</v>
      </c>
      <c r="O29" s="4">
        <v>7</v>
      </c>
      <c r="P29" s="4">
        <v>10</v>
      </c>
      <c r="Q29" s="4">
        <v>4</v>
      </c>
      <c r="R29" s="4">
        <v>11</v>
      </c>
      <c r="S29" s="4">
        <v>1</v>
      </c>
    </row>
    <row r="30" spans="1:19" ht="18" customHeight="1" x14ac:dyDescent="0.25">
      <c r="A30" s="5">
        <v>44682</v>
      </c>
      <c r="B30" s="4">
        <v>15</v>
      </c>
      <c r="C30" s="4">
        <v>4</v>
      </c>
      <c r="D30" s="4">
        <v>11</v>
      </c>
      <c r="E30" s="4">
        <v>1</v>
      </c>
      <c r="F30" s="4">
        <v>5</v>
      </c>
      <c r="G30" s="4">
        <v>10</v>
      </c>
      <c r="H30" s="4">
        <v>-1</v>
      </c>
      <c r="I30" s="4">
        <v>13</v>
      </c>
      <c r="J30" s="4">
        <v>3</v>
      </c>
      <c r="K30" s="4">
        <v>12</v>
      </c>
      <c r="L30" s="4">
        <v>8</v>
      </c>
      <c r="M30" s="4">
        <v>7</v>
      </c>
      <c r="N30" s="4">
        <v>6</v>
      </c>
      <c r="O30" s="4">
        <v>2</v>
      </c>
      <c r="P30" s="4">
        <v>14</v>
      </c>
      <c r="Q30" s="4">
        <v>0</v>
      </c>
      <c r="R30" s="4">
        <v>9</v>
      </c>
      <c r="S30" s="4">
        <v>0</v>
      </c>
    </row>
    <row r="31" spans="1:19" ht="18" customHeight="1" x14ac:dyDescent="0.25">
      <c r="A31" s="5">
        <v>44713</v>
      </c>
      <c r="B31" s="4">
        <v>15</v>
      </c>
      <c r="C31" s="4">
        <v>1</v>
      </c>
      <c r="D31" s="4">
        <v>12</v>
      </c>
      <c r="E31" s="4">
        <v>10</v>
      </c>
      <c r="F31" s="4">
        <v>5</v>
      </c>
      <c r="G31" s="4">
        <v>2</v>
      </c>
      <c r="H31" s="4">
        <v>-1</v>
      </c>
      <c r="I31" s="4">
        <v>11</v>
      </c>
      <c r="J31" s="4">
        <v>4</v>
      </c>
      <c r="K31" s="4">
        <v>8</v>
      </c>
      <c r="L31" s="4">
        <v>-3</v>
      </c>
      <c r="M31" s="4">
        <v>3</v>
      </c>
      <c r="N31" s="4">
        <v>7</v>
      </c>
      <c r="O31" s="4">
        <v>9</v>
      </c>
      <c r="P31" s="4">
        <v>13</v>
      </c>
      <c r="Q31" s="4">
        <v>14</v>
      </c>
      <c r="R31" s="4">
        <v>6</v>
      </c>
      <c r="S31" s="4">
        <v>-2</v>
      </c>
    </row>
    <row r="32" spans="1:19" ht="18" customHeight="1" x14ac:dyDescent="0.25">
      <c r="A32" s="5">
        <v>44743</v>
      </c>
      <c r="B32" s="4">
        <v>11</v>
      </c>
      <c r="C32" s="4">
        <v>-1</v>
      </c>
      <c r="D32" s="4">
        <v>7</v>
      </c>
      <c r="E32" s="4">
        <v>1</v>
      </c>
      <c r="F32" s="4">
        <v>-3</v>
      </c>
      <c r="G32" s="4">
        <v>-2</v>
      </c>
      <c r="H32" s="4">
        <v>-6</v>
      </c>
      <c r="I32" s="4">
        <v>5</v>
      </c>
      <c r="J32" s="4">
        <v>-4</v>
      </c>
      <c r="K32" s="4">
        <v>10</v>
      </c>
      <c r="L32" s="4">
        <v>-5</v>
      </c>
      <c r="M32" s="4">
        <v>9</v>
      </c>
      <c r="N32" s="4">
        <v>2</v>
      </c>
      <c r="O32" s="4">
        <v>3</v>
      </c>
      <c r="P32" s="4">
        <v>8</v>
      </c>
      <c r="Q32" s="4">
        <v>4</v>
      </c>
      <c r="R32" s="4">
        <v>6</v>
      </c>
      <c r="S32" s="4">
        <v>-7</v>
      </c>
    </row>
    <row r="33" spans="1:19" ht="18" customHeight="1" x14ac:dyDescent="0.25">
      <c r="A33" s="5">
        <v>44774</v>
      </c>
      <c r="B33" s="4">
        <v>-6</v>
      </c>
      <c r="C33" s="4">
        <v>-3</v>
      </c>
      <c r="D33" s="4">
        <v>7</v>
      </c>
      <c r="E33" s="4">
        <v>-1</v>
      </c>
      <c r="F33" s="4">
        <v>-2</v>
      </c>
      <c r="G33" s="4">
        <v>1</v>
      </c>
      <c r="H33" s="4">
        <v>-5</v>
      </c>
      <c r="I33" s="4">
        <v>3</v>
      </c>
      <c r="J33" s="4">
        <v>2</v>
      </c>
      <c r="K33" s="4">
        <v>10</v>
      </c>
      <c r="L33" s="4">
        <v>-4</v>
      </c>
      <c r="M33" s="4">
        <v>9</v>
      </c>
      <c r="N33" s="4">
        <v>5</v>
      </c>
      <c r="O33" s="4">
        <v>4</v>
      </c>
      <c r="P33" s="4">
        <v>6</v>
      </c>
      <c r="Q33" s="4">
        <v>0</v>
      </c>
      <c r="R33" s="4">
        <v>8</v>
      </c>
      <c r="S33" s="4">
        <v>-7</v>
      </c>
    </row>
    <row r="34" spans="1:19" ht="18" customHeight="1" x14ac:dyDescent="0.25">
      <c r="A34" s="5">
        <v>44805</v>
      </c>
      <c r="B34" s="4">
        <v>5</v>
      </c>
      <c r="C34" s="4">
        <v>-2</v>
      </c>
      <c r="D34" s="4">
        <v>2</v>
      </c>
      <c r="E34" s="4">
        <v>1</v>
      </c>
      <c r="F34" s="4">
        <v>-1</v>
      </c>
      <c r="G34" s="4">
        <v>3</v>
      </c>
      <c r="H34" s="4">
        <v>-7</v>
      </c>
      <c r="I34" s="4">
        <v>8</v>
      </c>
      <c r="J34" s="4">
        <v>6</v>
      </c>
      <c r="K34" s="4">
        <v>9</v>
      </c>
      <c r="L34" s="4">
        <v>-3</v>
      </c>
      <c r="M34" s="4">
        <v>0</v>
      </c>
      <c r="N34" s="4">
        <v>7</v>
      </c>
      <c r="O34" s="4">
        <v>0</v>
      </c>
      <c r="P34" s="4">
        <v>-4</v>
      </c>
      <c r="Q34" s="4">
        <v>-6</v>
      </c>
      <c r="R34" s="4">
        <v>4</v>
      </c>
      <c r="S34" s="4">
        <v>-5</v>
      </c>
    </row>
    <row r="35" spans="1:19" ht="18" customHeight="1" x14ac:dyDescent="0.25">
      <c r="A35" s="5">
        <v>44835</v>
      </c>
      <c r="B35" s="4">
        <v>8</v>
      </c>
      <c r="C35" s="4">
        <v>-4</v>
      </c>
      <c r="D35" s="4">
        <v>-2</v>
      </c>
      <c r="E35" s="4">
        <v>1</v>
      </c>
      <c r="F35" s="4">
        <v>-5</v>
      </c>
      <c r="G35" s="4">
        <v>-1</v>
      </c>
      <c r="H35" s="4">
        <v>-10</v>
      </c>
      <c r="I35" s="4">
        <v>6</v>
      </c>
      <c r="J35" s="4">
        <v>3</v>
      </c>
      <c r="K35" s="4">
        <v>7</v>
      </c>
      <c r="L35" s="4">
        <v>-8</v>
      </c>
      <c r="M35" s="4">
        <v>5</v>
      </c>
      <c r="N35" s="4">
        <v>2</v>
      </c>
      <c r="O35" s="4">
        <v>-3</v>
      </c>
      <c r="P35" s="4">
        <v>-6</v>
      </c>
      <c r="Q35" s="4">
        <v>-7</v>
      </c>
      <c r="R35" s="4">
        <v>4</v>
      </c>
      <c r="S35" s="4">
        <v>-9</v>
      </c>
    </row>
    <row r="36" spans="1:19" ht="18" customHeight="1" x14ac:dyDescent="0.25">
      <c r="A36" s="5">
        <v>44866</v>
      </c>
      <c r="B36" s="4">
        <v>6</v>
      </c>
      <c r="C36" s="4">
        <v>-6</v>
      </c>
      <c r="D36" s="4">
        <v>-4</v>
      </c>
      <c r="E36" s="4">
        <v>-1</v>
      </c>
      <c r="F36" s="4">
        <v>-8</v>
      </c>
      <c r="G36" s="4">
        <v>-3</v>
      </c>
      <c r="H36" s="4">
        <v>-7</v>
      </c>
      <c r="I36" s="4">
        <v>-2</v>
      </c>
      <c r="J36" s="4">
        <v>3</v>
      </c>
      <c r="K36" s="4">
        <v>5</v>
      </c>
      <c r="L36" s="4">
        <v>-10</v>
      </c>
      <c r="M36" s="4">
        <v>2</v>
      </c>
      <c r="N36" s="4">
        <v>-5</v>
      </c>
      <c r="O36" s="4">
        <v>4</v>
      </c>
      <c r="P36" s="4">
        <v>-12</v>
      </c>
      <c r="Q36" s="4">
        <v>-9</v>
      </c>
      <c r="R36" s="4">
        <v>1</v>
      </c>
      <c r="S36" s="4">
        <v>-11</v>
      </c>
    </row>
    <row r="37" spans="1:19" ht="18" customHeight="1" x14ac:dyDescent="0.25">
      <c r="A37" s="5">
        <v>44896</v>
      </c>
      <c r="B37" s="4">
        <v>-6</v>
      </c>
      <c r="C37" s="4">
        <v>-11</v>
      </c>
      <c r="D37" s="4">
        <v>-5</v>
      </c>
      <c r="E37" s="4">
        <v>-8</v>
      </c>
      <c r="F37" s="4">
        <v>-12</v>
      </c>
      <c r="G37" s="4">
        <v>-3</v>
      </c>
      <c r="H37" s="4">
        <v>-7</v>
      </c>
      <c r="I37" s="4">
        <v>-4</v>
      </c>
      <c r="J37" s="4">
        <v>-1</v>
      </c>
      <c r="K37" s="4">
        <v>0</v>
      </c>
      <c r="L37" s="4">
        <v>-10</v>
      </c>
      <c r="M37" s="4">
        <v>1</v>
      </c>
      <c r="N37" s="4">
        <v>-9</v>
      </c>
      <c r="O37" s="4">
        <v>2</v>
      </c>
      <c r="P37" s="4">
        <v>0</v>
      </c>
      <c r="Q37" s="4">
        <v>0</v>
      </c>
      <c r="R37" s="4">
        <v>-2</v>
      </c>
      <c r="S37" s="4">
        <v>-13</v>
      </c>
    </row>
    <row r="38" spans="1:19" ht="18" customHeight="1" x14ac:dyDescent="0.25">
      <c r="A38" s="5">
        <v>44927</v>
      </c>
      <c r="B38" s="4">
        <v>-11</v>
      </c>
      <c r="C38" s="4">
        <v>-5</v>
      </c>
      <c r="D38" s="4">
        <v>-1</v>
      </c>
      <c r="E38" s="4">
        <v>-9</v>
      </c>
      <c r="F38" s="4">
        <v>-6</v>
      </c>
      <c r="G38" s="4">
        <v>-3</v>
      </c>
      <c r="H38" s="4">
        <v>-12</v>
      </c>
      <c r="I38" s="4">
        <v>-4</v>
      </c>
      <c r="J38" s="4">
        <v>2</v>
      </c>
      <c r="K38" s="4">
        <v>-7</v>
      </c>
      <c r="L38" s="4">
        <v>-13</v>
      </c>
      <c r="M38" s="4">
        <v>-2</v>
      </c>
      <c r="N38" s="4">
        <v>-10</v>
      </c>
      <c r="O38" s="4">
        <v>-8</v>
      </c>
      <c r="P38" s="4">
        <v>-14</v>
      </c>
      <c r="Q38" s="4">
        <v>0</v>
      </c>
      <c r="R38" s="4">
        <v>1</v>
      </c>
      <c r="S38" s="4">
        <v>-15</v>
      </c>
    </row>
    <row r="39" spans="1:19" ht="18" customHeight="1" x14ac:dyDescent="0.25">
      <c r="A39" s="5">
        <v>44958</v>
      </c>
      <c r="B39" s="1">
        <v>4</v>
      </c>
      <c r="C39" s="1">
        <v>-6</v>
      </c>
      <c r="D39" s="1">
        <v>-4</v>
      </c>
      <c r="E39" s="1">
        <v>1</v>
      </c>
      <c r="F39" s="1">
        <v>-3</v>
      </c>
      <c r="G39" s="1">
        <v>-7</v>
      </c>
      <c r="H39" s="1">
        <v>-10</v>
      </c>
      <c r="I39" s="1">
        <v>-2</v>
      </c>
      <c r="J39" s="1">
        <v>-1</v>
      </c>
      <c r="K39" s="1">
        <v>-9</v>
      </c>
      <c r="L39" s="1">
        <v>-13</v>
      </c>
      <c r="M39" s="1">
        <v>2</v>
      </c>
      <c r="N39" s="1">
        <v>-8</v>
      </c>
      <c r="O39" s="1">
        <v>-5</v>
      </c>
      <c r="P39" s="1">
        <v>-14</v>
      </c>
      <c r="Q39" s="1">
        <v>-11</v>
      </c>
      <c r="R39" s="1">
        <v>3</v>
      </c>
      <c r="S39" s="1">
        <v>-12</v>
      </c>
    </row>
    <row r="40" spans="1:19" ht="18" customHeight="1" x14ac:dyDescent="0.25">
      <c r="A40" s="5">
        <v>44986</v>
      </c>
      <c r="B40" s="1">
        <v>-5</v>
      </c>
      <c r="C40" s="1">
        <v>-4</v>
      </c>
      <c r="D40" s="1">
        <v>-3</v>
      </c>
      <c r="E40" s="1">
        <v>-2</v>
      </c>
      <c r="F40" s="1">
        <v>4</v>
      </c>
      <c r="G40" s="1">
        <v>-6</v>
      </c>
      <c r="H40" s="1">
        <v>-12</v>
      </c>
      <c r="I40" s="1">
        <v>1</v>
      </c>
      <c r="J40" s="1">
        <v>5</v>
      </c>
      <c r="K40" s="1">
        <v>-11</v>
      </c>
      <c r="L40" s="1">
        <v>-8</v>
      </c>
      <c r="M40" s="1">
        <v>3</v>
      </c>
      <c r="N40" s="1">
        <v>-9</v>
      </c>
      <c r="O40" s="1">
        <v>2</v>
      </c>
      <c r="P40" s="1">
        <v>6</v>
      </c>
      <c r="Q40" s="1">
        <v>-10</v>
      </c>
      <c r="R40" s="1">
        <v>-1</v>
      </c>
      <c r="S40" s="1">
        <v>-7</v>
      </c>
    </row>
    <row r="41" spans="1:19" ht="18" customHeight="1" x14ac:dyDescent="0.25">
      <c r="A41" s="5">
        <v>45017</v>
      </c>
      <c r="B41" s="1">
        <v>4</v>
      </c>
      <c r="C41" s="1">
        <v>-6</v>
      </c>
      <c r="D41" s="1">
        <v>-3</v>
      </c>
      <c r="E41" s="1">
        <v>-8</v>
      </c>
      <c r="F41" s="1">
        <v>2</v>
      </c>
      <c r="G41" s="1">
        <v>-2</v>
      </c>
      <c r="H41" s="1">
        <v>-11</v>
      </c>
      <c r="I41" s="1">
        <v>-5</v>
      </c>
      <c r="J41" s="1">
        <v>-1</v>
      </c>
      <c r="K41" s="1">
        <v>-9</v>
      </c>
      <c r="L41" s="1">
        <v>0</v>
      </c>
      <c r="M41" s="1">
        <v>3</v>
      </c>
      <c r="N41" s="1">
        <v>-7</v>
      </c>
      <c r="O41" s="1">
        <v>-4</v>
      </c>
      <c r="P41" s="1">
        <v>5</v>
      </c>
      <c r="Q41" s="1">
        <v>0</v>
      </c>
      <c r="R41" s="1">
        <v>1</v>
      </c>
      <c r="S41" s="1">
        <v>-10</v>
      </c>
    </row>
    <row r="42" spans="1:19" ht="18" customHeight="1" x14ac:dyDescent="0.25">
      <c r="A42" s="5">
        <v>45047</v>
      </c>
      <c r="B42" s="1">
        <v>-12</v>
      </c>
      <c r="C42" s="1">
        <v>-7</v>
      </c>
      <c r="D42" s="1">
        <v>-5</v>
      </c>
      <c r="E42" s="1">
        <v>-4</v>
      </c>
      <c r="F42" s="1">
        <v>1</v>
      </c>
      <c r="G42" s="1">
        <v>-6</v>
      </c>
      <c r="H42" s="1">
        <v>3</v>
      </c>
      <c r="I42" s="1">
        <v>-2</v>
      </c>
      <c r="J42" s="1">
        <v>-1</v>
      </c>
      <c r="K42" s="1">
        <v>4</v>
      </c>
      <c r="L42" s="1">
        <v>-10</v>
      </c>
      <c r="M42" s="1">
        <v>-8</v>
      </c>
      <c r="N42" s="1">
        <v>-3</v>
      </c>
      <c r="O42" s="1">
        <v>-13</v>
      </c>
      <c r="P42" s="1">
        <v>-9</v>
      </c>
      <c r="Q42" s="1">
        <v>-11</v>
      </c>
      <c r="R42" s="1">
        <v>2</v>
      </c>
      <c r="S42" s="1">
        <v>-14</v>
      </c>
    </row>
    <row r="43" spans="1:19" ht="18" customHeight="1" x14ac:dyDescent="0.25">
      <c r="A43" s="5">
        <v>45078</v>
      </c>
      <c r="B43" s="1">
        <v>0</v>
      </c>
      <c r="C43" s="1">
        <v>-8</v>
      </c>
      <c r="D43" s="1">
        <v>-5</v>
      </c>
      <c r="E43" s="1">
        <v>-6</v>
      </c>
      <c r="F43" s="1">
        <v>-3</v>
      </c>
      <c r="G43" s="1">
        <v>-2</v>
      </c>
      <c r="H43" s="1">
        <v>0</v>
      </c>
      <c r="I43" s="1">
        <v>-1</v>
      </c>
      <c r="J43" s="1">
        <v>-7</v>
      </c>
      <c r="K43" s="1">
        <v>3</v>
      </c>
      <c r="L43" s="1">
        <v>-4</v>
      </c>
      <c r="M43" s="1">
        <v>0</v>
      </c>
      <c r="N43" s="1">
        <v>-11</v>
      </c>
      <c r="O43" s="1">
        <v>2</v>
      </c>
      <c r="P43" s="1">
        <v>4</v>
      </c>
      <c r="Q43" s="1">
        <v>-9</v>
      </c>
      <c r="R43" s="1">
        <v>1</v>
      </c>
      <c r="S43" s="1">
        <v>-10</v>
      </c>
    </row>
    <row r="44" spans="1:19" ht="18" customHeight="1" x14ac:dyDescent="0.25">
      <c r="A44" s="5">
        <v>45108</v>
      </c>
      <c r="B44" s="1">
        <v>-16</v>
      </c>
      <c r="C44" s="1">
        <v>-10</v>
      </c>
      <c r="D44" s="1">
        <v>-11</v>
      </c>
      <c r="E44" s="1">
        <v>-7</v>
      </c>
      <c r="F44" s="1">
        <v>-4</v>
      </c>
      <c r="G44" s="1">
        <v>-8</v>
      </c>
      <c r="H44" s="1">
        <v>1</v>
      </c>
      <c r="I44" s="1">
        <v>-1</v>
      </c>
      <c r="J44" s="1">
        <v>-5</v>
      </c>
      <c r="K44" s="1">
        <v>-2</v>
      </c>
      <c r="L44" s="1">
        <v>-14</v>
      </c>
      <c r="M44" s="1">
        <v>2</v>
      </c>
      <c r="N44" s="1">
        <v>-15</v>
      </c>
      <c r="O44" s="1">
        <v>-9</v>
      </c>
      <c r="P44" s="1">
        <v>-6</v>
      </c>
      <c r="Q44" s="1">
        <v>-13</v>
      </c>
      <c r="R44" s="1">
        <v>-3</v>
      </c>
      <c r="S44" s="1">
        <v>-12</v>
      </c>
    </row>
    <row r="45" spans="1:19" ht="18" customHeight="1" x14ac:dyDescent="0.25">
      <c r="A45" s="5">
        <v>45139</v>
      </c>
      <c r="B45" s="1">
        <v>-13</v>
      </c>
      <c r="C45" s="1">
        <v>-6</v>
      </c>
      <c r="D45" s="1">
        <v>-5</v>
      </c>
      <c r="E45" s="1">
        <v>-7</v>
      </c>
      <c r="F45" s="1">
        <v>-9</v>
      </c>
      <c r="G45" s="1">
        <v>3</v>
      </c>
      <c r="H45" s="1">
        <v>-12</v>
      </c>
      <c r="I45" s="1">
        <v>-1</v>
      </c>
      <c r="J45" s="1">
        <v>1</v>
      </c>
      <c r="K45" s="1">
        <v>-2</v>
      </c>
      <c r="L45" s="1">
        <v>-4</v>
      </c>
      <c r="M45" s="1">
        <v>2</v>
      </c>
      <c r="N45" s="1">
        <v>-11</v>
      </c>
      <c r="O45" s="1">
        <v>-10</v>
      </c>
      <c r="P45" s="1">
        <v>5</v>
      </c>
      <c r="Q45" s="1">
        <v>-8</v>
      </c>
      <c r="R45" s="1">
        <v>4</v>
      </c>
      <c r="S45" s="1">
        <v>-3</v>
      </c>
    </row>
    <row r="46" spans="1:19" ht="18" customHeight="1" x14ac:dyDescent="0.25">
      <c r="A46" s="5">
        <v>45170</v>
      </c>
      <c r="B46" s="1">
        <v>0</v>
      </c>
      <c r="C46" s="1">
        <v>-2</v>
      </c>
      <c r="D46" s="1">
        <v>-5</v>
      </c>
      <c r="E46" s="1">
        <v>-3</v>
      </c>
      <c r="F46" s="1">
        <v>-7</v>
      </c>
      <c r="G46" s="1">
        <v>4</v>
      </c>
      <c r="H46" s="1">
        <v>-10</v>
      </c>
      <c r="I46" s="1">
        <v>-4</v>
      </c>
      <c r="J46" s="1">
        <v>0</v>
      </c>
      <c r="K46" s="1">
        <v>5</v>
      </c>
      <c r="L46" s="1">
        <v>-8</v>
      </c>
      <c r="M46" s="1">
        <v>1</v>
      </c>
      <c r="N46" s="1">
        <v>-9</v>
      </c>
      <c r="O46" s="1">
        <v>2</v>
      </c>
      <c r="P46" s="1">
        <v>-11</v>
      </c>
      <c r="Q46" s="1">
        <v>3</v>
      </c>
      <c r="R46" s="1">
        <v>-1</v>
      </c>
      <c r="S46" s="1">
        <v>-6</v>
      </c>
    </row>
    <row r="47" spans="1:19" ht="18" customHeight="1" x14ac:dyDescent="0.25">
      <c r="A47" s="5">
        <v>45200</v>
      </c>
      <c r="B47" s="1">
        <v>0</v>
      </c>
      <c r="C47" s="1">
        <v>-2</v>
      </c>
      <c r="D47" s="1">
        <v>-7</v>
      </c>
      <c r="E47" s="1">
        <v>-11</v>
      </c>
      <c r="F47" s="1">
        <v>-9</v>
      </c>
      <c r="G47" s="1">
        <v>2</v>
      </c>
      <c r="H47" s="1">
        <v>-6</v>
      </c>
      <c r="I47" s="1">
        <v>-10</v>
      </c>
      <c r="J47" s="1">
        <v>-4</v>
      </c>
      <c r="K47" s="1">
        <v>0</v>
      </c>
      <c r="L47" s="1">
        <v>-5</v>
      </c>
      <c r="M47" s="1">
        <v>0</v>
      </c>
      <c r="N47" s="1">
        <v>1</v>
      </c>
      <c r="O47" s="1">
        <v>-3</v>
      </c>
      <c r="P47" s="1">
        <v>-13</v>
      </c>
      <c r="Q47" s="1">
        <v>-12</v>
      </c>
      <c r="R47" s="1">
        <v>-1</v>
      </c>
      <c r="S47" s="1">
        <v>-8</v>
      </c>
    </row>
    <row r="48" spans="1:19" ht="18" customHeight="1" x14ac:dyDescent="0.25">
      <c r="A48" s="5">
        <v>45231</v>
      </c>
      <c r="B48" s="1">
        <v>-10</v>
      </c>
      <c r="C48" s="1">
        <v>-4</v>
      </c>
      <c r="D48" s="1">
        <v>-11</v>
      </c>
      <c r="E48" s="1">
        <v>-12</v>
      </c>
      <c r="F48" s="1">
        <v>-3</v>
      </c>
      <c r="G48" s="1">
        <v>3</v>
      </c>
      <c r="H48" s="1">
        <v>-6</v>
      </c>
      <c r="I48" s="1">
        <v>-8</v>
      </c>
      <c r="J48" s="1">
        <v>-5</v>
      </c>
      <c r="K48" s="1">
        <v>2</v>
      </c>
      <c r="L48" s="1">
        <v>-14</v>
      </c>
      <c r="M48" s="1">
        <v>0</v>
      </c>
      <c r="N48" s="1">
        <v>-1</v>
      </c>
      <c r="O48" s="1">
        <v>-7</v>
      </c>
      <c r="P48" s="1">
        <v>-13</v>
      </c>
      <c r="Q48" s="1">
        <v>-9</v>
      </c>
      <c r="R48" s="1">
        <v>1</v>
      </c>
      <c r="S48" s="1">
        <v>-2</v>
      </c>
    </row>
    <row r="49" spans="1:19" ht="18" customHeight="1" x14ac:dyDescent="0.25">
      <c r="A49" s="5">
        <v>45261</v>
      </c>
      <c r="B49" s="1">
        <v>-15</v>
      </c>
      <c r="C49" s="1">
        <v>-1</v>
      </c>
      <c r="D49" s="1">
        <v>-6</v>
      </c>
      <c r="E49" s="1">
        <v>-3</v>
      </c>
      <c r="F49" s="1">
        <v>-7</v>
      </c>
      <c r="G49" s="1">
        <v>0</v>
      </c>
      <c r="H49" s="1">
        <v>-4</v>
      </c>
      <c r="I49" s="1">
        <v>-13</v>
      </c>
      <c r="J49" s="1">
        <v>-5</v>
      </c>
      <c r="K49" s="1">
        <v>-12</v>
      </c>
      <c r="L49" s="1">
        <v>-9</v>
      </c>
      <c r="M49" s="1">
        <v>-10</v>
      </c>
      <c r="N49" s="1">
        <v>-14</v>
      </c>
      <c r="O49" s="1">
        <v>1</v>
      </c>
      <c r="P49" s="1">
        <v>-16</v>
      </c>
      <c r="Q49" s="1">
        <v>-11</v>
      </c>
      <c r="R49" s="1">
        <v>-2</v>
      </c>
      <c r="S49" s="1">
        <v>-8</v>
      </c>
    </row>
    <row r="50" spans="1:19" ht="18" customHeight="1" x14ac:dyDescent="0.25">
      <c r="A50" s="5">
        <v>45292</v>
      </c>
      <c r="B50" s="1">
        <v>4</v>
      </c>
      <c r="C50" s="1">
        <v>1</v>
      </c>
      <c r="D50" s="1">
        <v>-8</v>
      </c>
      <c r="E50" s="1">
        <v>-4</v>
      </c>
      <c r="F50" s="1">
        <v>-7</v>
      </c>
      <c r="G50" s="1">
        <v>-5</v>
      </c>
      <c r="H50" s="1">
        <v>-9</v>
      </c>
      <c r="I50" s="1">
        <v>-12</v>
      </c>
      <c r="J50" s="1">
        <v>-2</v>
      </c>
      <c r="K50" s="1">
        <v>-10</v>
      </c>
      <c r="L50" s="1">
        <v>-3</v>
      </c>
      <c r="M50" s="1">
        <v>-6</v>
      </c>
      <c r="N50" s="1">
        <v>-11</v>
      </c>
      <c r="O50" s="1">
        <v>-1</v>
      </c>
      <c r="P50" s="1">
        <v>0</v>
      </c>
      <c r="Q50" s="1">
        <v>3</v>
      </c>
      <c r="R50" s="1">
        <v>2</v>
      </c>
      <c r="S50" s="1">
        <v>-13</v>
      </c>
    </row>
    <row r="51" spans="1:19" ht="18" customHeight="1" x14ac:dyDescent="0.25">
      <c r="A51" s="5">
        <v>45323</v>
      </c>
      <c r="B51" s="1">
        <v>8</v>
      </c>
      <c r="C51" s="1">
        <v>3</v>
      </c>
      <c r="D51" s="1">
        <v>-4</v>
      </c>
      <c r="E51" s="1">
        <v>-1</v>
      </c>
      <c r="F51" s="1">
        <v>4</v>
      </c>
      <c r="G51" s="1">
        <v>-3</v>
      </c>
      <c r="H51" s="1">
        <v>-7</v>
      </c>
      <c r="I51" s="1">
        <v>-6</v>
      </c>
      <c r="J51" s="1">
        <v>2</v>
      </c>
      <c r="K51" s="1">
        <v>7</v>
      </c>
      <c r="L51" s="1">
        <v>-2</v>
      </c>
      <c r="M51" s="1">
        <v>0</v>
      </c>
      <c r="N51" s="1">
        <v>5</v>
      </c>
      <c r="O51" s="1">
        <v>6</v>
      </c>
      <c r="P51" s="1">
        <v>0</v>
      </c>
      <c r="Q51" s="1">
        <v>0</v>
      </c>
      <c r="R51" s="1">
        <v>1</v>
      </c>
      <c r="S51" s="1">
        <v>-5</v>
      </c>
    </row>
    <row r="52" spans="1:19" ht="18" customHeight="1" x14ac:dyDescent="0.25">
      <c r="A52" s="5">
        <v>45352</v>
      </c>
      <c r="B52" s="1">
        <v>0</v>
      </c>
      <c r="C52" s="1">
        <v>2</v>
      </c>
      <c r="D52" s="1">
        <v>-2</v>
      </c>
      <c r="E52" s="1">
        <v>-4</v>
      </c>
      <c r="F52" s="1">
        <v>3</v>
      </c>
      <c r="G52" s="1">
        <v>4</v>
      </c>
      <c r="H52" s="1">
        <v>-6</v>
      </c>
      <c r="I52" s="1">
        <v>-3</v>
      </c>
      <c r="J52" s="1">
        <v>-1</v>
      </c>
      <c r="K52" s="1">
        <v>8</v>
      </c>
      <c r="L52" s="1">
        <v>7</v>
      </c>
      <c r="M52" s="1">
        <v>6</v>
      </c>
      <c r="N52" s="1">
        <v>-5</v>
      </c>
      <c r="O52" s="1">
        <v>5</v>
      </c>
      <c r="P52" s="1">
        <v>0</v>
      </c>
      <c r="Q52" s="1">
        <v>9</v>
      </c>
      <c r="R52" s="1">
        <v>1</v>
      </c>
      <c r="S52" s="1">
        <v>0</v>
      </c>
    </row>
    <row r="53" spans="1:19" ht="18" customHeight="1" x14ac:dyDescent="0.25">
      <c r="A53" s="5">
        <v>45383</v>
      </c>
      <c r="B53" s="1">
        <v>0</v>
      </c>
      <c r="C53" s="1">
        <v>2</v>
      </c>
      <c r="D53" s="1">
        <v>0</v>
      </c>
      <c r="E53" s="1">
        <v>5</v>
      </c>
      <c r="F53" s="1">
        <v>-2</v>
      </c>
      <c r="G53" s="1">
        <v>-3</v>
      </c>
      <c r="H53" s="1">
        <v>-5</v>
      </c>
      <c r="I53" s="1">
        <v>-6</v>
      </c>
      <c r="J53" s="1">
        <v>-7</v>
      </c>
      <c r="K53" s="1">
        <v>9</v>
      </c>
      <c r="L53" s="1">
        <v>-1</v>
      </c>
      <c r="M53" s="1">
        <v>4</v>
      </c>
      <c r="N53" s="1">
        <v>1</v>
      </c>
      <c r="O53" s="1">
        <v>7</v>
      </c>
      <c r="P53" s="1">
        <v>8</v>
      </c>
      <c r="Q53" s="1">
        <v>6</v>
      </c>
      <c r="R53" s="1">
        <v>3</v>
      </c>
      <c r="S53" s="1">
        <v>-4</v>
      </c>
    </row>
    <row r="54" spans="1:19" ht="18" customHeight="1" x14ac:dyDescent="0.25">
      <c r="A54" s="5">
        <v>45413</v>
      </c>
      <c r="B54" s="1">
        <v>0</v>
      </c>
      <c r="C54" s="1">
        <v>1</v>
      </c>
      <c r="D54" s="1">
        <v>-4</v>
      </c>
      <c r="E54" s="1">
        <v>0</v>
      </c>
      <c r="F54" s="1">
        <v>2</v>
      </c>
      <c r="G54" s="1">
        <v>-1</v>
      </c>
      <c r="H54" s="1">
        <v>-3</v>
      </c>
      <c r="I54" s="1">
        <v>-5</v>
      </c>
      <c r="J54" s="1">
        <v>0</v>
      </c>
      <c r="K54" s="1">
        <v>0</v>
      </c>
      <c r="L54" s="1">
        <v>5</v>
      </c>
      <c r="M54" s="1">
        <v>6</v>
      </c>
      <c r="N54" s="1">
        <v>-6</v>
      </c>
      <c r="O54" s="1">
        <v>3</v>
      </c>
      <c r="P54" s="1">
        <v>7</v>
      </c>
      <c r="Q54" s="1">
        <v>4</v>
      </c>
      <c r="R54" s="1">
        <v>-2</v>
      </c>
      <c r="S54" s="1">
        <v>-7</v>
      </c>
    </row>
    <row r="55" spans="1:19" ht="18" customHeight="1" x14ac:dyDescent="0.25">
      <c r="A55" s="5">
        <v>45444</v>
      </c>
      <c r="B55" s="1">
        <v>0</v>
      </c>
      <c r="C55" s="1">
        <v>3</v>
      </c>
      <c r="D55" s="1">
        <v>-1</v>
      </c>
      <c r="E55" s="1">
        <v>-2</v>
      </c>
      <c r="F55" s="1">
        <v>-7</v>
      </c>
      <c r="G55" s="1">
        <v>-3</v>
      </c>
      <c r="H55" s="1">
        <v>5</v>
      </c>
      <c r="I55" s="1">
        <v>-8</v>
      </c>
      <c r="J55" s="1">
        <v>2</v>
      </c>
      <c r="K55" s="1">
        <v>1</v>
      </c>
      <c r="L55" s="1">
        <v>4</v>
      </c>
      <c r="M55" s="1">
        <v>7</v>
      </c>
      <c r="N55" s="1">
        <v>-4</v>
      </c>
      <c r="O55" s="1">
        <v>6</v>
      </c>
      <c r="P55" s="1">
        <v>8</v>
      </c>
      <c r="Q55" s="1">
        <v>-9</v>
      </c>
      <c r="R55" s="1">
        <v>-5</v>
      </c>
      <c r="S55" s="1">
        <v>-6</v>
      </c>
    </row>
    <row r="56" spans="1:19" ht="18" customHeight="1" x14ac:dyDescent="0.25">
      <c r="A56" s="5">
        <v>45474</v>
      </c>
      <c r="B56" s="1">
        <v>0</v>
      </c>
      <c r="C56" s="1">
        <v>-2</v>
      </c>
      <c r="D56" s="1">
        <v>-1</v>
      </c>
      <c r="E56" s="1">
        <v>-8</v>
      </c>
      <c r="F56" s="1">
        <v>-6</v>
      </c>
      <c r="G56" s="1">
        <v>-5</v>
      </c>
      <c r="H56" s="1">
        <v>2</v>
      </c>
      <c r="I56" s="1">
        <v>-9</v>
      </c>
      <c r="J56" s="1">
        <v>3</v>
      </c>
      <c r="K56" s="1">
        <v>1</v>
      </c>
      <c r="L56" s="1">
        <v>-3</v>
      </c>
      <c r="M56" s="1">
        <v>4</v>
      </c>
      <c r="N56" s="1">
        <v>-10</v>
      </c>
      <c r="O56" s="1">
        <v>-11</v>
      </c>
      <c r="P56" s="1">
        <v>5</v>
      </c>
      <c r="Q56" s="1">
        <v>0</v>
      </c>
      <c r="R56" s="1">
        <v>-7</v>
      </c>
      <c r="S56" s="1">
        <v>-4</v>
      </c>
    </row>
    <row r="57" spans="1:19" ht="18" customHeight="1" x14ac:dyDescent="0.25">
      <c r="A57" s="5">
        <v>45505</v>
      </c>
      <c r="B57" s="1">
        <v>0</v>
      </c>
      <c r="C57" s="1">
        <v>-2</v>
      </c>
      <c r="D57" s="1">
        <v>1</v>
      </c>
      <c r="E57" s="1">
        <v>-8</v>
      </c>
      <c r="F57" s="1">
        <v>-7</v>
      </c>
      <c r="G57" s="1">
        <v>2</v>
      </c>
      <c r="H57" s="1">
        <v>3</v>
      </c>
      <c r="I57" s="1">
        <v>-4</v>
      </c>
      <c r="J57" s="1">
        <v>-1</v>
      </c>
      <c r="K57" s="1">
        <v>-10</v>
      </c>
      <c r="L57" s="1">
        <v>-3</v>
      </c>
      <c r="M57" s="1">
        <v>4</v>
      </c>
      <c r="N57" s="1">
        <v>-9</v>
      </c>
      <c r="O57" s="1">
        <v>5</v>
      </c>
      <c r="P57" s="1">
        <v>-11</v>
      </c>
      <c r="Q57" s="1">
        <v>-12</v>
      </c>
      <c r="R57" s="1">
        <v>-6</v>
      </c>
      <c r="S57" s="1">
        <v>-5</v>
      </c>
    </row>
    <row r="58" spans="1:19" ht="18" customHeight="1" x14ac:dyDescent="0.25">
      <c r="A58" s="5">
        <v>45536</v>
      </c>
      <c r="B58" s="1">
        <v>-10</v>
      </c>
      <c r="C58" s="1">
        <v>-3</v>
      </c>
      <c r="D58" s="1">
        <v>-1</v>
      </c>
      <c r="E58" s="1">
        <v>-6</v>
      </c>
      <c r="F58" s="1">
        <v>-2</v>
      </c>
      <c r="G58" s="1">
        <v>4</v>
      </c>
      <c r="H58" s="1">
        <v>2</v>
      </c>
      <c r="I58" s="1">
        <v>-4</v>
      </c>
      <c r="J58" s="1">
        <v>1</v>
      </c>
      <c r="K58" s="1">
        <v>-7</v>
      </c>
      <c r="L58" s="1">
        <v>-5</v>
      </c>
      <c r="M58" s="1">
        <v>5</v>
      </c>
      <c r="N58" s="1">
        <v>-12</v>
      </c>
      <c r="O58" s="1">
        <v>-9</v>
      </c>
      <c r="P58" s="1">
        <v>-13</v>
      </c>
      <c r="Q58" s="1">
        <v>3</v>
      </c>
      <c r="R58" s="1">
        <v>-8</v>
      </c>
      <c r="S58" s="1">
        <v>-11</v>
      </c>
    </row>
    <row r="59" spans="1:19" ht="18" customHeight="1" x14ac:dyDescent="0.25">
      <c r="A59" s="5">
        <v>45566</v>
      </c>
      <c r="B59" s="1">
        <v>5</v>
      </c>
      <c r="C59" s="1">
        <v>-8</v>
      </c>
      <c r="D59" s="1">
        <v>2</v>
      </c>
      <c r="E59" s="1">
        <v>-7</v>
      </c>
      <c r="F59" s="1">
        <v>-2</v>
      </c>
      <c r="G59" s="1">
        <v>4</v>
      </c>
      <c r="H59" s="1">
        <v>0</v>
      </c>
      <c r="I59" s="1">
        <v>-6</v>
      </c>
      <c r="J59" s="1">
        <v>1</v>
      </c>
      <c r="K59" s="1">
        <v>-4</v>
      </c>
      <c r="L59" s="1">
        <v>-1</v>
      </c>
      <c r="M59" s="1">
        <v>3</v>
      </c>
      <c r="N59" s="1">
        <v>-3</v>
      </c>
      <c r="O59" s="1">
        <v>-5</v>
      </c>
      <c r="P59" s="1">
        <v>-10</v>
      </c>
      <c r="Q59" s="1">
        <v>-11</v>
      </c>
      <c r="R59" s="1">
        <v>-9</v>
      </c>
      <c r="S59" s="1">
        <v>0</v>
      </c>
    </row>
    <row r="60" spans="1:19" ht="18" customHeight="1" x14ac:dyDescent="0.25">
      <c r="A60" s="5">
        <v>45597</v>
      </c>
      <c r="B60" s="1">
        <v>0</v>
      </c>
      <c r="C60" s="1">
        <v>-9</v>
      </c>
      <c r="D60" s="1">
        <v>2</v>
      </c>
      <c r="E60" s="1">
        <v>1</v>
      </c>
      <c r="F60" s="1">
        <v>-6</v>
      </c>
      <c r="G60" s="1">
        <v>3</v>
      </c>
      <c r="H60" s="1">
        <v>-5</v>
      </c>
      <c r="I60" s="1">
        <v>-4</v>
      </c>
      <c r="J60" s="1">
        <v>-2</v>
      </c>
      <c r="K60" s="1">
        <v>-3</v>
      </c>
      <c r="L60" s="1">
        <v>-8</v>
      </c>
      <c r="M60" s="1">
        <v>0</v>
      </c>
      <c r="N60" s="1">
        <v>-10</v>
      </c>
      <c r="O60" s="1">
        <v>-1</v>
      </c>
      <c r="P60" s="1">
        <v>-11</v>
      </c>
      <c r="Q60" s="1">
        <v>0</v>
      </c>
      <c r="R60" s="1">
        <v>-7</v>
      </c>
      <c r="S60" s="1">
        <v>0</v>
      </c>
    </row>
    <row r="61" spans="1:19" ht="18" customHeight="1" x14ac:dyDescent="0.25">
      <c r="A61" s="5">
        <v>45627</v>
      </c>
      <c r="B61" s="1">
        <v>0</v>
      </c>
      <c r="C61" s="1">
        <v>-3</v>
      </c>
      <c r="D61" s="1">
        <v>0</v>
      </c>
      <c r="E61" s="1">
        <v>6</v>
      </c>
      <c r="F61" s="1">
        <v>-6</v>
      </c>
      <c r="G61" s="1">
        <v>0</v>
      </c>
      <c r="H61" s="1">
        <v>4</v>
      </c>
      <c r="I61" s="1">
        <v>-4</v>
      </c>
      <c r="J61" s="1">
        <v>2</v>
      </c>
      <c r="K61" s="1">
        <v>-1</v>
      </c>
      <c r="L61" s="1">
        <v>3</v>
      </c>
      <c r="M61" s="1">
        <v>0</v>
      </c>
      <c r="N61" s="1">
        <v>1</v>
      </c>
      <c r="O61" s="1">
        <v>7</v>
      </c>
      <c r="P61" s="1">
        <v>-5</v>
      </c>
      <c r="Q61" s="1">
        <v>-7</v>
      </c>
      <c r="R61" s="1">
        <v>-2</v>
      </c>
      <c r="S61" s="1">
        <v>5</v>
      </c>
    </row>
    <row r="62" spans="1:19" ht="18" customHeight="1" x14ac:dyDescent="0.25">
      <c r="A62" s="5">
        <v>45658</v>
      </c>
      <c r="B62" s="1">
        <v>0</v>
      </c>
      <c r="C62" s="1">
        <v>5</v>
      </c>
      <c r="D62" s="1">
        <v>-3</v>
      </c>
      <c r="E62" s="1">
        <v>1</v>
      </c>
      <c r="F62" s="1">
        <v>-5</v>
      </c>
      <c r="G62" s="1">
        <v>-1</v>
      </c>
      <c r="H62" s="1">
        <v>-4</v>
      </c>
      <c r="I62" s="1">
        <v>4</v>
      </c>
      <c r="J62" s="1">
        <v>-7</v>
      </c>
      <c r="K62" s="1">
        <v>-8</v>
      </c>
      <c r="L62" s="1">
        <v>-2</v>
      </c>
      <c r="M62" s="1">
        <v>6</v>
      </c>
      <c r="N62" s="1">
        <v>2</v>
      </c>
      <c r="O62" s="1">
        <v>7</v>
      </c>
      <c r="P62" s="1">
        <v>0</v>
      </c>
      <c r="Q62" s="1">
        <v>8</v>
      </c>
      <c r="R62" s="1">
        <v>3</v>
      </c>
      <c r="S62" s="1">
        <v>-6</v>
      </c>
    </row>
    <row r="63" spans="1:19" ht="18" customHeight="1" x14ac:dyDescent="0.25">
      <c r="A63" s="5">
        <v>45689</v>
      </c>
      <c r="B63" s="1">
        <v>0</v>
      </c>
      <c r="C63" s="1">
        <v>4</v>
      </c>
      <c r="D63" s="1">
        <v>-2</v>
      </c>
      <c r="E63" s="1">
        <v>5</v>
      </c>
      <c r="F63" s="1">
        <v>2</v>
      </c>
      <c r="G63" s="1">
        <v>6</v>
      </c>
      <c r="H63" s="1">
        <v>-5</v>
      </c>
      <c r="I63" s="1">
        <v>-1</v>
      </c>
      <c r="J63" s="1">
        <v>9</v>
      </c>
      <c r="K63" s="1">
        <v>-3</v>
      </c>
      <c r="L63" s="1">
        <v>0</v>
      </c>
      <c r="M63" s="1">
        <v>10</v>
      </c>
      <c r="N63" s="1">
        <v>3</v>
      </c>
      <c r="O63" s="1">
        <v>8</v>
      </c>
      <c r="P63" s="1">
        <v>0</v>
      </c>
      <c r="Q63" s="1">
        <v>-4</v>
      </c>
      <c r="R63" s="1">
        <v>1</v>
      </c>
      <c r="S63" s="1">
        <v>7</v>
      </c>
    </row>
    <row r="64" spans="1:19" ht="18" customHeight="1" x14ac:dyDescent="0.25">
      <c r="A64" s="5">
        <v>45717</v>
      </c>
      <c r="B64" s="1">
        <v>0</v>
      </c>
      <c r="C64" s="1">
        <v>-3</v>
      </c>
      <c r="D64" s="1">
        <v>5</v>
      </c>
      <c r="E64" s="1">
        <v>2</v>
      </c>
      <c r="F64" s="1">
        <v>7</v>
      </c>
      <c r="G64" s="1">
        <v>-2</v>
      </c>
      <c r="H64" s="1">
        <v>-4</v>
      </c>
      <c r="I64" s="1">
        <v>-1</v>
      </c>
      <c r="J64" s="1">
        <v>1</v>
      </c>
      <c r="K64" s="1">
        <v>4</v>
      </c>
      <c r="L64" s="1">
        <v>-6</v>
      </c>
      <c r="M64" s="1">
        <v>8</v>
      </c>
      <c r="N64" s="1">
        <v>-5</v>
      </c>
      <c r="O64" s="1">
        <v>6</v>
      </c>
      <c r="P64" s="1">
        <v>0</v>
      </c>
      <c r="Q64" s="1">
        <v>9</v>
      </c>
      <c r="R64" s="1">
        <v>3</v>
      </c>
      <c r="S64" s="1">
        <v>-7</v>
      </c>
    </row>
    <row r="65" spans="1:19" ht="18" customHeight="1" x14ac:dyDescent="0.25">
      <c r="A65" s="5">
        <v>45748</v>
      </c>
      <c r="B65" s="1">
        <v>11</v>
      </c>
      <c r="C65" s="1">
        <v>2</v>
      </c>
      <c r="D65" s="1">
        <v>6</v>
      </c>
      <c r="E65" s="1">
        <v>8</v>
      </c>
      <c r="F65" s="1">
        <v>-1</v>
      </c>
      <c r="G65" s="1">
        <v>-3</v>
      </c>
      <c r="H65" s="1">
        <v>-5</v>
      </c>
      <c r="I65" s="1">
        <v>3</v>
      </c>
      <c r="J65" s="1">
        <v>4</v>
      </c>
      <c r="K65" s="1">
        <v>5</v>
      </c>
      <c r="L65" s="1">
        <v>-4</v>
      </c>
      <c r="M65" s="1">
        <v>10</v>
      </c>
      <c r="N65" s="1">
        <v>9</v>
      </c>
      <c r="O65" s="1">
        <v>1</v>
      </c>
      <c r="P65" s="1">
        <v>0</v>
      </c>
      <c r="Q65" s="1">
        <v>7</v>
      </c>
      <c r="R65" s="1">
        <v>-2</v>
      </c>
      <c r="S65" s="1">
        <v>-6</v>
      </c>
    </row>
    <row r="66" spans="1:19" ht="18" customHeight="1" x14ac:dyDescent="0.25">
      <c r="A66" s="5">
        <v>45778</v>
      </c>
      <c r="B66" s="1">
        <v>0</v>
      </c>
      <c r="C66" s="1">
        <v>-2</v>
      </c>
      <c r="D66" s="1">
        <v>0</v>
      </c>
      <c r="E66" s="1">
        <v>3</v>
      </c>
      <c r="F66" s="1">
        <v>2</v>
      </c>
      <c r="G66" s="1">
        <v>-4</v>
      </c>
      <c r="H66" s="1">
        <v>4</v>
      </c>
      <c r="I66" s="1">
        <v>1</v>
      </c>
      <c r="J66" s="1">
        <v>0</v>
      </c>
      <c r="K66" s="1">
        <v>6</v>
      </c>
      <c r="L66" s="1">
        <v>-7</v>
      </c>
      <c r="M66" s="1">
        <v>5</v>
      </c>
      <c r="N66" s="1">
        <v>7</v>
      </c>
      <c r="O66" s="1">
        <v>-1</v>
      </c>
      <c r="P66" s="1">
        <v>-5</v>
      </c>
      <c r="Q66" s="1">
        <v>0</v>
      </c>
      <c r="R66" s="1">
        <v>-3</v>
      </c>
      <c r="S66" s="1">
        <v>-6</v>
      </c>
    </row>
    <row r="67" spans="1:19" ht="18" customHeight="1" x14ac:dyDescent="0.25">
      <c r="A67" s="5">
        <v>45809</v>
      </c>
      <c r="B67" s="1">
        <v>9</v>
      </c>
      <c r="C67" s="1">
        <v>-3</v>
      </c>
      <c r="D67" s="1">
        <v>4</v>
      </c>
      <c r="E67" s="1">
        <v>1</v>
      </c>
      <c r="F67" s="1">
        <v>-1</v>
      </c>
      <c r="G67" s="1">
        <v>2</v>
      </c>
      <c r="H67" s="1">
        <v>5</v>
      </c>
      <c r="I67" s="1">
        <v>3</v>
      </c>
      <c r="J67" s="1">
        <v>6</v>
      </c>
      <c r="K67" s="1">
        <v>7</v>
      </c>
      <c r="L67" s="1">
        <v>-4</v>
      </c>
      <c r="M67" s="1">
        <v>8</v>
      </c>
      <c r="N67" s="1">
        <v>0</v>
      </c>
      <c r="O67" s="1">
        <v>0</v>
      </c>
      <c r="P67" s="1">
        <v>0</v>
      </c>
      <c r="Q67" s="1">
        <v>-6</v>
      </c>
      <c r="R67" s="1">
        <v>-2</v>
      </c>
      <c r="S67" s="1">
        <v>-5</v>
      </c>
    </row>
    <row r="68" spans="1:19" ht="18" customHeight="1" x14ac:dyDescent="0.25">
      <c r="A68" s="5">
        <v>45839</v>
      </c>
      <c r="B68" s="1">
        <v>7</v>
      </c>
      <c r="C68" s="1">
        <v>-8</v>
      </c>
      <c r="D68" s="1">
        <v>-4</v>
      </c>
      <c r="E68" s="1">
        <v>-2</v>
      </c>
      <c r="F68" s="1">
        <v>-5</v>
      </c>
      <c r="G68" s="1">
        <v>-1</v>
      </c>
      <c r="H68" s="1">
        <v>2</v>
      </c>
      <c r="I68" s="1">
        <v>-7</v>
      </c>
      <c r="J68" s="1">
        <v>3</v>
      </c>
      <c r="K68" s="1">
        <v>5</v>
      </c>
      <c r="L68" s="1">
        <v>-9</v>
      </c>
      <c r="M68" s="1">
        <v>0</v>
      </c>
      <c r="N68" s="1">
        <v>6</v>
      </c>
      <c r="O68" s="1">
        <v>1</v>
      </c>
      <c r="P68" s="1">
        <v>-10</v>
      </c>
      <c r="Q68" s="1">
        <v>4</v>
      </c>
      <c r="R68" s="1">
        <v>-3</v>
      </c>
      <c r="S68" s="1">
        <v>-6</v>
      </c>
    </row>
    <row r="69" spans="1:19" ht="18" customHeight="1" x14ac:dyDescent="0.25">
      <c r="A69" s="5">
        <v>45870</v>
      </c>
      <c r="B69" s="1">
        <v>6</v>
      </c>
      <c r="C69" s="1">
        <v>-2</v>
      </c>
      <c r="D69" s="1">
        <v>-3</v>
      </c>
      <c r="E69" s="1">
        <v>-4</v>
      </c>
      <c r="F69" s="1">
        <v>-1</v>
      </c>
      <c r="G69" s="1">
        <v>4</v>
      </c>
      <c r="H69" s="1">
        <v>-6</v>
      </c>
      <c r="I69" s="1">
        <v>-5</v>
      </c>
      <c r="J69" s="1">
        <v>2</v>
      </c>
      <c r="K69" s="1">
        <v>5</v>
      </c>
      <c r="L69" s="1">
        <v>-10</v>
      </c>
      <c r="M69" s="1">
        <v>3</v>
      </c>
      <c r="N69" s="1">
        <v>-8</v>
      </c>
      <c r="O69" s="1">
        <v>1</v>
      </c>
      <c r="P69" s="1">
        <v>0</v>
      </c>
      <c r="Q69" s="1">
        <v>7</v>
      </c>
      <c r="R69" s="1">
        <v>-7</v>
      </c>
      <c r="S69" s="1">
        <v>-9</v>
      </c>
    </row>
    <row r="70" spans="1:19" ht="18" customHeight="1" x14ac:dyDescent="0.25">
      <c r="A70" s="5">
        <v>45901</v>
      </c>
      <c r="B70" s="1">
        <v>-10</v>
      </c>
      <c r="C70" s="1">
        <v>-6</v>
      </c>
      <c r="D70" s="1">
        <v>-1</v>
      </c>
      <c r="E70" s="1">
        <v>-5</v>
      </c>
      <c r="F70" s="1">
        <v>2</v>
      </c>
      <c r="G70" s="1">
        <v>0</v>
      </c>
      <c r="H70" s="1">
        <v>-7</v>
      </c>
      <c r="I70" s="1">
        <v>-2</v>
      </c>
      <c r="J70" s="1">
        <v>1</v>
      </c>
      <c r="K70" s="1">
        <v>-3</v>
      </c>
      <c r="L70" s="1">
        <v>-8</v>
      </c>
      <c r="M70" s="1">
        <v>5</v>
      </c>
      <c r="N70" s="1">
        <v>-9</v>
      </c>
      <c r="O70" s="1">
        <v>4</v>
      </c>
      <c r="P70" s="1">
        <v>0</v>
      </c>
      <c r="Q70" s="1">
        <v>3</v>
      </c>
      <c r="R70" s="1">
        <v>-4</v>
      </c>
      <c r="S70" s="1">
        <v>-11</v>
      </c>
    </row>
    <row r="71" spans="1:19" ht="18" customHeight="1" x14ac:dyDescent="0.25">
      <c r="A71" s="5">
        <v>45931</v>
      </c>
      <c r="B71" s="1">
        <v>-11</v>
      </c>
      <c r="C71" s="1">
        <v>-4</v>
      </c>
      <c r="D71" s="1">
        <v>-1</v>
      </c>
      <c r="E71" s="1">
        <v>-5</v>
      </c>
      <c r="F71" s="1">
        <v>2</v>
      </c>
      <c r="G71" s="1">
        <v>5</v>
      </c>
      <c r="H71" s="1">
        <v>-10</v>
      </c>
      <c r="I71" s="1">
        <v>-3</v>
      </c>
      <c r="J71" s="1">
        <v>-2</v>
      </c>
      <c r="K71" s="1">
        <v>1</v>
      </c>
      <c r="L71" s="1">
        <v>-9</v>
      </c>
      <c r="M71" s="1">
        <v>-6</v>
      </c>
      <c r="N71" s="1">
        <v>3</v>
      </c>
      <c r="O71" s="1">
        <v>6</v>
      </c>
      <c r="P71" s="1">
        <v>-8</v>
      </c>
      <c r="Q71" s="1">
        <v>-12</v>
      </c>
      <c r="R71" s="1">
        <v>4</v>
      </c>
      <c r="S71" s="1">
        <v>-7</v>
      </c>
    </row>
    <row r="72" spans="1:19" ht="18" customHeight="1" x14ac:dyDescent="0.25"/>
    <row r="73" spans="1:19" ht="18" customHeight="1" x14ac:dyDescent="0.25"/>
    <row r="74" spans="1:19" ht="18" customHeight="1" x14ac:dyDescent="0.25"/>
    <row r="75" spans="1:19" ht="18" customHeight="1" x14ac:dyDescent="0.25"/>
    <row r="76" spans="1:19" ht="18" customHeight="1" x14ac:dyDescent="0.25"/>
    <row r="77" spans="1:19" ht="18" customHeight="1" x14ac:dyDescent="0.25"/>
    <row r="78" spans="1:19" ht="18" customHeight="1" x14ac:dyDescent="0.25"/>
    <row r="79" spans="1:19" ht="18" customHeight="1" x14ac:dyDescent="0.25"/>
    <row r="80" spans="1:19"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A4E8-12C8-4F3A-A7D5-3322A0FEAF0E}">
  <dimension ref="A1:S99"/>
  <sheetViews>
    <sheetView showGridLines="0" workbookViewId="0">
      <pane xSplit="1" ySplit="1" topLeftCell="B62" activePane="bottomRight" state="frozen"/>
      <selection pane="topRight" activeCell="C1" sqref="C1"/>
      <selection pane="bottomLeft" activeCell="A3" sqref="A3"/>
      <selection pane="bottomRight" activeCell="B72" sqref="B72"/>
    </sheetView>
  </sheetViews>
  <sheetFormatPr defaultRowHeight="15" x14ac:dyDescent="0.25"/>
  <cols>
    <col min="1" max="16384" width="9.140625" style="1"/>
  </cols>
  <sheetData>
    <row r="1" spans="1:19" ht="75.75" customHeight="1" x14ac:dyDescent="0.25">
      <c r="A1" s="3" t="s">
        <v>0</v>
      </c>
      <c r="B1" s="2" t="s">
        <v>19</v>
      </c>
      <c r="C1" s="2" t="s">
        <v>20</v>
      </c>
      <c r="D1" s="2" t="s">
        <v>21</v>
      </c>
      <c r="E1" s="2" t="s">
        <v>22</v>
      </c>
      <c r="F1" s="2" t="s">
        <v>23</v>
      </c>
      <c r="G1" s="2" t="s">
        <v>24</v>
      </c>
      <c r="H1" s="2" t="s">
        <v>25</v>
      </c>
      <c r="I1" s="2" t="s">
        <v>26</v>
      </c>
      <c r="J1" s="2" t="s">
        <v>27</v>
      </c>
      <c r="K1" s="2" t="s">
        <v>28</v>
      </c>
      <c r="L1" s="2" t="s">
        <v>29</v>
      </c>
      <c r="M1" s="2" t="s">
        <v>30</v>
      </c>
      <c r="N1" s="2" t="s">
        <v>31</v>
      </c>
      <c r="O1" s="2" t="s">
        <v>32</v>
      </c>
      <c r="P1" s="2" t="s">
        <v>33</v>
      </c>
      <c r="Q1" s="2" t="s">
        <v>34</v>
      </c>
      <c r="R1" s="2" t="s">
        <v>35</v>
      </c>
      <c r="S1" s="2" t="s">
        <v>36</v>
      </c>
    </row>
    <row r="2" spans="1:19" ht="18" customHeight="1" x14ac:dyDescent="0.25">
      <c r="A2" s="5">
        <v>43831</v>
      </c>
      <c r="B2" s="1">
        <f>_xlfn.RANK.AVG(manu_pmi!B2,manu_pmi!$B2:$S2,1)</f>
        <v>2</v>
      </c>
      <c r="C2" s="1">
        <f>_xlfn.RANK.AVG(manu_pmi!C2,manu_pmi!$B2:$S2,1)</f>
        <v>12</v>
      </c>
      <c r="D2" s="1">
        <f>_xlfn.RANK.AVG(manu_pmi!D2,manu_pmi!$B2:$S2,1)</f>
        <v>15</v>
      </c>
      <c r="E2" s="1">
        <f>_xlfn.RANK.AVG(manu_pmi!E2,manu_pmi!$B2:$S2,1)</f>
        <v>3</v>
      </c>
      <c r="F2" s="1">
        <f>_xlfn.RANK.AVG(manu_pmi!F2,manu_pmi!$B2:$S2,1)</f>
        <v>11</v>
      </c>
      <c r="G2" s="1">
        <f>_xlfn.RANK.AVG(manu_pmi!G2,manu_pmi!$B2:$S2,1)</f>
        <v>16</v>
      </c>
      <c r="H2" s="1">
        <f>_xlfn.RANK.AVG(manu_pmi!H2,manu_pmi!$B2:$S2,1)</f>
        <v>18</v>
      </c>
      <c r="I2" s="1">
        <f>_xlfn.RANK.AVG(manu_pmi!I2,manu_pmi!$B2:$S2,1)</f>
        <v>8</v>
      </c>
      <c r="J2" s="1">
        <f>_xlfn.RANK.AVG(manu_pmi!J2,manu_pmi!$B2:$S2,1)</f>
        <v>14</v>
      </c>
      <c r="K2" s="1">
        <f>_xlfn.RANK.AVG(manu_pmi!K2,manu_pmi!$B2:$S2,1)</f>
        <v>13</v>
      </c>
      <c r="L2" s="1">
        <f>_xlfn.RANK.AVG(manu_pmi!L2,manu_pmi!$B2:$S2,1)</f>
        <v>9.5</v>
      </c>
      <c r="M2" s="1">
        <f>_xlfn.RANK.AVG(manu_pmi!M2,manu_pmi!$B2:$S2,1)</f>
        <v>4</v>
      </c>
      <c r="N2" s="1">
        <f>_xlfn.RANK.AVG(manu_pmi!N2,manu_pmi!$B2:$S2,1)</f>
        <v>9.5</v>
      </c>
      <c r="O2" s="1">
        <f>_xlfn.RANK.AVG(manu_pmi!O2,manu_pmi!$B2:$S2,1)</f>
        <v>7</v>
      </c>
      <c r="P2" s="1">
        <f>_xlfn.RANK.AVG(manu_pmi!P2,manu_pmi!$B2:$S2,1)</f>
        <v>1</v>
      </c>
      <c r="Q2" s="1">
        <f>_xlfn.RANK.AVG(manu_pmi!Q2,manu_pmi!$B2:$S2,1)</f>
        <v>5</v>
      </c>
      <c r="R2" s="1">
        <f>_xlfn.RANK.AVG(manu_pmi!R2,manu_pmi!$B2:$S2,1)</f>
        <v>6</v>
      </c>
      <c r="S2" s="1">
        <f>_xlfn.RANK.AVG(manu_pmi!S2,manu_pmi!$B2:$S2,1)</f>
        <v>17</v>
      </c>
    </row>
    <row r="3" spans="1:19" ht="18" customHeight="1" x14ac:dyDescent="0.25">
      <c r="A3" s="5">
        <v>43862</v>
      </c>
      <c r="B3" s="1">
        <f>_xlfn.RANK.AVG(manu_pmi!B3,manu_pmi!$B3:$S3,1)</f>
        <v>4</v>
      </c>
      <c r="C3" s="1">
        <f>_xlfn.RANK.AVG(manu_pmi!C3,manu_pmi!$B3:$S3,1)</f>
        <v>5</v>
      </c>
      <c r="D3" s="1">
        <f>_xlfn.RANK.AVG(manu_pmi!D3,manu_pmi!$B3:$S3,1)</f>
        <v>10</v>
      </c>
      <c r="E3" s="1">
        <f>_xlfn.RANK.AVG(manu_pmi!E3,manu_pmi!$B3:$S3,1)</f>
        <v>8</v>
      </c>
      <c r="F3" s="1">
        <f>_xlfn.RANK.AVG(manu_pmi!F3,manu_pmi!$B3:$S3,1)</f>
        <v>7</v>
      </c>
      <c r="G3" s="1">
        <f>_xlfn.RANK.AVG(manu_pmi!G3,manu_pmi!$B3:$S3,1)</f>
        <v>11</v>
      </c>
      <c r="H3" s="1">
        <f>_xlfn.RANK.AVG(manu_pmi!H3,manu_pmi!$B3:$S3,1)</f>
        <v>17</v>
      </c>
      <c r="I3" s="1">
        <f>_xlfn.RANK.AVG(manu_pmi!I3,manu_pmi!$B3:$S3,1)</f>
        <v>6</v>
      </c>
      <c r="J3" s="1">
        <f>_xlfn.RANK.AVG(manu_pmi!J3,manu_pmi!$B3:$S3,1)</f>
        <v>9</v>
      </c>
      <c r="K3" s="1">
        <f>_xlfn.RANK.AVG(manu_pmi!K3,manu_pmi!$B3:$S3,1)</f>
        <v>3</v>
      </c>
      <c r="L3" s="1">
        <f>_xlfn.RANK.AVG(manu_pmi!L3,manu_pmi!$B3:$S3,1)</f>
        <v>14</v>
      </c>
      <c r="M3" s="1">
        <f>_xlfn.RANK.AVG(manu_pmi!M3,manu_pmi!$B3:$S3,1)</f>
        <v>1</v>
      </c>
      <c r="N3" s="1">
        <f>_xlfn.RANK.AVG(manu_pmi!N3,manu_pmi!$B3:$S3,1)</f>
        <v>16</v>
      </c>
      <c r="O3" s="1">
        <f>_xlfn.RANK.AVG(manu_pmi!O3,manu_pmi!$B3:$S3,1)</f>
        <v>12</v>
      </c>
      <c r="P3" s="1">
        <f>_xlfn.RANK.AVG(manu_pmi!P3,manu_pmi!$B3:$S3,1)</f>
        <v>15</v>
      </c>
      <c r="Q3" s="1">
        <f>_xlfn.RANK.AVG(manu_pmi!Q3,manu_pmi!$B3:$S3,1)</f>
        <v>13</v>
      </c>
      <c r="R3" s="1">
        <f>_xlfn.RANK.AVG(manu_pmi!R3,manu_pmi!$B3:$S3,1)</f>
        <v>2</v>
      </c>
      <c r="S3" s="1">
        <f>_xlfn.RANK.AVG(manu_pmi!S3,manu_pmi!$B3:$S3,1)</f>
        <v>18</v>
      </c>
    </row>
    <row r="4" spans="1:19" ht="18" customHeight="1" x14ac:dyDescent="0.25">
      <c r="A4" s="5">
        <v>43891</v>
      </c>
      <c r="B4" s="1">
        <f>_xlfn.RANK.AVG(manu_pmi!B4,manu_pmi!$B4:$S4,1)</f>
        <v>16</v>
      </c>
      <c r="C4" s="1">
        <f>_xlfn.RANK.AVG(manu_pmi!C4,manu_pmi!$B4:$S4,1)</f>
        <v>13</v>
      </c>
      <c r="D4" s="1">
        <f>_xlfn.RANK.AVG(manu_pmi!D4,manu_pmi!$B4:$S4,1)</f>
        <v>12</v>
      </c>
      <c r="E4" s="1">
        <f>_xlfn.RANK.AVG(manu_pmi!E4,manu_pmi!$B4:$S4,1)</f>
        <v>7.5</v>
      </c>
      <c r="F4" s="1">
        <f>_xlfn.RANK.AVG(manu_pmi!F4,manu_pmi!$B4:$S4,1)</f>
        <v>5</v>
      </c>
      <c r="G4" s="1">
        <f>_xlfn.RANK.AVG(manu_pmi!G4,manu_pmi!$B4:$S4,1)</f>
        <v>17</v>
      </c>
      <c r="H4" s="1">
        <f>_xlfn.RANK.AVG(manu_pmi!H4,manu_pmi!$B4:$S4,1)</f>
        <v>4</v>
      </c>
      <c r="I4" s="1">
        <f>_xlfn.RANK.AVG(manu_pmi!I4,manu_pmi!$B4:$S4,1)</f>
        <v>6</v>
      </c>
      <c r="J4" s="1">
        <f>_xlfn.RANK.AVG(manu_pmi!J4,manu_pmi!$B4:$S4,1)</f>
        <v>10</v>
      </c>
      <c r="K4" s="1">
        <f>_xlfn.RANK.AVG(manu_pmi!K4,manu_pmi!$B4:$S4,1)</f>
        <v>7.5</v>
      </c>
      <c r="L4" s="1">
        <f>_xlfn.RANK.AVG(manu_pmi!L4,manu_pmi!$B4:$S4,1)</f>
        <v>14</v>
      </c>
      <c r="M4" s="1">
        <f>_xlfn.RANK.AVG(manu_pmi!M4,manu_pmi!$B4:$S4,1)</f>
        <v>1</v>
      </c>
      <c r="N4" s="1">
        <f>_xlfn.RANK.AVG(manu_pmi!N4,manu_pmi!$B4:$S4,1)</f>
        <v>9</v>
      </c>
      <c r="O4" s="1">
        <f>_xlfn.RANK.AVG(manu_pmi!O4,manu_pmi!$B4:$S4,1)</f>
        <v>11</v>
      </c>
      <c r="P4" s="1">
        <f>_xlfn.RANK.AVG(manu_pmi!P4,manu_pmi!$B4:$S4,1)</f>
        <v>18</v>
      </c>
      <c r="Q4" s="1">
        <f>_xlfn.RANK.AVG(manu_pmi!Q4,manu_pmi!$B4:$S4,1)</f>
        <v>2</v>
      </c>
      <c r="R4" s="1">
        <f>_xlfn.RANK.AVG(manu_pmi!R4,manu_pmi!$B4:$S4,1)</f>
        <v>3</v>
      </c>
      <c r="S4" s="1">
        <f>_xlfn.RANK.AVG(manu_pmi!S4,manu_pmi!$B4:$S4,1)</f>
        <v>15</v>
      </c>
    </row>
    <row r="5" spans="1:19" ht="18" customHeight="1" x14ac:dyDescent="0.25">
      <c r="A5" s="5">
        <v>43922</v>
      </c>
      <c r="B5" s="1">
        <f>_xlfn.RANK.AVG(manu_pmi!B5,manu_pmi!$B5:$S5,1)</f>
        <v>16</v>
      </c>
      <c r="C5" s="1">
        <f>_xlfn.RANK.AVG(manu_pmi!C5,manu_pmi!$B5:$S5,1)</f>
        <v>15</v>
      </c>
      <c r="D5" s="1">
        <f>_xlfn.RANK.AVG(manu_pmi!D5,manu_pmi!$B5:$S5,1)</f>
        <v>13</v>
      </c>
      <c r="E5" s="1">
        <f>_xlfn.RANK.AVG(manu_pmi!E5,manu_pmi!$B5:$S5,1)</f>
        <v>9</v>
      </c>
      <c r="F5" s="1">
        <f>_xlfn.RANK.AVG(manu_pmi!F5,manu_pmi!$B5:$S5,1)</f>
        <v>5</v>
      </c>
      <c r="G5" s="1">
        <f>_xlfn.RANK.AVG(manu_pmi!G5,manu_pmi!$B5:$S5,1)</f>
        <v>17</v>
      </c>
      <c r="H5" s="1">
        <f>_xlfn.RANK.AVG(manu_pmi!H5,manu_pmi!$B5:$S5,1)</f>
        <v>2</v>
      </c>
      <c r="I5" s="1">
        <f>_xlfn.RANK.AVG(manu_pmi!I5,manu_pmi!$B5:$S5,1)</f>
        <v>7</v>
      </c>
      <c r="J5" s="1">
        <f>_xlfn.RANK.AVG(manu_pmi!J5,manu_pmi!$B5:$S5,1)</f>
        <v>12</v>
      </c>
      <c r="K5" s="1">
        <f>_xlfn.RANK.AVG(manu_pmi!K5,manu_pmi!$B5:$S5,1)</f>
        <v>6</v>
      </c>
      <c r="L5" s="1">
        <f>_xlfn.RANK.AVG(manu_pmi!L5,manu_pmi!$B5:$S5,1)</f>
        <v>18</v>
      </c>
      <c r="M5" s="1">
        <f>_xlfn.RANK.AVG(manu_pmi!M5,manu_pmi!$B5:$S5,1)</f>
        <v>10</v>
      </c>
      <c r="N5" s="1">
        <f>_xlfn.RANK.AVG(manu_pmi!N5,manu_pmi!$B5:$S5,1)</f>
        <v>8</v>
      </c>
      <c r="O5" s="1">
        <f>_xlfn.RANK.AVG(manu_pmi!O5,manu_pmi!$B5:$S5,1)</f>
        <v>14</v>
      </c>
      <c r="P5" s="1">
        <f>_xlfn.RANK.AVG(manu_pmi!P5,manu_pmi!$B5:$S5,1)</f>
        <v>1</v>
      </c>
      <c r="Q5" s="1">
        <f>_xlfn.RANK.AVG(manu_pmi!Q5,manu_pmi!$B5:$S5,1)</f>
        <v>4</v>
      </c>
      <c r="R5" s="1">
        <f>_xlfn.RANK.AVG(manu_pmi!R5,manu_pmi!$B5:$S5,1)</f>
        <v>3</v>
      </c>
      <c r="S5" s="1">
        <f>_xlfn.RANK.AVG(manu_pmi!S5,manu_pmi!$B5:$S5,1)</f>
        <v>11</v>
      </c>
    </row>
    <row r="6" spans="1:19" ht="18" customHeight="1" x14ac:dyDescent="0.25">
      <c r="A6" s="5">
        <v>43952</v>
      </c>
      <c r="B6" s="1">
        <f>_xlfn.RANK.AVG(manu_pmi!B6,manu_pmi!$B6:$S6,1)</f>
        <v>16</v>
      </c>
      <c r="C6" s="1">
        <f>_xlfn.RANK.AVG(manu_pmi!C6,manu_pmi!$B6:$S6,1)</f>
        <v>9</v>
      </c>
      <c r="D6" s="1">
        <f>_xlfn.RANK.AVG(manu_pmi!D6,manu_pmi!$B6:$S6,1)</f>
        <v>10</v>
      </c>
      <c r="E6" s="1">
        <f>_xlfn.RANK.AVG(manu_pmi!E6,manu_pmi!$B6:$S6,1)</f>
        <v>8</v>
      </c>
      <c r="F6" s="1">
        <f>_xlfn.RANK.AVG(manu_pmi!F6,manu_pmi!$B6:$S6,1)</f>
        <v>5</v>
      </c>
      <c r="G6" s="1">
        <f>_xlfn.RANK.AVG(manu_pmi!G6,manu_pmi!$B6:$S6,1)</f>
        <v>15</v>
      </c>
      <c r="H6" s="1">
        <f>_xlfn.RANK.AVG(manu_pmi!H6,manu_pmi!$B6:$S6,1)</f>
        <v>17</v>
      </c>
      <c r="I6" s="1">
        <f>_xlfn.RANK.AVG(manu_pmi!I6,manu_pmi!$B6:$S6,1)</f>
        <v>6</v>
      </c>
      <c r="J6" s="1">
        <f>_xlfn.RANK.AVG(manu_pmi!J6,manu_pmi!$B6:$S6,1)</f>
        <v>7</v>
      </c>
      <c r="K6" s="1">
        <f>_xlfn.RANK.AVG(manu_pmi!K6,manu_pmi!$B6:$S6,1)</f>
        <v>18</v>
      </c>
      <c r="L6" s="1">
        <f>_xlfn.RANK.AVG(manu_pmi!L6,manu_pmi!$B6:$S6,1)</f>
        <v>14</v>
      </c>
      <c r="M6" s="1">
        <f>_xlfn.RANK.AVG(manu_pmi!M6,manu_pmi!$B6:$S6,1)</f>
        <v>4</v>
      </c>
      <c r="N6" s="1">
        <f>_xlfn.RANK.AVG(manu_pmi!N6,manu_pmi!$B6:$S6,1)</f>
        <v>11</v>
      </c>
      <c r="O6" s="1">
        <f>_xlfn.RANK.AVG(manu_pmi!O6,manu_pmi!$B6:$S6,1)</f>
        <v>2</v>
      </c>
      <c r="P6" s="1">
        <f>_xlfn.RANK.AVG(manu_pmi!P6,manu_pmi!$B6:$S6,1)</f>
        <v>1</v>
      </c>
      <c r="Q6" s="1">
        <f>_xlfn.RANK.AVG(manu_pmi!Q6,manu_pmi!$B6:$S6,1)</f>
        <v>12</v>
      </c>
      <c r="R6" s="1">
        <f>_xlfn.RANK.AVG(manu_pmi!R6,manu_pmi!$B6:$S6,1)</f>
        <v>3</v>
      </c>
      <c r="S6" s="1">
        <f>_xlfn.RANK.AVG(manu_pmi!S6,manu_pmi!$B6:$S6,1)</f>
        <v>13</v>
      </c>
    </row>
    <row r="7" spans="1:19" ht="18" customHeight="1" x14ac:dyDescent="0.25">
      <c r="A7" s="5">
        <v>43983</v>
      </c>
      <c r="B7" s="1">
        <f>_xlfn.RANK.AVG(manu_pmi!B7,manu_pmi!$B7:$S7,1)</f>
        <v>14</v>
      </c>
      <c r="C7" s="1">
        <f>_xlfn.RANK.AVG(manu_pmi!C7,manu_pmi!$B7:$S7,1)</f>
        <v>10</v>
      </c>
      <c r="D7" s="1">
        <f>_xlfn.RANK.AVG(manu_pmi!D7,manu_pmi!$B7:$S7,1)</f>
        <v>12</v>
      </c>
      <c r="E7" s="1">
        <f>_xlfn.RANK.AVG(manu_pmi!E7,manu_pmi!$B7:$S7,1)</f>
        <v>6</v>
      </c>
      <c r="F7" s="1">
        <f>_xlfn.RANK.AVG(manu_pmi!F7,manu_pmi!$B7:$S7,1)</f>
        <v>3</v>
      </c>
      <c r="G7" s="1">
        <f>_xlfn.RANK.AVG(manu_pmi!G7,manu_pmi!$B7:$S7,1)</f>
        <v>13</v>
      </c>
      <c r="H7" s="1">
        <f>_xlfn.RANK.AVG(manu_pmi!H7,manu_pmi!$B7:$S7,1)</f>
        <v>16</v>
      </c>
      <c r="I7" s="1">
        <f>_xlfn.RANK.AVG(manu_pmi!I7,manu_pmi!$B7:$S7,1)</f>
        <v>4</v>
      </c>
      <c r="J7" s="1">
        <f>_xlfn.RANK.AVG(manu_pmi!J7,manu_pmi!$B7:$S7,1)</f>
        <v>9</v>
      </c>
      <c r="K7" s="1">
        <f>_xlfn.RANK.AVG(manu_pmi!K7,manu_pmi!$B7:$S7,1)</f>
        <v>8</v>
      </c>
      <c r="L7" s="1">
        <f>_xlfn.RANK.AVG(manu_pmi!L7,manu_pmi!$B7:$S7,1)</f>
        <v>7</v>
      </c>
      <c r="M7" s="1">
        <f>_xlfn.RANK.AVG(manu_pmi!M7,manu_pmi!$B7:$S7,1)</f>
        <v>5</v>
      </c>
      <c r="N7" s="1">
        <f>_xlfn.RANK.AVG(manu_pmi!N7,manu_pmi!$B7:$S7,1)</f>
        <v>11</v>
      </c>
      <c r="O7" s="1">
        <f>_xlfn.RANK.AVG(manu_pmi!O7,manu_pmi!$B7:$S7,1)</f>
        <v>2</v>
      </c>
      <c r="P7" s="1">
        <f>_xlfn.RANK.AVG(manu_pmi!P7,manu_pmi!$B7:$S7,1)</f>
        <v>15</v>
      </c>
      <c r="Q7" s="1">
        <f>_xlfn.RANK.AVG(manu_pmi!Q7,manu_pmi!$B7:$S7,1)</f>
        <v>18</v>
      </c>
      <c r="R7" s="1">
        <f>_xlfn.RANK.AVG(manu_pmi!R7,manu_pmi!$B7:$S7,1)</f>
        <v>1</v>
      </c>
      <c r="S7" s="1">
        <f>_xlfn.RANK.AVG(manu_pmi!S7,manu_pmi!$B7:$S7,1)</f>
        <v>17</v>
      </c>
    </row>
    <row r="8" spans="1:19" ht="18" customHeight="1" x14ac:dyDescent="0.25">
      <c r="A8" s="5">
        <v>44013</v>
      </c>
      <c r="B8" s="1">
        <f>_xlfn.RANK.AVG(manu_pmi!B8,manu_pmi!$B8:$S8,1)</f>
        <v>11</v>
      </c>
      <c r="C8" s="1">
        <f>_xlfn.RANK.AVG(manu_pmi!C8,manu_pmi!$B8:$S8,1)</f>
        <v>12</v>
      </c>
      <c r="D8" s="1">
        <f>_xlfn.RANK.AVG(manu_pmi!D8,manu_pmi!$B8:$S8,1)</f>
        <v>10</v>
      </c>
      <c r="E8" s="1">
        <f>_xlfn.RANK.AVG(manu_pmi!E8,manu_pmi!$B8:$S8,1)</f>
        <v>6</v>
      </c>
      <c r="F8" s="1">
        <f>_xlfn.RANK.AVG(manu_pmi!F8,manu_pmi!$B8:$S8,1)</f>
        <v>3</v>
      </c>
      <c r="G8" s="1">
        <f>_xlfn.RANK.AVG(manu_pmi!G8,manu_pmi!$B8:$S8,1)</f>
        <v>14</v>
      </c>
      <c r="H8" s="1">
        <f>_xlfn.RANK.AVG(manu_pmi!H8,manu_pmi!$B8:$S8,1)</f>
        <v>17</v>
      </c>
      <c r="I8" s="1">
        <f>_xlfn.RANK.AVG(manu_pmi!I8,manu_pmi!$B8:$S8,1)</f>
        <v>2</v>
      </c>
      <c r="J8" s="1">
        <f>_xlfn.RANK.AVG(manu_pmi!J8,manu_pmi!$B8:$S8,1)</f>
        <v>7</v>
      </c>
      <c r="K8" s="1">
        <f>_xlfn.RANK.AVG(manu_pmi!K8,manu_pmi!$B8:$S8,1)</f>
        <v>4.5</v>
      </c>
      <c r="L8" s="1">
        <f>_xlfn.RANK.AVG(manu_pmi!L8,manu_pmi!$B8:$S8,1)</f>
        <v>4.5</v>
      </c>
      <c r="M8" s="1">
        <f>_xlfn.RANK.AVG(manu_pmi!M8,manu_pmi!$B8:$S8,1)</f>
        <v>8</v>
      </c>
      <c r="N8" s="1">
        <f>_xlfn.RANK.AVG(manu_pmi!N8,manu_pmi!$B8:$S8,1)</f>
        <v>13</v>
      </c>
      <c r="O8" s="1">
        <f>_xlfn.RANK.AVG(manu_pmi!O8,manu_pmi!$B8:$S8,1)</f>
        <v>9</v>
      </c>
      <c r="P8" s="1">
        <f>_xlfn.RANK.AVG(manu_pmi!P8,manu_pmi!$B8:$S8,1)</f>
        <v>15</v>
      </c>
      <c r="Q8" s="1">
        <f>_xlfn.RANK.AVG(manu_pmi!Q8,manu_pmi!$B8:$S8,1)</f>
        <v>16</v>
      </c>
      <c r="R8" s="1">
        <f>_xlfn.RANK.AVG(manu_pmi!R8,manu_pmi!$B8:$S8,1)</f>
        <v>1</v>
      </c>
      <c r="S8" s="1">
        <f>_xlfn.RANK.AVG(manu_pmi!S8,manu_pmi!$B8:$S8,1)</f>
        <v>18</v>
      </c>
    </row>
    <row r="9" spans="1:19" ht="18" customHeight="1" x14ac:dyDescent="0.25">
      <c r="A9" s="5">
        <v>44044</v>
      </c>
      <c r="B9" s="1">
        <f>_xlfn.RANK.AVG(manu_pmi!B9,manu_pmi!$B9:$S9,1)</f>
        <v>9</v>
      </c>
      <c r="C9" s="1">
        <f>_xlfn.RANK.AVG(manu_pmi!C9,manu_pmi!$B9:$S9,1)</f>
        <v>14</v>
      </c>
      <c r="D9" s="1">
        <f>_xlfn.RANK.AVG(manu_pmi!D9,manu_pmi!$B9:$S9,1)</f>
        <v>13</v>
      </c>
      <c r="E9" s="1">
        <f>_xlfn.RANK.AVG(manu_pmi!E9,manu_pmi!$B9:$S9,1)</f>
        <v>6</v>
      </c>
      <c r="F9" s="1">
        <f>_xlfn.RANK.AVG(manu_pmi!F9,manu_pmi!$B9:$S9,1)</f>
        <v>11</v>
      </c>
      <c r="G9" s="1">
        <f>_xlfn.RANK.AVG(manu_pmi!G9,manu_pmi!$B9:$S9,1)</f>
        <v>16</v>
      </c>
      <c r="H9" s="1">
        <f>_xlfn.RANK.AVG(manu_pmi!H9,manu_pmi!$B9:$S9,1)</f>
        <v>3</v>
      </c>
      <c r="I9" s="1">
        <f>_xlfn.RANK.AVG(manu_pmi!I9,manu_pmi!$B9:$S9,1)</f>
        <v>10</v>
      </c>
      <c r="J9" s="1">
        <f>_xlfn.RANK.AVG(manu_pmi!J9,manu_pmi!$B9:$S9,1)</f>
        <v>7</v>
      </c>
      <c r="K9" s="1">
        <f>_xlfn.RANK.AVG(manu_pmi!K9,manu_pmi!$B9:$S9,1)</f>
        <v>8</v>
      </c>
      <c r="L9" s="1">
        <f>_xlfn.RANK.AVG(manu_pmi!L9,manu_pmi!$B9:$S9,1)</f>
        <v>5</v>
      </c>
      <c r="M9" s="1">
        <f>_xlfn.RANK.AVG(manu_pmi!M9,manu_pmi!$B9:$S9,1)</f>
        <v>2</v>
      </c>
      <c r="N9" s="1">
        <f>_xlfn.RANK.AVG(manu_pmi!N9,manu_pmi!$B9:$S9,1)</f>
        <v>17</v>
      </c>
      <c r="O9" s="1">
        <f>_xlfn.RANK.AVG(manu_pmi!O9,manu_pmi!$B9:$S9,1)</f>
        <v>12</v>
      </c>
      <c r="P9" s="1">
        <f>_xlfn.RANK.AVG(manu_pmi!P9,manu_pmi!$B9:$S9,1)</f>
        <v>1</v>
      </c>
      <c r="Q9" s="1">
        <f>_xlfn.RANK.AVG(manu_pmi!Q9,manu_pmi!$B9:$S9,1)</f>
        <v>15</v>
      </c>
      <c r="R9" s="1">
        <f>_xlfn.RANK.AVG(manu_pmi!R9,manu_pmi!$B9:$S9,1)</f>
        <v>4</v>
      </c>
      <c r="S9" s="1">
        <f>_xlfn.RANK.AVG(manu_pmi!S9,manu_pmi!$B9:$S9,1)</f>
        <v>18</v>
      </c>
    </row>
    <row r="10" spans="1:19" ht="18" customHeight="1" x14ac:dyDescent="0.25">
      <c r="A10" s="5">
        <v>44094</v>
      </c>
      <c r="B10" s="1">
        <f>_xlfn.RANK.AVG(manu_pmi!B10,manu_pmi!$B10:$S10,1)</f>
        <v>1</v>
      </c>
      <c r="C10" s="1">
        <f>_xlfn.RANK.AVG(manu_pmi!C10,manu_pmi!$B10:$S10,1)</f>
        <v>11</v>
      </c>
      <c r="D10" s="1">
        <f>_xlfn.RANK.AVG(manu_pmi!D10,manu_pmi!$B10:$S10,1)</f>
        <v>6</v>
      </c>
      <c r="E10" s="1">
        <f>_xlfn.RANK.AVG(manu_pmi!E10,manu_pmi!$B10:$S10,1)</f>
        <v>14</v>
      </c>
      <c r="F10" s="1">
        <f>_xlfn.RANK.AVG(manu_pmi!F10,manu_pmi!$B10:$S10,1)</f>
        <v>12</v>
      </c>
      <c r="G10" s="1">
        <f>_xlfn.RANK.AVG(manu_pmi!G10,manu_pmi!$B10:$S10,1)</f>
        <v>16</v>
      </c>
      <c r="H10" s="1">
        <f>_xlfn.RANK.AVG(manu_pmi!H10,manu_pmi!$B10:$S10,1)</f>
        <v>15</v>
      </c>
      <c r="I10" s="1">
        <f>_xlfn.RANK.AVG(manu_pmi!I10,manu_pmi!$B10:$S10,1)</f>
        <v>8</v>
      </c>
      <c r="J10" s="1">
        <f>_xlfn.RANK.AVG(manu_pmi!J10,manu_pmi!$B10:$S10,1)</f>
        <v>10</v>
      </c>
      <c r="K10" s="1">
        <f>_xlfn.RANK.AVG(manu_pmi!K10,manu_pmi!$B10:$S10,1)</f>
        <v>13</v>
      </c>
      <c r="L10" s="1">
        <f>_xlfn.RANK.AVG(manu_pmi!L10,manu_pmi!$B10:$S10,1)</f>
        <v>18</v>
      </c>
      <c r="M10" s="1">
        <f>_xlfn.RANK.AVG(manu_pmi!M10,manu_pmi!$B10:$S10,1)</f>
        <v>3</v>
      </c>
      <c r="N10" s="1">
        <f>_xlfn.RANK.AVG(manu_pmi!N10,manu_pmi!$B10:$S10,1)</f>
        <v>9</v>
      </c>
      <c r="O10" s="1">
        <f>_xlfn.RANK.AVG(manu_pmi!O10,manu_pmi!$B10:$S10,1)</f>
        <v>4</v>
      </c>
      <c r="P10" s="1">
        <f>_xlfn.RANK.AVG(manu_pmi!P10,manu_pmi!$B10:$S10,1)</f>
        <v>2</v>
      </c>
      <c r="Q10" s="1">
        <f>_xlfn.RANK.AVG(manu_pmi!Q10,manu_pmi!$B10:$S10,1)</f>
        <v>7</v>
      </c>
      <c r="R10" s="1">
        <f>_xlfn.RANK.AVG(manu_pmi!R10,manu_pmi!$B10:$S10,1)</f>
        <v>5</v>
      </c>
      <c r="S10" s="1">
        <f>_xlfn.RANK.AVG(manu_pmi!S10,manu_pmi!$B10:$S10,1)</f>
        <v>17</v>
      </c>
    </row>
    <row r="11" spans="1:19" ht="18" customHeight="1" x14ac:dyDescent="0.25">
      <c r="A11" s="5">
        <v>44105</v>
      </c>
      <c r="B11" s="1">
        <f>_xlfn.RANK.AVG(manu_pmi!B11,manu_pmi!$B11:$S11,1)</f>
        <v>18</v>
      </c>
      <c r="C11" s="1">
        <f>_xlfn.RANK.AVG(manu_pmi!C11,manu_pmi!$B11:$S11,1)</f>
        <v>9</v>
      </c>
      <c r="D11" s="1">
        <f>_xlfn.RANK.AVG(manu_pmi!D11,manu_pmi!$B11:$S11,1)</f>
        <v>7</v>
      </c>
      <c r="E11" s="1">
        <f>_xlfn.RANK.AVG(manu_pmi!E11,manu_pmi!$B11:$S11,1)</f>
        <v>5</v>
      </c>
      <c r="F11" s="1">
        <f>_xlfn.RANK.AVG(manu_pmi!F11,manu_pmi!$B11:$S11,1)</f>
        <v>17</v>
      </c>
      <c r="G11" s="1">
        <f>_xlfn.RANK.AVG(manu_pmi!G11,manu_pmi!$B11:$S11,1)</f>
        <v>15</v>
      </c>
      <c r="H11" s="1">
        <f>_xlfn.RANK.AVG(manu_pmi!H11,manu_pmi!$B11:$S11,1)</f>
        <v>12</v>
      </c>
      <c r="I11" s="1">
        <f>_xlfn.RANK.AVG(manu_pmi!I11,manu_pmi!$B11:$S11,1)</f>
        <v>13</v>
      </c>
      <c r="J11" s="1">
        <f>_xlfn.RANK.AVG(manu_pmi!J11,manu_pmi!$B11:$S11,1)</f>
        <v>4</v>
      </c>
      <c r="K11" s="1">
        <f>_xlfn.RANK.AVG(manu_pmi!K11,manu_pmi!$B11:$S11,1)</f>
        <v>16</v>
      </c>
      <c r="L11" s="1">
        <f>_xlfn.RANK.AVG(manu_pmi!L11,manu_pmi!$B11:$S11,1)</f>
        <v>11</v>
      </c>
      <c r="M11" s="1">
        <f>_xlfn.RANK.AVG(manu_pmi!M11,manu_pmi!$B11:$S11,1)</f>
        <v>3</v>
      </c>
      <c r="N11" s="1">
        <f>_xlfn.RANK.AVG(manu_pmi!N11,manu_pmi!$B11:$S11,1)</f>
        <v>14</v>
      </c>
      <c r="O11" s="1">
        <f>_xlfn.RANK.AVG(manu_pmi!O11,manu_pmi!$B11:$S11,1)</f>
        <v>8</v>
      </c>
      <c r="P11" s="1">
        <f>_xlfn.RANK.AVG(manu_pmi!P11,manu_pmi!$B11:$S11,1)</f>
        <v>2</v>
      </c>
      <c r="Q11" s="1">
        <f>_xlfn.RANK.AVG(manu_pmi!Q11,manu_pmi!$B11:$S11,1)</f>
        <v>1</v>
      </c>
      <c r="R11" s="1">
        <f>_xlfn.RANK.AVG(manu_pmi!R11,manu_pmi!$B11:$S11,1)</f>
        <v>6</v>
      </c>
      <c r="S11" s="1">
        <f>_xlfn.RANK.AVG(manu_pmi!S11,manu_pmi!$B11:$S11,1)</f>
        <v>10</v>
      </c>
    </row>
    <row r="12" spans="1:19" ht="18" customHeight="1" x14ac:dyDescent="0.25">
      <c r="A12" s="5">
        <v>44136</v>
      </c>
      <c r="B12" s="1">
        <f>_xlfn.RANK.AVG(manu_pmi!B12,manu_pmi!$B12:$S12,1)</f>
        <v>18</v>
      </c>
      <c r="C12" s="1">
        <f>_xlfn.RANK.AVG(manu_pmi!C12,manu_pmi!$B12:$S12,1)</f>
        <v>10</v>
      </c>
      <c r="D12" s="1">
        <f>_xlfn.RANK.AVG(manu_pmi!D12,manu_pmi!$B12:$S12,1)</f>
        <v>8</v>
      </c>
      <c r="E12" s="1">
        <f>_xlfn.RANK.AVG(manu_pmi!E12,manu_pmi!$B12:$S12,1)</f>
        <v>14</v>
      </c>
      <c r="F12" s="1">
        <f>_xlfn.RANK.AVG(manu_pmi!F12,manu_pmi!$B12:$S12,1)</f>
        <v>13</v>
      </c>
      <c r="G12" s="1">
        <f>_xlfn.RANK.AVG(manu_pmi!G12,manu_pmi!$B12:$S12,1)</f>
        <v>3</v>
      </c>
      <c r="H12" s="1">
        <f>_xlfn.RANK.AVG(manu_pmi!H12,manu_pmi!$B12:$S12,1)</f>
        <v>4</v>
      </c>
      <c r="I12" s="1">
        <f>_xlfn.RANK.AVG(manu_pmi!I12,manu_pmi!$B12:$S12,1)</f>
        <v>9</v>
      </c>
      <c r="J12" s="1">
        <f>_xlfn.RANK.AVG(manu_pmi!J12,manu_pmi!$B12:$S12,1)</f>
        <v>6</v>
      </c>
      <c r="K12" s="1">
        <f>_xlfn.RANK.AVG(manu_pmi!K12,manu_pmi!$B12:$S12,1)</f>
        <v>17</v>
      </c>
      <c r="L12" s="1">
        <f>_xlfn.RANK.AVG(manu_pmi!L12,manu_pmi!$B12:$S12,1)</f>
        <v>7</v>
      </c>
      <c r="M12" s="1">
        <f>_xlfn.RANK.AVG(manu_pmi!M12,manu_pmi!$B12:$S12,1)</f>
        <v>2</v>
      </c>
      <c r="N12" s="1">
        <f>_xlfn.RANK.AVG(manu_pmi!N12,manu_pmi!$B12:$S12,1)</f>
        <v>12</v>
      </c>
      <c r="O12" s="1">
        <f>_xlfn.RANK.AVG(manu_pmi!O12,manu_pmi!$B12:$S12,1)</f>
        <v>11</v>
      </c>
      <c r="P12" s="1">
        <f>_xlfn.RANK.AVG(manu_pmi!P12,manu_pmi!$B12:$S12,1)</f>
        <v>1</v>
      </c>
      <c r="Q12" s="1">
        <f>_xlfn.RANK.AVG(manu_pmi!Q12,manu_pmi!$B12:$S12,1)</f>
        <v>16</v>
      </c>
      <c r="R12" s="1">
        <f>_xlfn.RANK.AVG(manu_pmi!R12,manu_pmi!$B12:$S12,1)</f>
        <v>5</v>
      </c>
      <c r="S12" s="1">
        <f>_xlfn.RANK.AVG(manu_pmi!S12,manu_pmi!$B12:$S12,1)</f>
        <v>15</v>
      </c>
    </row>
    <row r="13" spans="1:19" ht="18" customHeight="1" x14ac:dyDescent="0.25">
      <c r="A13" s="5">
        <v>44166</v>
      </c>
      <c r="B13" s="1">
        <f>_xlfn.RANK.AVG(manu_pmi!B13,manu_pmi!$B13:$S13,1)</f>
        <v>18</v>
      </c>
      <c r="C13" s="1">
        <f>_xlfn.RANK.AVG(manu_pmi!C13,manu_pmi!$B13:$S13,1)</f>
        <v>9</v>
      </c>
      <c r="D13" s="1">
        <f>_xlfn.RANK.AVG(manu_pmi!D13,manu_pmi!$B13:$S13,1)</f>
        <v>13</v>
      </c>
      <c r="E13" s="1">
        <f>_xlfn.RANK.AVG(manu_pmi!E13,manu_pmi!$B13:$S13,1)</f>
        <v>5</v>
      </c>
      <c r="F13" s="1">
        <f>_xlfn.RANK.AVG(manu_pmi!F13,manu_pmi!$B13:$S13,1)</f>
        <v>15</v>
      </c>
      <c r="G13" s="1">
        <f>_xlfn.RANK.AVG(manu_pmi!G13,manu_pmi!$B13:$S13,1)</f>
        <v>4</v>
      </c>
      <c r="H13" s="1">
        <f>_xlfn.RANK.AVG(manu_pmi!H13,manu_pmi!$B13:$S13,1)</f>
        <v>17</v>
      </c>
      <c r="I13" s="1">
        <f>_xlfn.RANK.AVG(manu_pmi!I13,manu_pmi!$B13:$S13,1)</f>
        <v>14</v>
      </c>
      <c r="J13" s="1">
        <f>_xlfn.RANK.AVG(manu_pmi!J13,manu_pmi!$B13:$S13,1)</f>
        <v>3</v>
      </c>
      <c r="K13" s="1">
        <f>_xlfn.RANK.AVG(manu_pmi!K13,manu_pmi!$B13:$S13,1)</f>
        <v>2</v>
      </c>
      <c r="L13" s="1">
        <f>_xlfn.RANK.AVG(manu_pmi!L13,manu_pmi!$B13:$S13,1)</f>
        <v>10</v>
      </c>
      <c r="M13" s="1">
        <f>_xlfn.RANK.AVG(manu_pmi!M13,manu_pmi!$B13:$S13,1)</f>
        <v>8</v>
      </c>
      <c r="N13" s="1">
        <f>_xlfn.RANK.AVG(manu_pmi!N13,manu_pmi!$B13:$S13,1)</f>
        <v>11</v>
      </c>
      <c r="O13" s="1">
        <f>_xlfn.RANK.AVG(manu_pmi!O13,manu_pmi!$B13:$S13,1)</f>
        <v>7</v>
      </c>
      <c r="P13" s="1">
        <f>_xlfn.RANK.AVG(manu_pmi!P13,manu_pmi!$B13:$S13,1)</f>
        <v>1</v>
      </c>
      <c r="Q13" s="1">
        <f>_xlfn.RANK.AVG(manu_pmi!Q13,manu_pmi!$B13:$S13,1)</f>
        <v>6</v>
      </c>
      <c r="R13" s="1">
        <f>_xlfn.RANK.AVG(manu_pmi!R13,manu_pmi!$B13:$S13,1)</f>
        <v>12</v>
      </c>
      <c r="S13" s="1">
        <f>_xlfn.RANK.AVG(manu_pmi!S13,manu_pmi!$B13:$S13,1)</f>
        <v>16</v>
      </c>
    </row>
    <row r="14" spans="1:19" ht="18" customHeight="1" x14ac:dyDescent="0.25">
      <c r="A14" s="5">
        <v>44197</v>
      </c>
      <c r="B14" s="1">
        <f>_xlfn.RANK.AVG(manu_pmi!B14,manu_pmi!$B14:$S14,1)</f>
        <v>11</v>
      </c>
      <c r="C14" s="1">
        <f>_xlfn.RANK.AVG(manu_pmi!C14,manu_pmi!$B14:$S14,1)</f>
        <v>15</v>
      </c>
      <c r="D14" s="1">
        <f>_xlfn.RANK.AVG(manu_pmi!D14,manu_pmi!$B14:$S14,1)</f>
        <v>3</v>
      </c>
      <c r="E14" s="1">
        <f>_xlfn.RANK.AVG(manu_pmi!E14,manu_pmi!$B14:$S14,1)</f>
        <v>18</v>
      </c>
      <c r="F14" s="1">
        <f>_xlfn.RANK.AVG(manu_pmi!F14,manu_pmi!$B14:$S14,1)</f>
        <v>14</v>
      </c>
      <c r="G14" s="1">
        <f>_xlfn.RANK.AVG(manu_pmi!G14,manu_pmi!$B14:$S14,1)</f>
        <v>8</v>
      </c>
      <c r="H14" s="1">
        <f>_xlfn.RANK.AVG(manu_pmi!H14,manu_pmi!$B14:$S14,1)</f>
        <v>6</v>
      </c>
      <c r="I14" s="1">
        <f>_xlfn.RANK.AVG(manu_pmi!I14,manu_pmi!$B14:$S14,1)</f>
        <v>17</v>
      </c>
      <c r="J14" s="1">
        <f>_xlfn.RANK.AVG(manu_pmi!J14,manu_pmi!$B14:$S14,1)</f>
        <v>5</v>
      </c>
      <c r="K14" s="1">
        <f>_xlfn.RANK.AVG(manu_pmi!K14,manu_pmi!$B14:$S14,1)</f>
        <v>7</v>
      </c>
      <c r="L14" s="1">
        <f>_xlfn.RANK.AVG(manu_pmi!L14,manu_pmi!$B14:$S14,1)</f>
        <v>10</v>
      </c>
      <c r="M14" s="1">
        <f>_xlfn.RANK.AVG(manu_pmi!M14,manu_pmi!$B14:$S14,1)</f>
        <v>2</v>
      </c>
      <c r="N14" s="1">
        <f>_xlfn.RANK.AVG(manu_pmi!N14,manu_pmi!$B14:$S14,1)</f>
        <v>13</v>
      </c>
      <c r="O14" s="1">
        <f>_xlfn.RANK.AVG(manu_pmi!O14,manu_pmi!$B14:$S14,1)</f>
        <v>16</v>
      </c>
      <c r="P14" s="1">
        <f>_xlfn.RANK.AVG(manu_pmi!P14,manu_pmi!$B14:$S14,1)</f>
        <v>1</v>
      </c>
      <c r="Q14" s="1">
        <f>_xlfn.RANK.AVG(manu_pmi!Q14,manu_pmi!$B14:$S14,1)</f>
        <v>4</v>
      </c>
      <c r="R14" s="1">
        <f>_xlfn.RANK.AVG(manu_pmi!R14,manu_pmi!$B14:$S14,1)</f>
        <v>12</v>
      </c>
      <c r="S14" s="1">
        <f>_xlfn.RANK.AVG(manu_pmi!S14,manu_pmi!$B14:$S14,1)</f>
        <v>9</v>
      </c>
    </row>
    <row r="15" spans="1:19" ht="18" customHeight="1" x14ac:dyDescent="0.25">
      <c r="A15" s="5">
        <v>44228</v>
      </c>
      <c r="B15" s="1">
        <f>_xlfn.RANK.AVG(manu_pmi!B15,manu_pmi!$B15:$S15,1)</f>
        <v>7</v>
      </c>
      <c r="C15" s="1">
        <f>_xlfn.RANK.AVG(manu_pmi!C15,manu_pmi!$B15:$S15,1)</f>
        <v>14</v>
      </c>
      <c r="D15" s="1">
        <f>_xlfn.RANK.AVG(manu_pmi!D15,manu_pmi!$B15:$S15,1)</f>
        <v>8</v>
      </c>
      <c r="E15" s="1">
        <f>_xlfn.RANK.AVG(manu_pmi!E15,manu_pmi!$B15:$S15,1)</f>
        <v>17</v>
      </c>
      <c r="F15" s="1">
        <f>_xlfn.RANK.AVG(manu_pmi!F15,manu_pmi!$B15:$S15,1)</f>
        <v>12</v>
      </c>
      <c r="G15" s="1">
        <f>_xlfn.RANK.AVG(manu_pmi!G15,manu_pmi!$B15:$S15,1)</f>
        <v>6</v>
      </c>
      <c r="H15" s="1">
        <f>_xlfn.RANK.AVG(manu_pmi!H15,manu_pmi!$B15:$S15,1)</f>
        <v>4</v>
      </c>
      <c r="I15" s="1">
        <f>_xlfn.RANK.AVG(manu_pmi!I15,manu_pmi!$B15:$S15,1)</f>
        <v>13</v>
      </c>
      <c r="J15" s="1">
        <f>_xlfn.RANK.AVG(manu_pmi!J15,manu_pmi!$B15:$S15,1)</f>
        <v>5</v>
      </c>
      <c r="K15" s="1">
        <f>_xlfn.RANK.AVG(manu_pmi!K15,manu_pmi!$B15:$S15,1)</f>
        <v>3</v>
      </c>
      <c r="L15" s="1">
        <f>_xlfn.RANK.AVG(manu_pmi!L15,manu_pmi!$B15:$S15,1)</f>
        <v>15</v>
      </c>
      <c r="M15" s="1">
        <f>_xlfn.RANK.AVG(manu_pmi!M15,manu_pmi!$B15:$S15,1)</f>
        <v>2</v>
      </c>
      <c r="N15" s="1">
        <f>_xlfn.RANK.AVG(manu_pmi!N15,manu_pmi!$B15:$S15,1)</f>
        <v>9</v>
      </c>
      <c r="O15" s="1">
        <f>_xlfn.RANK.AVG(manu_pmi!O15,manu_pmi!$B15:$S15,1)</f>
        <v>16</v>
      </c>
      <c r="P15" s="1">
        <f>_xlfn.RANK.AVG(manu_pmi!P15,manu_pmi!$B15:$S15,1)</f>
        <v>1</v>
      </c>
      <c r="Q15" s="1">
        <f>_xlfn.RANK.AVG(manu_pmi!Q15,manu_pmi!$B15:$S15,1)</f>
        <v>18</v>
      </c>
      <c r="R15" s="1">
        <f>_xlfn.RANK.AVG(manu_pmi!R15,manu_pmi!$B15:$S15,1)</f>
        <v>11</v>
      </c>
      <c r="S15" s="1">
        <f>_xlfn.RANK.AVG(manu_pmi!S15,manu_pmi!$B15:$S15,1)</f>
        <v>10</v>
      </c>
    </row>
    <row r="16" spans="1:19" ht="18" customHeight="1" x14ac:dyDescent="0.25">
      <c r="A16" s="5">
        <v>44256</v>
      </c>
      <c r="B16" s="1">
        <f>_xlfn.RANK.AVG(manu_pmi!B16,manu_pmi!$B16:$S16,1)</f>
        <v>14</v>
      </c>
      <c r="C16" s="1">
        <f>_xlfn.RANK.AVG(manu_pmi!C16,manu_pmi!$B16:$S16,1)</f>
        <v>6</v>
      </c>
      <c r="D16" s="1">
        <f>_xlfn.RANK.AVG(manu_pmi!D16,manu_pmi!$B16:$S16,1)</f>
        <v>15</v>
      </c>
      <c r="E16" s="1">
        <f>_xlfn.RANK.AVG(manu_pmi!E16,manu_pmi!$B16:$S16,1)</f>
        <v>17</v>
      </c>
      <c r="F16" s="1">
        <f>_xlfn.RANK.AVG(manu_pmi!F16,manu_pmi!$B16:$S16,1)</f>
        <v>12</v>
      </c>
      <c r="G16" s="1">
        <f>_xlfn.RANK.AVG(manu_pmi!G16,manu_pmi!$B16:$S16,1)</f>
        <v>11</v>
      </c>
      <c r="H16" s="1">
        <f>_xlfn.RANK.AVG(manu_pmi!H16,manu_pmi!$B16:$S16,1)</f>
        <v>13</v>
      </c>
      <c r="I16" s="1">
        <f>_xlfn.RANK.AVG(manu_pmi!I16,manu_pmi!$B16:$S16,1)</f>
        <v>16</v>
      </c>
      <c r="J16" s="1">
        <f>_xlfn.RANK.AVG(manu_pmi!J16,manu_pmi!$B16:$S16,1)</f>
        <v>4</v>
      </c>
      <c r="K16" s="1">
        <f>_xlfn.RANK.AVG(manu_pmi!K16,manu_pmi!$B16:$S16,1)</f>
        <v>5</v>
      </c>
      <c r="L16" s="1">
        <f>_xlfn.RANK.AVG(manu_pmi!L16,manu_pmi!$B16:$S16,1)</f>
        <v>8</v>
      </c>
      <c r="M16" s="1">
        <f>_xlfn.RANK.AVG(manu_pmi!M16,manu_pmi!$B16:$S16,1)</f>
        <v>2</v>
      </c>
      <c r="N16" s="1">
        <f>_xlfn.RANK.AVG(manu_pmi!N16,manu_pmi!$B16:$S16,1)</f>
        <v>9</v>
      </c>
      <c r="O16" s="1">
        <f>_xlfn.RANK.AVG(manu_pmi!O16,manu_pmi!$B16:$S16,1)</f>
        <v>10</v>
      </c>
      <c r="P16" s="1">
        <f>_xlfn.RANK.AVG(manu_pmi!P16,manu_pmi!$B16:$S16,1)</f>
        <v>3</v>
      </c>
      <c r="Q16" s="1">
        <f>_xlfn.RANK.AVG(manu_pmi!Q16,manu_pmi!$B16:$S16,1)</f>
        <v>18</v>
      </c>
      <c r="R16" s="1">
        <f>_xlfn.RANK.AVG(manu_pmi!R16,manu_pmi!$B16:$S16,1)</f>
        <v>7</v>
      </c>
      <c r="S16" s="1">
        <f>_xlfn.RANK.AVG(manu_pmi!S16,manu_pmi!$B16:$S16,1)</f>
        <v>1</v>
      </c>
    </row>
    <row r="17" spans="1:19" ht="18" customHeight="1" x14ac:dyDescent="0.25">
      <c r="A17" s="5">
        <v>44287</v>
      </c>
      <c r="B17" s="1">
        <f>_xlfn.RANK.AVG(manu_pmi!B17,manu_pmi!$B17:$S17,1)</f>
        <v>6</v>
      </c>
      <c r="C17" s="1">
        <f>_xlfn.RANK.AVG(manu_pmi!C17,manu_pmi!$B17:$S17,1)</f>
        <v>11</v>
      </c>
      <c r="D17" s="1">
        <f>_xlfn.RANK.AVG(manu_pmi!D17,manu_pmi!$B17:$S17,1)</f>
        <v>8</v>
      </c>
      <c r="E17" s="1">
        <f>_xlfn.RANK.AVG(manu_pmi!E17,manu_pmi!$B17:$S17,1)</f>
        <v>18</v>
      </c>
      <c r="F17" s="1">
        <f>_xlfn.RANK.AVG(manu_pmi!F17,manu_pmi!$B17:$S17,1)</f>
        <v>14</v>
      </c>
      <c r="G17" s="1">
        <f>_xlfn.RANK.AVG(manu_pmi!G17,manu_pmi!$B17:$S17,1)</f>
        <v>9</v>
      </c>
      <c r="H17" s="1">
        <f>_xlfn.RANK.AVG(manu_pmi!H17,manu_pmi!$B17:$S17,1)</f>
        <v>16</v>
      </c>
      <c r="I17" s="1">
        <f>_xlfn.RANK.AVG(manu_pmi!I17,manu_pmi!$B17:$S17,1)</f>
        <v>15</v>
      </c>
      <c r="J17" s="1">
        <f>_xlfn.RANK.AVG(manu_pmi!J17,manu_pmi!$B17:$S17,1)</f>
        <v>12</v>
      </c>
      <c r="K17" s="1">
        <f>_xlfn.RANK.AVG(manu_pmi!K17,manu_pmi!$B17:$S17,1)</f>
        <v>7</v>
      </c>
      <c r="L17" s="1">
        <f>_xlfn.RANK.AVG(manu_pmi!L17,manu_pmi!$B17:$S17,1)</f>
        <v>4</v>
      </c>
      <c r="M17" s="1">
        <f>_xlfn.RANK.AVG(manu_pmi!M17,manu_pmi!$B17:$S17,1)</f>
        <v>3</v>
      </c>
      <c r="N17" s="1">
        <f>_xlfn.RANK.AVG(manu_pmi!N17,manu_pmi!$B17:$S17,1)</f>
        <v>10</v>
      </c>
      <c r="O17" s="1">
        <f>_xlfn.RANK.AVG(manu_pmi!O17,manu_pmi!$B17:$S17,1)</f>
        <v>13</v>
      </c>
      <c r="P17" s="1">
        <f>_xlfn.RANK.AVG(manu_pmi!P17,manu_pmi!$B17:$S17,1)</f>
        <v>2</v>
      </c>
      <c r="Q17" s="1">
        <f>_xlfn.RANK.AVG(manu_pmi!Q17,manu_pmi!$B17:$S17,1)</f>
        <v>17</v>
      </c>
      <c r="R17" s="1">
        <f>_xlfn.RANK.AVG(manu_pmi!R17,manu_pmi!$B17:$S17,1)</f>
        <v>5</v>
      </c>
      <c r="S17" s="1">
        <f>_xlfn.RANK.AVG(manu_pmi!S17,manu_pmi!$B17:$S17,1)</f>
        <v>1</v>
      </c>
    </row>
    <row r="18" spans="1:19" ht="18" customHeight="1" x14ac:dyDescent="0.25">
      <c r="A18" s="5">
        <v>44317</v>
      </c>
      <c r="B18" s="1">
        <f>_xlfn.RANK.AVG(manu_pmi!B18,manu_pmi!$B18:$S18,1)</f>
        <v>2</v>
      </c>
      <c r="C18" s="1">
        <f>_xlfn.RANK.AVG(manu_pmi!C18,manu_pmi!$B18:$S18,1)</f>
        <v>8</v>
      </c>
      <c r="D18" s="1">
        <f>_xlfn.RANK.AVG(manu_pmi!D18,manu_pmi!$B18:$S18,1)</f>
        <v>13</v>
      </c>
      <c r="E18" s="1">
        <f>_xlfn.RANK.AVG(manu_pmi!E18,manu_pmi!$B18:$S18,1)</f>
        <v>12</v>
      </c>
      <c r="F18" s="1">
        <f>_xlfn.RANK.AVG(manu_pmi!F18,manu_pmi!$B18:$S18,1)</f>
        <v>11</v>
      </c>
      <c r="G18" s="1">
        <f>_xlfn.RANK.AVG(manu_pmi!G18,manu_pmi!$B18:$S18,1)</f>
        <v>10</v>
      </c>
      <c r="H18" s="1">
        <f>_xlfn.RANK.AVG(manu_pmi!H18,manu_pmi!$B18:$S18,1)</f>
        <v>18</v>
      </c>
      <c r="I18" s="1">
        <f>_xlfn.RANK.AVG(manu_pmi!I18,manu_pmi!$B18:$S18,1)</f>
        <v>9</v>
      </c>
      <c r="J18" s="1">
        <f>_xlfn.RANK.AVG(manu_pmi!J18,manu_pmi!$B18:$S18,1)</f>
        <v>7</v>
      </c>
      <c r="K18" s="1">
        <f>_xlfn.RANK.AVG(manu_pmi!K18,manu_pmi!$B18:$S18,1)</f>
        <v>17</v>
      </c>
      <c r="L18" s="1">
        <f>_xlfn.RANK.AVG(manu_pmi!L18,manu_pmi!$B18:$S18,1)</f>
        <v>4</v>
      </c>
      <c r="M18" s="1">
        <f>_xlfn.RANK.AVG(manu_pmi!M18,manu_pmi!$B18:$S18,1)</f>
        <v>3</v>
      </c>
      <c r="N18" s="1">
        <f>_xlfn.RANK.AVG(manu_pmi!N18,manu_pmi!$B18:$S18,1)</f>
        <v>16</v>
      </c>
      <c r="O18" s="1">
        <f>_xlfn.RANK.AVG(manu_pmi!O18,manu_pmi!$B18:$S18,1)</f>
        <v>14</v>
      </c>
      <c r="P18" s="1">
        <f>_xlfn.RANK.AVG(manu_pmi!P18,manu_pmi!$B18:$S18,1)</f>
        <v>1</v>
      </c>
      <c r="Q18" s="1">
        <f>_xlfn.RANK.AVG(manu_pmi!Q18,manu_pmi!$B18:$S18,1)</f>
        <v>15</v>
      </c>
      <c r="R18" s="1">
        <f>_xlfn.RANK.AVG(manu_pmi!R18,manu_pmi!$B18:$S18,1)</f>
        <v>6</v>
      </c>
      <c r="S18" s="1">
        <f>_xlfn.RANK.AVG(manu_pmi!S18,manu_pmi!$B18:$S18,1)</f>
        <v>5</v>
      </c>
    </row>
    <row r="19" spans="1:19" ht="18" customHeight="1" x14ac:dyDescent="0.25">
      <c r="A19" s="5">
        <v>44348</v>
      </c>
      <c r="B19" s="1">
        <f>_xlfn.RANK.AVG(manu_pmi!B19,manu_pmi!$B19:$S19,1)</f>
        <v>1</v>
      </c>
      <c r="C19" s="1">
        <f>_xlfn.RANK.AVG(manu_pmi!C19,manu_pmi!$B19:$S19,1)</f>
        <v>13</v>
      </c>
      <c r="D19" s="1">
        <f>_xlfn.RANK.AVG(manu_pmi!D19,manu_pmi!$B19:$S19,1)</f>
        <v>15</v>
      </c>
      <c r="E19" s="1">
        <f>_xlfn.RANK.AVG(manu_pmi!E19,manu_pmi!$B19:$S19,1)</f>
        <v>16</v>
      </c>
      <c r="F19" s="1">
        <f>_xlfn.RANK.AVG(manu_pmi!F19,manu_pmi!$B19:$S19,1)</f>
        <v>12</v>
      </c>
      <c r="G19" s="1">
        <f>_xlfn.RANK.AVG(manu_pmi!G19,manu_pmi!$B19:$S19,1)</f>
        <v>6</v>
      </c>
      <c r="H19" s="1">
        <f>_xlfn.RANK.AVG(manu_pmi!H19,manu_pmi!$B19:$S19,1)</f>
        <v>18</v>
      </c>
      <c r="I19" s="1">
        <f>_xlfn.RANK.AVG(manu_pmi!I19,manu_pmi!$B19:$S19,1)</f>
        <v>17</v>
      </c>
      <c r="J19" s="1">
        <f>_xlfn.RANK.AVG(manu_pmi!J19,manu_pmi!$B19:$S19,1)</f>
        <v>10</v>
      </c>
      <c r="K19" s="1">
        <f>_xlfn.RANK.AVG(manu_pmi!K19,manu_pmi!$B19:$S19,1)</f>
        <v>9</v>
      </c>
      <c r="L19" s="1">
        <f>_xlfn.RANK.AVG(manu_pmi!L19,manu_pmi!$B19:$S19,1)</f>
        <v>5</v>
      </c>
      <c r="M19" s="1">
        <f>_xlfn.RANK.AVG(manu_pmi!M19,manu_pmi!$B19:$S19,1)</f>
        <v>2</v>
      </c>
      <c r="N19" s="1">
        <f>_xlfn.RANK.AVG(manu_pmi!N19,manu_pmi!$B19:$S19,1)</f>
        <v>14</v>
      </c>
      <c r="O19" s="1">
        <f>_xlfn.RANK.AVG(manu_pmi!O19,manu_pmi!$B19:$S19,1)</f>
        <v>7</v>
      </c>
      <c r="P19" s="1">
        <f>_xlfn.RANK.AVG(manu_pmi!P19,manu_pmi!$B19:$S19,1)</f>
        <v>4</v>
      </c>
      <c r="Q19" s="1">
        <f>_xlfn.RANK.AVG(manu_pmi!Q19,manu_pmi!$B19:$S19,1)</f>
        <v>8</v>
      </c>
      <c r="R19" s="1">
        <f>_xlfn.RANK.AVG(manu_pmi!R19,manu_pmi!$B19:$S19,1)</f>
        <v>11</v>
      </c>
      <c r="S19" s="1">
        <f>_xlfn.RANK.AVG(manu_pmi!S19,manu_pmi!$B19:$S19,1)</f>
        <v>3</v>
      </c>
    </row>
    <row r="20" spans="1:19" ht="18" customHeight="1" x14ac:dyDescent="0.25">
      <c r="A20" s="5">
        <v>44378</v>
      </c>
      <c r="B20" s="1">
        <f>_xlfn.RANK.AVG(manu_pmi!B20,manu_pmi!$B20:$S20,1)</f>
        <v>16</v>
      </c>
      <c r="C20" s="1">
        <f>_xlfn.RANK.AVG(manu_pmi!C20,manu_pmi!$B20:$S20,1)</f>
        <v>9</v>
      </c>
      <c r="D20" s="1">
        <f>_xlfn.RANK.AVG(manu_pmi!D20,manu_pmi!$B20:$S20,1)</f>
        <v>14</v>
      </c>
      <c r="E20" s="1">
        <f>_xlfn.RANK.AVG(manu_pmi!E20,manu_pmi!$B20:$S20,1)</f>
        <v>4</v>
      </c>
      <c r="F20" s="1">
        <f>_xlfn.RANK.AVG(manu_pmi!F20,manu_pmi!$B20:$S20,1)</f>
        <v>11</v>
      </c>
      <c r="G20" s="1">
        <f>_xlfn.RANK.AVG(manu_pmi!G20,manu_pmi!$B20:$S20,1)</f>
        <v>8</v>
      </c>
      <c r="H20" s="1">
        <f>_xlfn.RANK.AVG(manu_pmi!H20,manu_pmi!$B20:$S20,1)</f>
        <v>18</v>
      </c>
      <c r="I20" s="1">
        <f>_xlfn.RANK.AVG(manu_pmi!I20,manu_pmi!$B20:$S20,1)</f>
        <v>12</v>
      </c>
      <c r="J20" s="1">
        <f>_xlfn.RANK.AVG(manu_pmi!J20,manu_pmi!$B20:$S20,1)</f>
        <v>15</v>
      </c>
      <c r="K20" s="1">
        <f>_xlfn.RANK.AVG(manu_pmi!K20,manu_pmi!$B20:$S20,1)</f>
        <v>13</v>
      </c>
      <c r="L20" s="1">
        <f>_xlfn.RANK.AVG(manu_pmi!L20,manu_pmi!$B20:$S20,1)</f>
        <v>10</v>
      </c>
      <c r="M20" s="1">
        <f>_xlfn.RANK.AVG(manu_pmi!M20,manu_pmi!$B20:$S20,1)</f>
        <v>2</v>
      </c>
      <c r="N20" s="1">
        <f>_xlfn.RANK.AVG(manu_pmi!N20,manu_pmi!$B20:$S20,1)</f>
        <v>6</v>
      </c>
      <c r="O20" s="1">
        <f>_xlfn.RANK.AVG(manu_pmi!O20,manu_pmi!$B20:$S20,1)</f>
        <v>7</v>
      </c>
      <c r="P20" s="1">
        <f>_xlfn.RANK.AVG(manu_pmi!P20,manu_pmi!$B20:$S20,1)</f>
        <v>17</v>
      </c>
      <c r="Q20" s="1">
        <f>_xlfn.RANK.AVG(manu_pmi!Q20,manu_pmi!$B20:$S20,1)</f>
        <v>1</v>
      </c>
      <c r="R20" s="1">
        <f>_xlfn.RANK.AVG(manu_pmi!R20,manu_pmi!$B20:$S20,1)</f>
        <v>5</v>
      </c>
      <c r="S20" s="1">
        <f>_xlfn.RANK.AVG(manu_pmi!S20,manu_pmi!$B20:$S20,1)</f>
        <v>3</v>
      </c>
    </row>
    <row r="21" spans="1:19" ht="18" customHeight="1" x14ac:dyDescent="0.25">
      <c r="A21" s="5">
        <v>44409</v>
      </c>
      <c r="B21" s="1">
        <f>_xlfn.RANK.AVG(manu_pmi!B21,manu_pmi!$B21:$S21,1)</f>
        <v>3</v>
      </c>
      <c r="C21" s="1">
        <f>_xlfn.RANK.AVG(manu_pmi!C21,manu_pmi!$B21:$S21,1)</f>
        <v>11</v>
      </c>
      <c r="D21" s="1">
        <f>_xlfn.RANK.AVG(manu_pmi!D21,manu_pmi!$B21:$S21,1)</f>
        <v>17</v>
      </c>
      <c r="E21" s="1">
        <f>_xlfn.RANK.AVG(manu_pmi!E21,manu_pmi!$B21:$S21,1)</f>
        <v>14</v>
      </c>
      <c r="F21" s="1">
        <f>_xlfn.RANK.AVG(manu_pmi!F21,manu_pmi!$B21:$S21,1)</f>
        <v>13</v>
      </c>
      <c r="G21" s="1">
        <f>_xlfn.RANK.AVG(manu_pmi!G21,manu_pmi!$B21:$S21,1)</f>
        <v>9</v>
      </c>
      <c r="H21" s="1">
        <f>_xlfn.RANK.AVG(manu_pmi!H21,manu_pmi!$B21:$S21,1)</f>
        <v>18</v>
      </c>
      <c r="I21" s="1">
        <f>_xlfn.RANK.AVG(manu_pmi!I21,manu_pmi!$B21:$S21,1)</f>
        <v>16</v>
      </c>
      <c r="J21" s="1">
        <f>_xlfn.RANK.AVG(manu_pmi!J21,manu_pmi!$B21:$S21,1)</f>
        <v>10</v>
      </c>
      <c r="K21" s="1">
        <f>_xlfn.RANK.AVG(manu_pmi!K21,manu_pmi!$B21:$S21,1)</f>
        <v>2</v>
      </c>
      <c r="L21" s="1">
        <f>_xlfn.RANK.AVG(manu_pmi!L21,manu_pmi!$B21:$S21,1)</f>
        <v>5</v>
      </c>
      <c r="M21" s="1">
        <f>_xlfn.RANK.AVG(manu_pmi!M21,manu_pmi!$B21:$S21,1)</f>
        <v>4</v>
      </c>
      <c r="N21" s="1">
        <f>_xlfn.RANK.AVG(manu_pmi!N21,manu_pmi!$B21:$S21,1)</f>
        <v>12</v>
      </c>
      <c r="O21" s="1">
        <f>_xlfn.RANK.AVG(manu_pmi!O21,manu_pmi!$B21:$S21,1)</f>
        <v>15</v>
      </c>
      <c r="P21" s="1">
        <f>_xlfn.RANK.AVG(manu_pmi!P21,manu_pmi!$B21:$S21,1)</f>
        <v>6</v>
      </c>
      <c r="Q21" s="1">
        <f>_xlfn.RANK.AVG(manu_pmi!Q21,manu_pmi!$B21:$S21,1)</f>
        <v>1</v>
      </c>
      <c r="R21" s="1">
        <f>_xlfn.RANK.AVG(manu_pmi!R21,manu_pmi!$B21:$S21,1)</f>
        <v>8</v>
      </c>
      <c r="S21" s="1">
        <f>_xlfn.RANK.AVG(manu_pmi!S21,manu_pmi!$B21:$S21,1)</f>
        <v>7</v>
      </c>
    </row>
    <row r="22" spans="1:19" ht="18" customHeight="1" x14ac:dyDescent="0.25">
      <c r="A22" s="5">
        <v>44440</v>
      </c>
      <c r="B22" s="1">
        <f>_xlfn.RANK.AVG(manu_pmi!B22,manu_pmi!$B22:$S22,1)</f>
        <v>12</v>
      </c>
      <c r="C22" s="1">
        <f>_xlfn.RANK.AVG(manu_pmi!C22,manu_pmi!$B22:$S22,1)</f>
        <v>13</v>
      </c>
      <c r="D22" s="1">
        <f>_xlfn.RANK.AVG(manu_pmi!D22,manu_pmi!$B22:$S22,1)</f>
        <v>14</v>
      </c>
      <c r="E22" s="1">
        <f>_xlfn.RANK.AVG(manu_pmi!E22,manu_pmi!$B22:$S22,1)</f>
        <v>15</v>
      </c>
      <c r="F22" s="1">
        <f>_xlfn.RANK.AVG(manu_pmi!F22,manu_pmi!$B22:$S22,1)</f>
        <v>6</v>
      </c>
      <c r="G22" s="1">
        <f>_xlfn.RANK.AVG(manu_pmi!G22,manu_pmi!$B22:$S22,1)</f>
        <v>7</v>
      </c>
      <c r="H22" s="1">
        <f>_xlfn.RANK.AVG(manu_pmi!H22,manu_pmi!$B22:$S22,1)</f>
        <v>18</v>
      </c>
      <c r="I22" s="1">
        <f>_xlfn.RANK.AVG(manu_pmi!I22,manu_pmi!$B22:$S22,1)</f>
        <v>16</v>
      </c>
      <c r="J22" s="1">
        <f>_xlfn.RANK.AVG(manu_pmi!J22,manu_pmi!$B22:$S22,1)</f>
        <v>8</v>
      </c>
      <c r="K22" s="1">
        <f>_xlfn.RANK.AVG(manu_pmi!K22,manu_pmi!$B22:$S22,1)</f>
        <v>3</v>
      </c>
      <c r="L22" s="1">
        <f>_xlfn.RANK.AVG(manu_pmi!L22,manu_pmi!$B22:$S22,1)</f>
        <v>10</v>
      </c>
      <c r="M22" s="1">
        <f>_xlfn.RANK.AVG(manu_pmi!M22,manu_pmi!$B22:$S22,1)</f>
        <v>17</v>
      </c>
      <c r="N22" s="1">
        <f>_xlfn.RANK.AVG(manu_pmi!N22,manu_pmi!$B22:$S22,1)</f>
        <v>2</v>
      </c>
      <c r="O22" s="1">
        <f>_xlfn.RANK.AVG(manu_pmi!O22,manu_pmi!$B22:$S22,1)</f>
        <v>4</v>
      </c>
      <c r="P22" s="1">
        <f>_xlfn.RANK.AVG(manu_pmi!P22,manu_pmi!$B22:$S22,1)</f>
        <v>9</v>
      </c>
      <c r="Q22" s="1">
        <f>_xlfn.RANK.AVG(manu_pmi!Q22,manu_pmi!$B22:$S22,1)</f>
        <v>11</v>
      </c>
      <c r="R22" s="1">
        <f>_xlfn.RANK.AVG(manu_pmi!R22,manu_pmi!$B22:$S22,1)</f>
        <v>5</v>
      </c>
      <c r="S22" s="1">
        <f>_xlfn.RANK.AVG(manu_pmi!S22,manu_pmi!$B22:$S22,1)</f>
        <v>1</v>
      </c>
    </row>
    <row r="23" spans="1:19" ht="18" customHeight="1" x14ac:dyDescent="0.25">
      <c r="A23" s="5">
        <v>44470</v>
      </c>
      <c r="B23" s="1">
        <f>_xlfn.RANK.AVG(manu_pmi!B23,manu_pmi!$B23:$S23,1)</f>
        <v>18</v>
      </c>
      <c r="C23" s="1">
        <f>_xlfn.RANK.AVG(manu_pmi!C23,manu_pmi!$B23:$S23,1)</f>
        <v>10</v>
      </c>
      <c r="D23" s="1">
        <f>_xlfn.RANK.AVG(manu_pmi!D23,manu_pmi!$B23:$S23,1)</f>
        <v>11</v>
      </c>
      <c r="E23" s="1">
        <f>_xlfn.RANK.AVG(manu_pmi!E23,manu_pmi!$B23:$S23,1)</f>
        <v>15</v>
      </c>
      <c r="F23" s="1">
        <f>_xlfn.RANK.AVG(manu_pmi!F23,manu_pmi!$B23:$S23,1)</f>
        <v>9</v>
      </c>
      <c r="G23" s="1">
        <f>_xlfn.RANK.AVG(manu_pmi!G23,manu_pmi!$B23:$S23,1)</f>
        <v>12</v>
      </c>
      <c r="H23" s="1">
        <f>_xlfn.RANK.AVG(manu_pmi!H23,manu_pmi!$B23:$S23,1)</f>
        <v>17</v>
      </c>
      <c r="I23" s="1">
        <f>_xlfn.RANK.AVG(manu_pmi!I23,manu_pmi!$B23:$S23,1)</f>
        <v>14</v>
      </c>
      <c r="J23" s="1">
        <f>_xlfn.RANK.AVG(manu_pmi!J23,manu_pmi!$B23:$S23,1)</f>
        <v>8</v>
      </c>
      <c r="K23" s="1">
        <f>_xlfn.RANK.AVG(manu_pmi!K23,manu_pmi!$B23:$S23,1)</f>
        <v>2</v>
      </c>
      <c r="L23" s="1">
        <f>_xlfn.RANK.AVG(manu_pmi!L23,manu_pmi!$B23:$S23,1)</f>
        <v>5</v>
      </c>
      <c r="M23" s="1">
        <f>_xlfn.RANK.AVG(manu_pmi!M23,manu_pmi!$B23:$S23,1)</f>
        <v>7</v>
      </c>
      <c r="N23" s="1">
        <f>_xlfn.RANK.AVG(manu_pmi!N23,manu_pmi!$B23:$S23,1)</f>
        <v>6</v>
      </c>
      <c r="O23" s="1">
        <f>_xlfn.RANK.AVG(manu_pmi!O23,manu_pmi!$B23:$S23,1)</f>
        <v>4</v>
      </c>
      <c r="P23" s="1">
        <f>_xlfn.RANK.AVG(manu_pmi!P23,manu_pmi!$B23:$S23,1)</f>
        <v>13</v>
      </c>
      <c r="Q23" s="1">
        <f>_xlfn.RANK.AVG(manu_pmi!Q23,manu_pmi!$B23:$S23,1)</f>
        <v>16</v>
      </c>
      <c r="R23" s="1">
        <f>_xlfn.RANK.AVG(manu_pmi!R23,manu_pmi!$B23:$S23,1)</f>
        <v>3</v>
      </c>
      <c r="S23" s="1">
        <f>_xlfn.RANK.AVG(manu_pmi!S23,manu_pmi!$B23:$S23,1)</f>
        <v>1</v>
      </c>
    </row>
    <row r="24" spans="1:19" ht="18" customHeight="1" x14ac:dyDescent="0.25">
      <c r="A24" s="5">
        <v>44501</v>
      </c>
      <c r="B24" s="1">
        <f>_xlfn.RANK.AVG(manu_pmi!B24,manu_pmi!$B24:$S24,1)</f>
        <v>18</v>
      </c>
      <c r="C24" s="1">
        <f>_xlfn.RANK.AVG(manu_pmi!C24,manu_pmi!$B24:$S24,1)</f>
        <v>9</v>
      </c>
      <c r="D24" s="1">
        <f>_xlfn.RANK.AVG(manu_pmi!D24,manu_pmi!$B24:$S24,1)</f>
        <v>15</v>
      </c>
      <c r="E24" s="1">
        <f>_xlfn.RANK.AVG(manu_pmi!E24,manu_pmi!$B24:$S24,1)</f>
        <v>16</v>
      </c>
      <c r="F24" s="1">
        <f>_xlfn.RANK.AVG(manu_pmi!F24,manu_pmi!$B24:$S24,1)</f>
        <v>7</v>
      </c>
      <c r="G24" s="1">
        <f>_xlfn.RANK.AVG(manu_pmi!G24,manu_pmi!$B24:$S24,1)</f>
        <v>11</v>
      </c>
      <c r="H24" s="1">
        <f>_xlfn.RANK.AVG(manu_pmi!H24,manu_pmi!$B24:$S24,1)</f>
        <v>17</v>
      </c>
      <c r="I24" s="1">
        <f>_xlfn.RANK.AVG(manu_pmi!I24,manu_pmi!$B24:$S24,1)</f>
        <v>14</v>
      </c>
      <c r="J24" s="1">
        <f>_xlfn.RANK.AVG(manu_pmi!J24,manu_pmi!$B24:$S24,1)</f>
        <v>10</v>
      </c>
      <c r="K24" s="1">
        <f>_xlfn.RANK.AVG(manu_pmi!K24,manu_pmi!$B24:$S24,1)</f>
        <v>4</v>
      </c>
      <c r="L24" s="1">
        <f>_xlfn.RANK.AVG(manu_pmi!L24,manu_pmi!$B24:$S24,1)</f>
        <v>12</v>
      </c>
      <c r="M24" s="1">
        <f>_xlfn.RANK.AVG(manu_pmi!M24,manu_pmi!$B24:$S24,1)</f>
        <v>8</v>
      </c>
      <c r="N24" s="1">
        <f>_xlfn.RANK.AVG(manu_pmi!N24,manu_pmi!$B24:$S24,1)</f>
        <v>13</v>
      </c>
      <c r="O24" s="1">
        <f>_xlfn.RANK.AVG(manu_pmi!O24,manu_pmi!$B24:$S24,1)</f>
        <v>2</v>
      </c>
      <c r="P24" s="1">
        <f>_xlfn.RANK.AVG(manu_pmi!P24,manu_pmi!$B24:$S24,1)</f>
        <v>1</v>
      </c>
      <c r="Q24" s="1">
        <f>_xlfn.RANK.AVG(manu_pmi!Q24,manu_pmi!$B24:$S24,1)</f>
        <v>4</v>
      </c>
      <c r="R24" s="1">
        <f>_xlfn.RANK.AVG(manu_pmi!R24,manu_pmi!$B24:$S24,1)</f>
        <v>6</v>
      </c>
      <c r="S24" s="1">
        <f>_xlfn.RANK.AVG(manu_pmi!S24,manu_pmi!$B24:$S24,1)</f>
        <v>4</v>
      </c>
    </row>
    <row r="25" spans="1:19" ht="18" customHeight="1" x14ac:dyDescent="0.25">
      <c r="A25" s="5">
        <v>44531</v>
      </c>
      <c r="B25" s="1">
        <f>_xlfn.RANK.AVG(manu_pmi!B25,manu_pmi!$B25:$S25,1)</f>
        <v>18</v>
      </c>
      <c r="C25" s="1">
        <f>_xlfn.RANK.AVG(manu_pmi!C25,manu_pmi!$B25:$S25,1)</f>
        <v>11</v>
      </c>
      <c r="D25" s="1">
        <f>_xlfn.RANK.AVG(manu_pmi!D25,manu_pmi!$B25:$S25,1)</f>
        <v>8</v>
      </c>
      <c r="E25" s="1">
        <f>_xlfn.RANK.AVG(manu_pmi!E25,manu_pmi!$B25:$S25,1)</f>
        <v>10</v>
      </c>
      <c r="F25" s="1">
        <f>_xlfn.RANK.AVG(manu_pmi!F25,manu_pmi!$B25:$S25,1)</f>
        <v>9</v>
      </c>
      <c r="G25" s="1">
        <f>_xlfn.RANK.AVG(manu_pmi!G25,manu_pmi!$B25:$S25,1)</f>
        <v>7</v>
      </c>
      <c r="H25" s="1">
        <f>_xlfn.RANK.AVG(manu_pmi!H25,manu_pmi!$B25:$S25,1)</f>
        <v>17</v>
      </c>
      <c r="I25" s="1">
        <f>_xlfn.RANK.AVG(manu_pmi!I25,manu_pmi!$B25:$S25,1)</f>
        <v>14</v>
      </c>
      <c r="J25" s="1">
        <f>_xlfn.RANK.AVG(manu_pmi!J25,manu_pmi!$B25:$S25,1)</f>
        <v>12</v>
      </c>
      <c r="K25" s="1">
        <f>_xlfn.RANK.AVG(manu_pmi!K25,manu_pmi!$B25:$S25,1)</f>
        <v>13</v>
      </c>
      <c r="L25" s="1">
        <f>_xlfn.RANK.AVG(manu_pmi!L25,manu_pmi!$B25:$S25,1)</f>
        <v>3</v>
      </c>
      <c r="M25" s="1">
        <f>_xlfn.RANK.AVG(manu_pmi!M25,manu_pmi!$B25:$S25,1)</f>
        <v>4</v>
      </c>
      <c r="N25" s="1">
        <f>_xlfn.RANK.AVG(manu_pmi!N25,manu_pmi!$B25:$S25,1)</f>
        <v>15</v>
      </c>
      <c r="O25" s="1">
        <f>_xlfn.RANK.AVG(manu_pmi!O25,manu_pmi!$B25:$S25,1)</f>
        <v>5</v>
      </c>
      <c r="P25" s="1">
        <f>_xlfn.RANK.AVG(manu_pmi!P25,manu_pmi!$B25:$S25,1)</f>
        <v>2</v>
      </c>
      <c r="Q25" s="1">
        <f>_xlfn.RANK.AVG(manu_pmi!Q25,manu_pmi!$B25:$S25,1)</f>
        <v>16</v>
      </c>
      <c r="R25" s="1">
        <f>_xlfn.RANK.AVG(manu_pmi!R25,manu_pmi!$B25:$S25,1)</f>
        <v>6</v>
      </c>
      <c r="S25" s="1">
        <f>_xlfn.RANK.AVG(manu_pmi!S25,manu_pmi!$B25:$S25,1)</f>
        <v>1</v>
      </c>
    </row>
    <row r="26" spans="1:19" ht="18" customHeight="1" x14ac:dyDescent="0.25">
      <c r="A26" s="5">
        <v>44562</v>
      </c>
      <c r="B26" s="1">
        <f>_xlfn.RANK.AVG(manu_pmi!B26,manu_pmi!$B26:$S26,1)</f>
        <v>18</v>
      </c>
      <c r="C26" s="1">
        <f>_xlfn.RANK.AVG(manu_pmi!C26,manu_pmi!$B26:$S26,1)</f>
        <v>7</v>
      </c>
      <c r="D26" s="1">
        <f>_xlfn.RANK.AVG(manu_pmi!D26,manu_pmi!$B26:$S26,1)</f>
        <v>8</v>
      </c>
      <c r="E26" s="1">
        <f>_xlfn.RANK.AVG(manu_pmi!E26,manu_pmi!$B26:$S26,1)</f>
        <v>13</v>
      </c>
      <c r="F26" s="1">
        <f>_xlfn.RANK.AVG(manu_pmi!F26,manu_pmi!$B26:$S26,1)</f>
        <v>9</v>
      </c>
      <c r="G26" s="1">
        <f>_xlfn.RANK.AVG(manu_pmi!G26,manu_pmi!$B26:$S26,1)</f>
        <v>12</v>
      </c>
      <c r="H26" s="1">
        <f>_xlfn.RANK.AVG(manu_pmi!H26,manu_pmi!$B26:$S26,1)</f>
        <v>17</v>
      </c>
      <c r="I26" s="1">
        <f>_xlfn.RANK.AVG(manu_pmi!I26,manu_pmi!$B26:$S26,1)</f>
        <v>14</v>
      </c>
      <c r="J26" s="1">
        <f>_xlfn.RANK.AVG(manu_pmi!J26,manu_pmi!$B26:$S26,1)</f>
        <v>16</v>
      </c>
      <c r="K26" s="1">
        <f>_xlfn.RANK.AVG(manu_pmi!K26,manu_pmi!$B26:$S26,1)</f>
        <v>15</v>
      </c>
      <c r="L26" s="1">
        <f>_xlfn.RANK.AVG(manu_pmi!L26,manu_pmi!$B26:$S26,1)</f>
        <v>1</v>
      </c>
      <c r="M26" s="1">
        <f>_xlfn.RANK.AVG(manu_pmi!M26,manu_pmi!$B26:$S26,1)</f>
        <v>6</v>
      </c>
      <c r="N26" s="1">
        <f>_xlfn.RANK.AVG(manu_pmi!N26,manu_pmi!$B26:$S26,1)</f>
        <v>5</v>
      </c>
      <c r="O26" s="1">
        <f>_xlfn.RANK.AVG(manu_pmi!O26,manu_pmi!$B26:$S26,1)</f>
        <v>10</v>
      </c>
      <c r="P26" s="1">
        <f>_xlfn.RANK.AVG(manu_pmi!P26,manu_pmi!$B26:$S26,1)</f>
        <v>3</v>
      </c>
      <c r="Q26" s="1">
        <f>_xlfn.RANK.AVG(manu_pmi!Q26,manu_pmi!$B26:$S26,1)</f>
        <v>3</v>
      </c>
      <c r="R26" s="1">
        <f>_xlfn.RANK.AVG(manu_pmi!R26,manu_pmi!$B26:$S26,1)</f>
        <v>11</v>
      </c>
      <c r="S26" s="1">
        <f>_xlfn.RANK.AVG(manu_pmi!S26,manu_pmi!$B26:$S26,1)</f>
        <v>3</v>
      </c>
    </row>
    <row r="27" spans="1:19" ht="18" customHeight="1" x14ac:dyDescent="0.25">
      <c r="A27" s="5">
        <v>44593</v>
      </c>
      <c r="B27" s="1">
        <f>_xlfn.RANK.AVG(manu_pmi!B27,manu_pmi!$B27:$S27,1)</f>
        <v>18</v>
      </c>
      <c r="C27" s="1">
        <f>_xlfn.RANK.AVG(manu_pmi!C27,manu_pmi!$B27:$S27,1)</f>
        <v>4</v>
      </c>
      <c r="D27" s="1">
        <f>_xlfn.RANK.AVG(manu_pmi!D27,manu_pmi!$B27:$S27,1)</f>
        <v>10</v>
      </c>
      <c r="E27" s="1">
        <f>_xlfn.RANK.AVG(manu_pmi!E27,manu_pmi!$B27:$S27,1)</f>
        <v>11</v>
      </c>
      <c r="F27" s="1">
        <f>_xlfn.RANK.AVG(manu_pmi!F27,manu_pmi!$B27:$S27,1)</f>
        <v>7</v>
      </c>
      <c r="G27" s="1">
        <f>_xlfn.RANK.AVG(manu_pmi!G27,manu_pmi!$B27:$S27,1)</f>
        <v>6</v>
      </c>
      <c r="H27" s="1">
        <f>_xlfn.RANK.AVG(manu_pmi!H27,manu_pmi!$B27:$S27,1)</f>
        <v>9</v>
      </c>
      <c r="I27" s="1">
        <f>_xlfn.RANK.AVG(manu_pmi!I27,manu_pmi!$B27:$S27,1)</f>
        <v>14</v>
      </c>
      <c r="J27" s="1">
        <f>_xlfn.RANK.AVG(manu_pmi!J27,manu_pmi!$B27:$S27,1)</f>
        <v>13</v>
      </c>
      <c r="K27" s="1">
        <f>_xlfn.RANK.AVG(manu_pmi!K27,manu_pmi!$B27:$S27,1)</f>
        <v>5</v>
      </c>
      <c r="L27" s="1">
        <f>_xlfn.RANK.AVG(manu_pmi!L27,manu_pmi!$B27:$S27,1)</f>
        <v>16</v>
      </c>
      <c r="M27" s="1">
        <f>_xlfn.RANK.AVG(manu_pmi!M27,manu_pmi!$B27:$S27,1)</f>
        <v>3</v>
      </c>
      <c r="N27" s="1">
        <f>_xlfn.RANK.AVG(manu_pmi!N27,manu_pmi!$B27:$S27,1)</f>
        <v>8</v>
      </c>
      <c r="O27" s="1">
        <f>_xlfn.RANK.AVG(manu_pmi!O27,manu_pmi!$B27:$S27,1)</f>
        <v>12</v>
      </c>
      <c r="P27" s="1">
        <f>_xlfn.RANK.AVG(manu_pmi!P27,manu_pmi!$B27:$S27,1)</f>
        <v>2</v>
      </c>
      <c r="Q27" s="1">
        <f>_xlfn.RANK.AVG(manu_pmi!Q27,manu_pmi!$B27:$S27,1)</f>
        <v>17</v>
      </c>
      <c r="R27" s="1">
        <f>_xlfn.RANK.AVG(manu_pmi!R27,manu_pmi!$B27:$S27,1)</f>
        <v>15</v>
      </c>
      <c r="S27" s="1">
        <f>_xlfn.RANK.AVG(manu_pmi!S27,manu_pmi!$B27:$S27,1)</f>
        <v>1</v>
      </c>
    </row>
    <row r="28" spans="1:19" ht="18" customHeight="1" x14ac:dyDescent="0.25">
      <c r="A28" s="5">
        <v>44621</v>
      </c>
      <c r="B28" s="1">
        <f>_xlfn.RANK.AVG(manu_pmi!B28,manu_pmi!$B28:$S28,1)</f>
        <v>18</v>
      </c>
      <c r="C28" s="1">
        <f>_xlfn.RANK.AVG(manu_pmi!C28,manu_pmi!$B28:$S28,1)</f>
        <v>8</v>
      </c>
      <c r="D28" s="1">
        <f>_xlfn.RANK.AVG(manu_pmi!D28,manu_pmi!$B28:$S28,1)</f>
        <v>7</v>
      </c>
      <c r="E28" s="1">
        <f>_xlfn.RANK.AVG(manu_pmi!E28,manu_pmi!$B28:$S28,1)</f>
        <v>15</v>
      </c>
      <c r="F28" s="1">
        <f>_xlfn.RANK.AVG(manu_pmi!F28,manu_pmi!$B28:$S28,1)</f>
        <v>10</v>
      </c>
      <c r="G28" s="1">
        <f>_xlfn.RANK.AVG(manu_pmi!G28,manu_pmi!$B28:$S28,1)</f>
        <v>16</v>
      </c>
      <c r="H28" s="1">
        <f>_xlfn.RANK.AVG(manu_pmi!H28,manu_pmi!$B28:$S28,1)</f>
        <v>17</v>
      </c>
      <c r="I28" s="1">
        <f>_xlfn.RANK.AVG(manu_pmi!I28,manu_pmi!$B28:$S28,1)</f>
        <v>13</v>
      </c>
      <c r="J28" s="1">
        <f>_xlfn.RANK.AVG(manu_pmi!J28,manu_pmi!$B28:$S28,1)</f>
        <v>14</v>
      </c>
      <c r="K28" s="1">
        <f>_xlfn.RANK.AVG(manu_pmi!K28,manu_pmi!$B28:$S28,1)</f>
        <v>6</v>
      </c>
      <c r="L28" s="1">
        <f>_xlfn.RANK.AVG(manu_pmi!L28,manu_pmi!$B28:$S28,1)</f>
        <v>9</v>
      </c>
      <c r="M28" s="1">
        <f>_xlfn.RANK.AVG(manu_pmi!M28,manu_pmi!$B28:$S28,1)</f>
        <v>2</v>
      </c>
      <c r="N28" s="1">
        <f>_xlfn.RANK.AVG(manu_pmi!N28,manu_pmi!$B28:$S28,1)</f>
        <v>4</v>
      </c>
      <c r="O28" s="1">
        <f>_xlfn.RANK.AVG(manu_pmi!O28,manu_pmi!$B28:$S28,1)</f>
        <v>5</v>
      </c>
      <c r="P28" s="1">
        <f>_xlfn.RANK.AVG(manu_pmi!P28,manu_pmi!$B28:$S28,1)</f>
        <v>3</v>
      </c>
      <c r="Q28" s="1">
        <f>_xlfn.RANK.AVG(manu_pmi!Q28,manu_pmi!$B28:$S28,1)</f>
        <v>12</v>
      </c>
      <c r="R28" s="1">
        <f>_xlfn.RANK.AVG(manu_pmi!R28,manu_pmi!$B28:$S28,1)</f>
        <v>11</v>
      </c>
      <c r="S28" s="1">
        <f>_xlfn.RANK.AVG(manu_pmi!S28,manu_pmi!$B28:$S28,1)</f>
        <v>1</v>
      </c>
    </row>
    <row r="29" spans="1:19" ht="18" customHeight="1" x14ac:dyDescent="0.25">
      <c r="A29" s="5">
        <v>44652</v>
      </c>
      <c r="B29" s="1">
        <f>_xlfn.RANK.AVG(manu_pmi!B29,manu_pmi!$B29:$S29,1)</f>
        <v>18</v>
      </c>
      <c r="C29" s="1">
        <f>_xlfn.RANK.AVG(manu_pmi!C29,manu_pmi!$B29:$S29,1)</f>
        <v>6</v>
      </c>
      <c r="D29" s="1">
        <f>_xlfn.RANK.AVG(manu_pmi!D29,manu_pmi!$B29:$S29,1)</f>
        <v>14</v>
      </c>
      <c r="E29" s="1">
        <f>_xlfn.RANK.AVG(manu_pmi!E29,manu_pmi!$B29:$S29,1)</f>
        <v>10</v>
      </c>
      <c r="F29" s="1">
        <f>_xlfn.RANK.AVG(manu_pmi!F29,manu_pmi!$B29:$S29,1)</f>
        <v>4</v>
      </c>
      <c r="G29" s="1">
        <f>_xlfn.RANK.AVG(manu_pmi!G29,manu_pmi!$B29:$S29,1)</f>
        <v>13</v>
      </c>
      <c r="H29" s="1">
        <f>_xlfn.RANK.AVG(manu_pmi!H29,manu_pmi!$B29:$S29,1)</f>
        <v>7</v>
      </c>
      <c r="I29" s="1">
        <f>_xlfn.RANK.AVG(manu_pmi!I29,manu_pmi!$B29:$S29,1)</f>
        <v>17</v>
      </c>
      <c r="J29" s="1">
        <f>_xlfn.RANK.AVG(manu_pmi!J29,manu_pmi!$B29:$S29,1)</f>
        <v>3</v>
      </c>
      <c r="K29" s="1">
        <f>_xlfn.RANK.AVG(manu_pmi!K29,manu_pmi!$B29:$S29,1)</f>
        <v>15</v>
      </c>
      <c r="L29" s="1">
        <f>_xlfn.RANK.AVG(manu_pmi!L29,manu_pmi!$B29:$S29,1)</f>
        <v>9</v>
      </c>
      <c r="M29" s="1">
        <f>_xlfn.RANK.AVG(manu_pmi!M29,manu_pmi!$B29:$S29,1)</f>
        <v>1</v>
      </c>
      <c r="N29" s="1">
        <f>_xlfn.RANK.AVG(manu_pmi!N29,manu_pmi!$B29:$S29,1)</f>
        <v>16</v>
      </c>
      <c r="O29" s="1">
        <f>_xlfn.RANK.AVG(manu_pmi!O29,manu_pmi!$B29:$S29,1)</f>
        <v>8</v>
      </c>
      <c r="P29" s="1">
        <f>_xlfn.RANK.AVG(manu_pmi!P29,manu_pmi!$B29:$S29,1)</f>
        <v>11</v>
      </c>
      <c r="Q29" s="1">
        <f>_xlfn.RANK.AVG(manu_pmi!Q29,manu_pmi!$B29:$S29,1)</f>
        <v>5</v>
      </c>
      <c r="R29" s="1">
        <f>_xlfn.RANK.AVG(manu_pmi!R29,manu_pmi!$B29:$S29,1)</f>
        <v>12</v>
      </c>
      <c r="S29" s="1">
        <f>_xlfn.RANK.AVG(manu_pmi!S29,manu_pmi!$B29:$S29,1)</f>
        <v>2</v>
      </c>
    </row>
    <row r="30" spans="1:19" ht="18" customHeight="1" x14ac:dyDescent="0.25">
      <c r="A30" s="5">
        <v>44682</v>
      </c>
      <c r="B30" s="1">
        <f>_xlfn.RANK.AVG(manu_pmi!B30,manu_pmi!$B30:$S30,1)</f>
        <v>18</v>
      </c>
      <c r="C30" s="1">
        <f>_xlfn.RANK.AVG(manu_pmi!C30,manu_pmi!$B30:$S30,1)</f>
        <v>7</v>
      </c>
      <c r="D30" s="1">
        <f>_xlfn.RANK.AVG(manu_pmi!D30,manu_pmi!$B30:$S30,1)</f>
        <v>14</v>
      </c>
      <c r="E30" s="1">
        <f>_xlfn.RANK.AVG(manu_pmi!E30,manu_pmi!$B30:$S30,1)</f>
        <v>4</v>
      </c>
      <c r="F30" s="1">
        <f>_xlfn.RANK.AVG(manu_pmi!F30,manu_pmi!$B30:$S30,1)</f>
        <v>8</v>
      </c>
      <c r="G30" s="1">
        <f>_xlfn.RANK.AVG(manu_pmi!G30,manu_pmi!$B30:$S30,1)</f>
        <v>13</v>
      </c>
      <c r="H30" s="1">
        <f>_xlfn.RANK.AVG(manu_pmi!H30,manu_pmi!$B30:$S30,1)</f>
        <v>1</v>
      </c>
      <c r="I30" s="1">
        <f>_xlfn.RANK.AVG(manu_pmi!I30,manu_pmi!$B30:$S30,1)</f>
        <v>16</v>
      </c>
      <c r="J30" s="1">
        <f>_xlfn.RANK.AVG(manu_pmi!J30,manu_pmi!$B30:$S30,1)</f>
        <v>6</v>
      </c>
      <c r="K30" s="1">
        <f>_xlfn.RANK.AVG(manu_pmi!K30,manu_pmi!$B30:$S30,1)</f>
        <v>15</v>
      </c>
      <c r="L30" s="1">
        <f>_xlfn.RANK.AVG(manu_pmi!L30,manu_pmi!$B30:$S30,1)</f>
        <v>11</v>
      </c>
      <c r="M30" s="1">
        <f>_xlfn.RANK.AVG(manu_pmi!M30,manu_pmi!$B30:$S30,1)</f>
        <v>10</v>
      </c>
      <c r="N30" s="1">
        <f>_xlfn.RANK.AVG(manu_pmi!N30,manu_pmi!$B30:$S30,1)</f>
        <v>9</v>
      </c>
      <c r="O30" s="1">
        <f>_xlfn.RANK.AVG(manu_pmi!O30,manu_pmi!$B30:$S30,1)</f>
        <v>5</v>
      </c>
      <c r="P30" s="1">
        <f>_xlfn.RANK.AVG(manu_pmi!P30,manu_pmi!$B30:$S30,1)</f>
        <v>17</v>
      </c>
      <c r="Q30" s="1">
        <f>_xlfn.RANK.AVG(manu_pmi!Q30,manu_pmi!$B30:$S30,1)</f>
        <v>2.5</v>
      </c>
      <c r="R30" s="1">
        <f>_xlfn.RANK.AVG(manu_pmi!R30,manu_pmi!$B30:$S30,1)</f>
        <v>12</v>
      </c>
      <c r="S30" s="1">
        <f>_xlfn.RANK.AVG(manu_pmi!S30,manu_pmi!$B30:$S30,1)</f>
        <v>2.5</v>
      </c>
    </row>
    <row r="31" spans="1:19" ht="18" customHeight="1" x14ac:dyDescent="0.25">
      <c r="A31" s="5">
        <v>44713</v>
      </c>
      <c r="B31" s="1">
        <f>_xlfn.RANK.AVG(manu_pmi!B31,manu_pmi!$B31:$S31,1)</f>
        <v>18</v>
      </c>
      <c r="C31" s="1">
        <f>_xlfn.RANK.AVG(manu_pmi!C31,manu_pmi!$B31:$S31,1)</f>
        <v>4</v>
      </c>
      <c r="D31" s="1">
        <f>_xlfn.RANK.AVG(manu_pmi!D31,manu_pmi!$B31:$S31,1)</f>
        <v>15</v>
      </c>
      <c r="E31" s="1">
        <f>_xlfn.RANK.AVG(manu_pmi!E31,manu_pmi!$B31:$S31,1)</f>
        <v>13</v>
      </c>
      <c r="F31" s="1">
        <f>_xlfn.RANK.AVG(manu_pmi!F31,manu_pmi!$B31:$S31,1)</f>
        <v>8</v>
      </c>
      <c r="G31" s="1">
        <f>_xlfn.RANK.AVG(manu_pmi!G31,manu_pmi!$B31:$S31,1)</f>
        <v>5</v>
      </c>
      <c r="H31" s="1">
        <f>_xlfn.RANK.AVG(manu_pmi!H31,manu_pmi!$B31:$S31,1)</f>
        <v>3</v>
      </c>
      <c r="I31" s="1">
        <f>_xlfn.RANK.AVG(manu_pmi!I31,manu_pmi!$B31:$S31,1)</f>
        <v>14</v>
      </c>
      <c r="J31" s="1">
        <f>_xlfn.RANK.AVG(manu_pmi!J31,manu_pmi!$B31:$S31,1)</f>
        <v>7</v>
      </c>
      <c r="K31" s="1">
        <f>_xlfn.RANK.AVG(manu_pmi!K31,manu_pmi!$B31:$S31,1)</f>
        <v>11</v>
      </c>
      <c r="L31" s="1">
        <f>_xlfn.RANK.AVG(manu_pmi!L31,manu_pmi!$B31:$S31,1)</f>
        <v>1</v>
      </c>
      <c r="M31" s="1">
        <f>_xlfn.RANK.AVG(manu_pmi!M31,manu_pmi!$B31:$S31,1)</f>
        <v>6</v>
      </c>
      <c r="N31" s="1">
        <f>_xlfn.RANK.AVG(manu_pmi!N31,manu_pmi!$B31:$S31,1)</f>
        <v>10</v>
      </c>
      <c r="O31" s="1">
        <f>_xlfn.RANK.AVG(manu_pmi!O31,manu_pmi!$B31:$S31,1)</f>
        <v>12</v>
      </c>
      <c r="P31" s="1">
        <f>_xlfn.RANK.AVG(manu_pmi!P31,manu_pmi!$B31:$S31,1)</f>
        <v>16</v>
      </c>
      <c r="Q31" s="1">
        <f>_xlfn.RANK.AVG(manu_pmi!Q31,manu_pmi!$B31:$S31,1)</f>
        <v>17</v>
      </c>
      <c r="R31" s="1">
        <f>_xlfn.RANK.AVG(manu_pmi!R31,manu_pmi!$B31:$S31,1)</f>
        <v>9</v>
      </c>
      <c r="S31" s="1">
        <f>_xlfn.RANK.AVG(manu_pmi!S31,manu_pmi!$B31:$S31,1)</f>
        <v>2</v>
      </c>
    </row>
    <row r="32" spans="1:19" ht="18" customHeight="1" x14ac:dyDescent="0.25">
      <c r="A32" s="5">
        <v>44743</v>
      </c>
      <c r="B32" s="1">
        <f>_xlfn.RANK.AVG(manu_pmi!B32,manu_pmi!$B32:$S32,1)</f>
        <v>18</v>
      </c>
      <c r="C32" s="1">
        <f>_xlfn.RANK.AVG(manu_pmi!C32,manu_pmi!$B32:$S32,1)</f>
        <v>7</v>
      </c>
      <c r="D32" s="1">
        <f>_xlfn.RANK.AVG(manu_pmi!D32,manu_pmi!$B32:$S32,1)</f>
        <v>14</v>
      </c>
      <c r="E32" s="1">
        <f>_xlfn.RANK.AVG(manu_pmi!E32,manu_pmi!$B32:$S32,1)</f>
        <v>8</v>
      </c>
      <c r="F32" s="1">
        <f>_xlfn.RANK.AVG(manu_pmi!F32,manu_pmi!$B32:$S32,1)</f>
        <v>5</v>
      </c>
      <c r="G32" s="1">
        <f>_xlfn.RANK.AVG(manu_pmi!G32,manu_pmi!$B32:$S32,1)</f>
        <v>6</v>
      </c>
      <c r="H32" s="1">
        <f>_xlfn.RANK.AVG(manu_pmi!H32,manu_pmi!$B32:$S32,1)</f>
        <v>2</v>
      </c>
      <c r="I32" s="1">
        <f>_xlfn.RANK.AVG(manu_pmi!I32,manu_pmi!$B32:$S32,1)</f>
        <v>12</v>
      </c>
      <c r="J32" s="1">
        <f>_xlfn.RANK.AVG(manu_pmi!J32,manu_pmi!$B32:$S32,1)</f>
        <v>4</v>
      </c>
      <c r="K32" s="1">
        <f>_xlfn.RANK.AVG(manu_pmi!K32,manu_pmi!$B32:$S32,1)</f>
        <v>17</v>
      </c>
      <c r="L32" s="1">
        <f>_xlfn.RANK.AVG(manu_pmi!L32,manu_pmi!$B32:$S32,1)</f>
        <v>3</v>
      </c>
      <c r="M32" s="1">
        <f>_xlfn.RANK.AVG(manu_pmi!M32,manu_pmi!$B32:$S32,1)</f>
        <v>16</v>
      </c>
      <c r="N32" s="1">
        <f>_xlfn.RANK.AVG(manu_pmi!N32,manu_pmi!$B32:$S32,1)</f>
        <v>9</v>
      </c>
      <c r="O32" s="1">
        <f>_xlfn.RANK.AVG(manu_pmi!O32,manu_pmi!$B32:$S32,1)</f>
        <v>10</v>
      </c>
      <c r="P32" s="1">
        <f>_xlfn.RANK.AVG(manu_pmi!P32,manu_pmi!$B32:$S32,1)</f>
        <v>15</v>
      </c>
      <c r="Q32" s="1">
        <f>_xlfn.RANK.AVG(manu_pmi!Q32,manu_pmi!$B32:$S32,1)</f>
        <v>11</v>
      </c>
      <c r="R32" s="1">
        <f>_xlfn.RANK.AVG(manu_pmi!R32,manu_pmi!$B32:$S32,1)</f>
        <v>13</v>
      </c>
      <c r="S32" s="1">
        <f>_xlfn.RANK.AVG(manu_pmi!S32,manu_pmi!$B32:$S32,1)</f>
        <v>1</v>
      </c>
    </row>
    <row r="33" spans="1:19" ht="18" customHeight="1" x14ac:dyDescent="0.25">
      <c r="A33" s="5">
        <v>44774</v>
      </c>
      <c r="B33" s="1">
        <f>_xlfn.RANK.AVG(manu_pmi!B33,manu_pmi!$B33:$S33,1)</f>
        <v>2</v>
      </c>
      <c r="C33" s="1">
        <f>_xlfn.RANK.AVG(manu_pmi!C33,manu_pmi!$B33:$S33,1)</f>
        <v>5</v>
      </c>
      <c r="D33" s="1">
        <f>_xlfn.RANK.AVG(manu_pmi!D33,manu_pmi!$B33:$S33,1)</f>
        <v>15</v>
      </c>
      <c r="E33" s="1">
        <f>_xlfn.RANK.AVG(manu_pmi!E33,manu_pmi!$B33:$S33,1)</f>
        <v>7</v>
      </c>
      <c r="F33" s="1">
        <f>_xlfn.RANK.AVG(manu_pmi!F33,manu_pmi!$B33:$S33,1)</f>
        <v>6</v>
      </c>
      <c r="G33" s="1">
        <f>_xlfn.RANK.AVG(manu_pmi!G33,manu_pmi!$B33:$S33,1)</f>
        <v>9</v>
      </c>
      <c r="H33" s="1">
        <f>_xlfn.RANK.AVG(manu_pmi!H33,manu_pmi!$B33:$S33,1)</f>
        <v>3</v>
      </c>
      <c r="I33" s="1">
        <f>_xlfn.RANK.AVG(manu_pmi!I33,manu_pmi!$B33:$S33,1)</f>
        <v>11</v>
      </c>
      <c r="J33" s="1">
        <f>_xlfn.RANK.AVG(manu_pmi!J33,manu_pmi!$B33:$S33,1)</f>
        <v>10</v>
      </c>
      <c r="K33" s="1">
        <f>_xlfn.RANK.AVG(manu_pmi!K33,manu_pmi!$B33:$S33,1)</f>
        <v>18</v>
      </c>
      <c r="L33" s="1">
        <f>_xlfn.RANK.AVG(manu_pmi!L33,manu_pmi!$B33:$S33,1)</f>
        <v>4</v>
      </c>
      <c r="M33" s="1">
        <f>_xlfn.RANK.AVG(manu_pmi!M33,manu_pmi!$B33:$S33,1)</f>
        <v>17</v>
      </c>
      <c r="N33" s="1">
        <f>_xlfn.RANK.AVG(manu_pmi!N33,manu_pmi!$B33:$S33,1)</f>
        <v>13</v>
      </c>
      <c r="O33" s="1">
        <f>_xlfn.RANK.AVG(manu_pmi!O33,manu_pmi!$B33:$S33,1)</f>
        <v>12</v>
      </c>
      <c r="P33" s="1">
        <f>_xlfn.RANK.AVG(manu_pmi!P33,manu_pmi!$B33:$S33,1)</f>
        <v>14</v>
      </c>
      <c r="Q33" s="1">
        <f>_xlfn.RANK.AVG(manu_pmi!Q33,manu_pmi!$B33:$S33,1)</f>
        <v>8</v>
      </c>
      <c r="R33" s="1">
        <f>_xlfn.RANK.AVG(manu_pmi!R33,manu_pmi!$B33:$S33,1)</f>
        <v>16</v>
      </c>
      <c r="S33" s="1">
        <f>_xlfn.RANK.AVG(manu_pmi!S33,manu_pmi!$B33:$S33,1)</f>
        <v>1</v>
      </c>
    </row>
    <row r="34" spans="1:19" ht="18" customHeight="1" x14ac:dyDescent="0.25">
      <c r="A34" s="5">
        <v>44805</v>
      </c>
      <c r="B34" s="1">
        <f>_xlfn.RANK.AVG(manu_pmi!B34,manu_pmi!$B34:$S34,1)</f>
        <v>14</v>
      </c>
      <c r="C34" s="1">
        <f>_xlfn.RANK.AVG(manu_pmi!C34,manu_pmi!$B34:$S34,1)</f>
        <v>6</v>
      </c>
      <c r="D34" s="1">
        <f>_xlfn.RANK.AVG(manu_pmi!D34,manu_pmi!$B34:$S34,1)</f>
        <v>11</v>
      </c>
      <c r="E34" s="1">
        <f>_xlfn.RANK.AVG(manu_pmi!E34,manu_pmi!$B34:$S34,1)</f>
        <v>10</v>
      </c>
      <c r="F34" s="1">
        <f>_xlfn.RANK.AVG(manu_pmi!F34,manu_pmi!$B34:$S34,1)</f>
        <v>7</v>
      </c>
      <c r="G34" s="1">
        <f>_xlfn.RANK.AVG(manu_pmi!G34,manu_pmi!$B34:$S34,1)</f>
        <v>12</v>
      </c>
      <c r="H34" s="1">
        <f>_xlfn.RANK.AVG(manu_pmi!H34,manu_pmi!$B34:$S34,1)</f>
        <v>1</v>
      </c>
      <c r="I34" s="1">
        <f>_xlfn.RANK.AVG(manu_pmi!I34,manu_pmi!$B34:$S34,1)</f>
        <v>17</v>
      </c>
      <c r="J34" s="1">
        <f>_xlfn.RANK.AVG(manu_pmi!J34,manu_pmi!$B34:$S34,1)</f>
        <v>15</v>
      </c>
      <c r="K34" s="1">
        <f>_xlfn.RANK.AVG(manu_pmi!K34,manu_pmi!$B34:$S34,1)</f>
        <v>18</v>
      </c>
      <c r="L34" s="1">
        <f>_xlfn.RANK.AVG(manu_pmi!L34,manu_pmi!$B34:$S34,1)</f>
        <v>5</v>
      </c>
      <c r="M34" s="1">
        <f>_xlfn.RANK.AVG(manu_pmi!M34,manu_pmi!$B34:$S34,1)</f>
        <v>8.5</v>
      </c>
      <c r="N34" s="1">
        <f>_xlfn.RANK.AVG(manu_pmi!N34,manu_pmi!$B34:$S34,1)</f>
        <v>16</v>
      </c>
      <c r="O34" s="1">
        <f>_xlfn.RANK.AVG(manu_pmi!O34,manu_pmi!$B34:$S34,1)</f>
        <v>8.5</v>
      </c>
      <c r="P34" s="1">
        <f>_xlfn.RANK.AVG(manu_pmi!P34,manu_pmi!$B34:$S34,1)</f>
        <v>4</v>
      </c>
      <c r="Q34" s="1">
        <f>_xlfn.RANK.AVG(manu_pmi!Q34,manu_pmi!$B34:$S34,1)</f>
        <v>2</v>
      </c>
      <c r="R34" s="1">
        <f>_xlfn.RANK.AVG(manu_pmi!R34,manu_pmi!$B34:$S34,1)</f>
        <v>13</v>
      </c>
      <c r="S34" s="1">
        <f>_xlfn.RANK.AVG(manu_pmi!S34,manu_pmi!$B34:$S34,1)</f>
        <v>3</v>
      </c>
    </row>
    <row r="35" spans="1:19" ht="18" customHeight="1" x14ac:dyDescent="0.25">
      <c r="A35" s="5">
        <v>44835</v>
      </c>
      <c r="B35" s="1">
        <f>_xlfn.RANK.AVG(manu_pmi!B35,manu_pmi!$B35:$S35,1)</f>
        <v>18</v>
      </c>
      <c r="C35" s="1">
        <f>_xlfn.RANK.AVG(manu_pmi!C35,manu_pmi!$B35:$S35,1)</f>
        <v>7</v>
      </c>
      <c r="D35" s="1">
        <f>_xlfn.RANK.AVG(manu_pmi!D35,manu_pmi!$B35:$S35,1)</f>
        <v>9</v>
      </c>
      <c r="E35" s="1">
        <f>_xlfn.RANK.AVG(manu_pmi!E35,manu_pmi!$B35:$S35,1)</f>
        <v>11</v>
      </c>
      <c r="F35" s="1">
        <f>_xlfn.RANK.AVG(manu_pmi!F35,manu_pmi!$B35:$S35,1)</f>
        <v>6</v>
      </c>
      <c r="G35" s="1">
        <f>_xlfn.RANK.AVG(manu_pmi!G35,manu_pmi!$B35:$S35,1)</f>
        <v>10</v>
      </c>
      <c r="H35" s="1">
        <f>_xlfn.RANK.AVG(manu_pmi!H35,manu_pmi!$B35:$S35,1)</f>
        <v>1</v>
      </c>
      <c r="I35" s="1">
        <f>_xlfn.RANK.AVG(manu_pmi!I35,manu_pmi!$B35:$S35,1)</f>
        <v>16</v>
      </c>
      <c r="J35" s="1">
        <f>_xlfn.RANK.AVG(manu_pmi!J35,manu_pmi!$B35:$S35,1)</f>
        <v>13</v>
      </c>
      <c r="K35" s="1">
        <f>_xlfn.RANK.AVG(manu_pmi!K35,manu_pmi!$B35:$S35,1)</f>
        <v>17</v>
      </c>
      <c r="L35" s="1">
        <f>_xlfn.RANK.AVG(manu_pmi!L35,manu_pmi!$B35:$S35,1)</f>
        <v>3</v>
      </c>
      <c r="M35" s="1">
        <f>_xlfn.RANK.AVG(manu_pmi!M35,manu_pmi!$B35:$S35,1)</f>
        <v>15</v>
      </c>
      <c r="N35" s="1">
        <f>_xlfn.RANK.AVG(manu_pmi!N35,manu_pmi!$B35:$S35,1)</f>
        <v>12</v>
      </c>
      <c r="O35" s="1">
        <f>_xlfn.RANK.AVG(manu_pmi!O35,manu_pmi!$B35:$S35,1)</f>
        <v>8</v>
      </c>
      <c r="P35" s="1">
        <f>_xlfn.RANK.AVG(manu_pmi!P35,manu_pmi!$B35:$S35,1)</f>
        <v>5</v>
      </c>
      <c r="Q35" s="1">
        <f>_xlfn.RANK.AVG(manu_pmi!Q35,manu_pmi!$B35:$S35,1)</f>
        <v>4</v>
      </c>
      <c r="R35" s="1">
        <f>_xlfn.RANK.AVG(manu_pmi!R35,manu_pmi!$B35:$S35,1)</f>
        <v>14</v>
      </c>
      <c r="S35" s="1">
        <f>_xlfn.RANK.AVG(manu_pmi!S35,manu_pmi!$B35:$S35,1)</f>
        <v>2</v>
      </c>
    </row>
    <row r="36" spans="1:19" ht="18" customHeight="1" x14ac:dyDescent="0.25">
      <c r="A36" s="5">
        <v>44866</v>
      </c>
      <c r="B36" s="1">
        <f>_xlfn.RANK.AVG(manu_pmi!B36,manu_pmi!$B36:$S36,1)</f>
        <v>18</v>
      </c>
      <c r="C36" s="1">
        <f>_xlfn.RANK.AVG(manu_pmi!C36,manu_pmi!$B36:$S36,1)</f>
        <v>7</v>
      </c>
      <c r="D36" s="1">
        <f>_xlfn.RANK.AVG(manu_pmi!D36,manu_pmi!$B36:$S36,1)</f>
        <v>9</v>
      </c>
      <c r="E36" s="1">
        <f>_xlfn.RANK.AVG(manu_pmi!E36,manu_pmi!$B36:$S36,1)</f>
        <v>12</v>
      </c>
      <c r="F36" s="1">
        <f>_xlfn.RANK.AVG(manu_pmi!F36,manu_pmi!$B36:$S36,1)</f>
        <v>5</v>
      </c>
      <c r="G36" s="1">
        <f>_xlfn.RANK.AVG(manu_pmi!G36,manu_pmi!$B36:$S36,1)</f>
        <v>10</v>
      </c>
      <c r="H36" s="1">
        <f>_xlfn.RANK.AVG(manu_pmi!H36,manu_pmi!$B36:$S36,1)</f>
        <v>6</v>
      </c>
      <c r="I36" s="1">
        <f>_xlfn.RANK.AVG(manu_pmi!I36,manu_pmi!$B36:$S36,1)</f>
        <v>11</v>
      </c>
      <c r="J36" s="1">
        <f>_xlfn.RANK.AVG(manu_pmi!J36,manu_pmi!$B36:$S36,1)</f>
        <v>15</v>
      </c>
      <c r="K36" s="1">
        <f>_xlfn.RANK.AVG(manu_pmi!K36,manu_pmi!$B36:$S36,1)</f>
        <v>17</v>
      </c>
      <c r="L36" s="1">
        <f>_xlfn.RANK.AVG(manu_pmi!L36,manu_pmi!$B36:$S36,1)</f>
        <v>3</v>
      </c>
      <c r="M36" s="1">
        <f>_xlfn.RANK.AVG(manu_pmi!M36,manu_pmi!$B36:$S36,1)</f>
        <v>14</v>
      </c>
      <c r="N36" s="1">
        <f>_xlfn.RANK.AVG(manu_pmi!N36,manu_pmi!$B36:$S36,1)</f>
        <v>8</v>
      </c>
      <c r="O36" s="1">
        <f>_xlfn.RANK.AVG(manu_pmi!O36,manu_pmi!$B36:$S36,1)</f>
        <v>16</v>
      </c>
      <c r="P36" s="1">
        <f>_xlfn.RANK.AVG(manu_pmi!P36,manu_pmi!$B36:$S36,1)</f>
        <v>1</v>
      </c>
      <c r="Q36" s="1">
        <f>_xlfn.RANK.AVG(manu_pmi!Q36,manu_pmi!$B36:$S36,1)</f>
        <v>4</v>
      </c>
      <c r="R36" s="1">
        <f>_xlfn.RANK.AVG(manu_pmi!R36,manu_pmi!$B36:$S36,1)</f>
        <v>13</v>
      </c>
      <c r="S36" s="1">
        <f>_xlfn.RANK.AVG(manu_pmi!S36,manu_pmi!$B36:$S36,1)</f>
        <v>2</v>
      </c>
    </row>
    <row r="37" spans="1:19" ht="18" customHeight="1" x14ac:dyDescent="0.25">
      <c r="A37" s="5">
        <v>44896</v>
      </c>
      <c r="B37" s="1">
        <v>8</v>
      </c>
      <c r="C37" s="1">
        <v>3</v>
      </c>
      <c r="D37" s="1">
        <v>9</v>
      </c>
      <c r="E37" s="1">
        <v>6</v>
      </c>
      <c r="F37" s="1">
        <v>2</v>
      </c>
      <c r="G37" s="1">
        <v>11</v>
      </c>
      <c r="H37" s="1">
        <v>7</v>
      </c>
      <c r="I37" s="1">
        <v>10</v>
      </c>
      <c r="J37" s="1">
        <v>13</v>
      </c>
      <c r="K37" s="1">
        <v>15</v>
      </c>
      <c r="L37" s="1">
        <v>4</v>
      </c>
      <c r="M37" s="1">
        <v>17</v>
      </c>
      <c r="N37" s="1">
        <v>5</v>
      </c>
      <c r="O37" s="1">
        <v>18</v>
      </c>
      <c r="P37" s="1">
        <v>15</v>
      </c>
      <c r="Q37" s="1">
        <v>15</v>
      </c>
      <c r="R37" s="1">
        <v>12</v>
      </c>
      <c r="S37" s="1">
        <v>1</v>
      </c>
    </row>
    <row r="38" spans="1:19" ht="18" customHeight="1" x14ac:dyDescent="0.25">
      <c r="A38" s="5">
        <v>44927</v>
      </c>
      <c r="B38" s="1">
        <v>5</v>
      </c>
      <c r="C38" s="1">
        <v>11</v>
      </c>
      <c r="D38" s="1">
        <v>15</v>
      </c>
      <c r="E38" s="1">
        <v>7</v>
      </c>
      <c r="F38" s="1">
        <v>10</v>
      </c>
      <c r="G38" s="1">
        <v>13</v>
      </c>
      <c r="H38" s="1">
        <v>4</v>
      </c>
      <c r="I38" s="1">
        <v>12</v>
      </c>
      <c r="J38" s="1">
        <v>18</v>
      </c>
      <c r="K38" s="1">
        <v>9</v>
      </c>
      <c r="L38" s="1">
        <v>3</v>
      </c>
      <c r="M38" s="1">
        <v>14</v>
      </c>
      <c r="N38" s="1">
        <v>6</v>
      </c>
      <c r="O38" s="1">
        <v>8</v>
      </c>
      <c r="P38" s="1">
        <v>2</v>
      </c>
      <c r="Q38" s="1">
        <v>16</v>
      </c>
      <c r="R38" s="1">
        <v>17</v>
      </c>
      <c r="S38" s="1">
        <v>1</v>
      </c>
    </row>
    <row r="39" spans="1:19" ht="18" customHeight="1" x14ac:dyDescent="0.25">
      <c r="A39" s="5">
        <v>44958</v>
      </c>
      <c r="B39" s="1">
        <v>18</v>
      </c>
      <c r="C39" s="1">
        <v>9</v>
      </c>
      <c r="D39" s="1">
        <v>11</v>
      </c>
      <c r="E39" s="1">
        <v>15</v>
      </c>
      <c r="F39" s="1">
        <v>12</v>
      </c>
      <c r="G39" s="1">
        <v>8</v>
      </c>
      <c r="H39" s="1">
        <v>5</v>
      </c>
      <c r="I39" s="1">
        <v>13</v>
      </c>
      <c r="J39" s="1">
        <v>14</v>
      </c>
      <c r="K39" s="1">
        <v>6</v>
      </c>
      <c r="L39" s="1">
        <v>2</v>
      </c>
      <c r="M39" s="1">
        <v>16</v>
      </c>
      <c r="N39" s="1">
        <v>7</v>
      </c>
      <c r="O39" s="1">
        <v>10</v>
      </c>
      <c r="P39" s="1">
        <v>1</v>
      </c>
      <c r="Q39" s="1">
        <v>4</v>
      </c>
      <c r="R39" s="1">
        <v>17</v>
      </c>
      <c r="S39" s="1">
        <v>3</v>
      </c>
    </row>
    <row r="40" spans="1:19" ht="18" customHeight="1" x14ac:dyDescent="0.25">
      <c r="A40" s="5">
        <v>44986</v>
      </c>
      <c r="B40" s="1">
        <v>8</v>
      </c>
      <c r="C40" s="1">
        <v>9</v>
      </c>
      <c r="D40" s="1">
        <v>10</v>
      </c>
      <c r="E40" s="1">
        <v>11</v>
      </c>
      <c r="F40" s="1">
        <v>16</v>
      </c>
      <c r="G40" s="1">
        <v>7</v>
      </c>
      <c r="H40" s="1">
        <v>1</v>
      </c>
      <c r="I40" s="1">
        <v>13</v>
      </c>
      <c r="J40" s="1">
        <v>17</v>
      </c>
      <c r="K40" s="1">
        <v>2</v>
      </c>
      <c r="L40" s="1">
        <v>5</v>
      </c>
      <c r="M40" s="1">
        <v>15</v>
      </c>
      <c r="N40" s="1">
        <v>4</v>
      </c>
      <c r="O40" s="1">
        <v>14</v>
      </c>
      <c r="P40" s="1">
        <v>18</v>
      </c>
      <c r="Q40" s="1">
        <v>3</v>
      </c>
      <c r="R40" s="1">
        <v>12</v>
      </c>
      <c r="S40" s="1">
        <v>6</v>
      </c>
    </row>
    <row r="41" spans="1:19" ht="18" customHeight="1" x14ac:dyDescent="0.25">
      <c r="A41" s="5">
        <v>45017</v>
      </c>
      <c r="B41" s="1">
        <v>17</v>
      </c>
      <c r="C41" s="1">
        <v>6</v>
      </c>
      <c r="D41" s="1">
        <v>9</v>
      </c>
      <c r="E41" s="1">
        <v>4</v>
      </c>
      <c r="F41" s="1">
        <v>15</v>
      </c>
      <c r="G41" s="1">
        <v>10</v>
      </c>
      <c r="H41" s="1">
        <v>1</v>
      </c>
      <c r="I41" s="1">
        <v>7</v>
      </c>
      <c r="J41" s="1">
        <v>11</v>
      </c>
      <c r="K41" s="1">
        <v>3</v>
      </c>
      <c r="L41" s="1">
        <v>12.5</v>
      </c>
      <c r="M41" s="1">
        <v>16</v>
      </c>
      <c r="N41" s="1">
        <v>5</v>
      </c>
      <c r="O41" s="1">
        <v>8</v>
      </c>
      <c r="P41" s="1">
        <v>18</v>
      </c>
      <c r="Q41" s="1">
        <v>12.5</v>
      </c>
      <c r="R41" s="1">
        <v>14</v>
      </c>
      <c r="S41" s="1">
        <v>2</v>
      </c>
    </row>
    <row r="42" spans="1:19" ht="18" customHeight="1" x14ac:dyDescent="0.25">
      <c r="A42" s="5">
        <v>45047</v>
      </c>
      <c r="B42" s="1">
        <v>3</v>
      </c>
      <c r="C42" s="1">
        <v>8</v>
      </c>
      <c r="D42" s="1">
        <v>10</v>
      </c>
      <c r="E42" s="1">
        <v>11</v>
      </c>
      <c r="F42" s="1">
        <v>15</v>
      </c>
      <c r="G42" s="1">
        <v>9</v>
      </c>
      <c r="H42" s="1">
        <v>17</v>
      </c>
      <c r="I42" s="1">
        <v>13</v>
      </c>
      <c r="J42" s="1">
        <v>14</v>
      </c>
      <c r="K42" s="1">
        <v>18</v>
      </c>
      <c r="L42" s="1">
        <v>5</v>
      </c>
      <c r="M42" s="1">
        <v>7</v>
      </c>
      <c r="N42" s="1">
        <v>12</v>
      </c>
      <c r="O42" s="1">
        <v>2</v>
      </c>
      <c r="P42" s="1">
        <v>6</v>
      </c>
      <c r="Q42" s="1">
        <v>4</v>
      </c>
      <c r="R42" s="1">
        <v>16</v>
      </c>
      <c r="S42" s="1">
        <v>1</v>
      </c>
    </row>
    <row r="43" spans="1:19" ht="18" customHeight="1" x14ac:dyDescent="0.25">
      <c r="A43" s="5">
        <v>45078</v>
      </c>
      <c r="B43" s="1">
        <v>13</v>
      </c>
      <c r="C43" s="1">
        <v>4</v>
      </c>
      <c r="D43" s="1">
        <v>7</v>
      </c>
      <c r="E43" s="1">
        <v>6</v>
      </c>
      <c r="F43" s="1">
        <v>9</v>
      </c>
      <c r="G43" s="1">
        <v>10</v>
      </c>
      <c r="H43" s="1">
        <v>13</v>
      </c>
      <c r="I43" s="1">
        <v>11</v>
      </c>
      <c r="J43" s="1">
        <v>5</v>
      </c>
      <c r="K43" s="1">
        <v>17</v>
      </c>
      <c r="L43" s="1">
        <v>8</v>
      </c>
      <c r="M43" s="1">
        <v>13</v>
      </c>
      <c r="N43" s="1">
        <v>1</v>
      </c>
      <c r="O43" s="1">
        <v>16</v>
      </c>
      <c r="P43" s="1">
        <v>18</v>
      </c>
      <c r="Q43" s="1">
        <v>3</v>
      </c>
      <c r="R43" s="1">
        <v>15</v>
      </c>
      <c r="S43" s="1">
        <v>2</v>
      </c>
    </row>
    <row r="44" spans="1:19" ht="18" customHeight="1" x14ac:dyDescent="0.25">
      <c r="A44" s="5">
        <v>45108</v>
      </c>
      <c r="B44" s="1">
        <v>1</v>
      </c>
      <c r="C44" s="1">
        <v>7</v>
      </c>
      <c r="D44" s="1">
        <v>6</v>
      </c>
      <c r="E44" s="1">
        <v>10</v>
      </c>
      <c r="F44" s="1">
        <v>13</v>
      </c>
      <c r="G44" s="1">
        <v>9</v>
      </c>
      <c r="H44" s="1">
        <v>17</v>
      </c>
      <c r="I44" s="1">
        <v>16</v>
      </c>
      <c r="J44" s="1">
        <v>12</v>
      </c>
      <c r="K44" s="1">
        <v>15</v>
      </c>
      <c r="L44" s="1">
        <v>3</v>
      </c>
      <c r="M44" s="1">
        <v>18</v>
      </c>
      <c r="N44" s="1">
        <v>2</v>
      </c>
      <c r="O44" s="1">
        <v>8</v>
      </c>
      <c r="P44" s="1">
        <v>11</v>
      </c>
      <c r="Q44" s="1">
        <v>4</v>
      </c>
      <c r="R44" s="1">
        <v>14</v>
      </c>
      <c r="S44" s="1">
        <v>5</v>
      </c>
    </row>
    <row r="45" spans="1:19" ht="18" customHeight="1" x14ac:dyDescent="0.25">
      <c r="A45" s="5">
        <v>45139</v>
      </c>
      <c r="B45" s="1">
        <v>1</v>
      </c>
      <c r="C45" s="1">
        <v>8</v>
      </c>
      <c r="D45" s="1">
        <v>9</v>
      </c>
      <c r="E45" s="1">
        <v>7</v>
      </c>
      <c r="F45" s="1">
        <v>5</v>
      </c>
      <c r="G45" s="1">
        <v>16</v>
      </c>
      <c r="H45" s="1">
        <v>2</v>
      </c>
      <c r="I45" s="1">
        <v>13</v>
      </c>
      <c r="J45" s="1">
        <v>14</v>
      </c>
      <c r="K45" s="1">
        <v>12</v>
      </c>
      <c r="L45" s="1">
        <v>10</v>
      </c>
      <c r="M45" s="1">
        <v>15</v>
      </c>
      <c r="N45" s="1">
        <v>3</v>
      </c>
      <c r="O45" s="1">
        <v>4</v>
      </c>
      <c r="P45" s="1">
        <v>18</v>
      </c>
      <c r="Q45" s="1">
        <v>6</v>
      </c>
      <c r="R45" s="1">
        <v>17</v>
      </c>
      <c r="S45" s="1">
        <v>11</v>
      </c>
    </row>
    <row r="46" spans="1:19" ht="18" customHeight="1" x14ac:dyDescent="0.25">
      <c r="A46" s="5">
        <v>45170</v>
      </c>
      <c r="B46" s="1">
        <v>12.5</v>
      </c>
      <c r="C46" s="1">
        <v>10</v>
      </c>
      <c r="D46" s="1">
        <v>7</v>
      </c>
      <c r="E46" s="1">
        <v>9</v>
      </c>
      <c r="F46" s="1">
        <v>5</v>
      </c>
      <c r="G46" s="1">
        <v>17</v>
      </c>
      <c r="H46" s="1">
        <v>2</v>
      </c>
      <c r="I46" s="1">
        <v>8</v>
      </c>
      <c r="J46" s="1">
        <v>12.5</v>
      </c>
      <c r="K46" s="1">
        <v>18</v>
      </c>
      <c r="L46" s="1">
        <v>4</v>
      </c>
      <c r="M46" s="1">
        <v>14</v>
      </c>
      <c r="N46" s="1">
        <v>3</v>
      </c>
      <c r="O46" s="1">
        <v>15</v>
      </c>
      <c r="P46" s="1">
        <v>1</v>
      </c>
      <c r="Q46" s="1">
        <v>16</v>
      </c>
      <c r="R46" s="1">
        <v>11</v>
      </c>
      <c r="S46" s="1">
        <v>6</v>
      </c>
    </row>
    <row r="47" spans="1:19" ht="18" customHeight="1" x14ac:dyDescent="0.25">
      <c r="A47" s="5">
        <v>45200</v>
      </c>
      <c r="B47" s="1">
        <v>15</v>
      </c>
      <c r="C47" s="1">
        <v>12</v>
      </c>
      <c r="D47" s="1">
        <v>7</v>
      </c>
      <c r="E47" s="1">
        <v>3</v>
      </c>
      <c r="F47" s="1">
        <v>5</v>
      </c>
      <c r="G47" s="1">
        <v>18</v>
      </c>
      <c r="H47" s="1">
        <v>8</v>
      </c>
      <c r="I47" s="1">
        <v>4</v>
      </c>
      <c r="J47" s="1">
        <v>10</v>
      </c>
      <c r="K47" s="1">
        <v>15</v>
      </c>
      <c r="L47" s="1">
        <v>9</v>
      </c>
      <c r="M47" s="1">
        <v>15</v>
      </c>
      <c r="N47" s="1">
        <v>17</v>
      </c>
      <c r="O47" s="1">
        <v>11</v>
      </c>
      <c r="P47" s="1">
        <v>1</v>
      </c>
      <c r="Q47" s="1">
        <v>2</v>
      </c>
      <c r="R47" s="1">
        <v>13</v>
      </c>
      <c r="S47" s="1">
        <v>6</v>
      </c>
    </row>
    <row r="48" spans="1:19" ht="18" customHeight="1" x14ac:dyDescent="0.25">
      <c r="A48" s="5">
        <v>45231</v>
      </c>
      <c r="B48" s="1">
        <v>5</v>
      </c>
      <c r="C48" s="1">
        <v>11</v>
      </c>
      <c r="D48" s="1">
        <v>4</v>
      </c>
      <c r="E48" s="1">
        <v>3</v>
      </c>
      <c r="F48" s="1">
        <v>12</v>
      </c>
      <c r="G48" s="1">
        <v>18</v>
      </c>
      <c r="H48" s="1">
        <v>9</v>
      </c>
      <c r="I48" s="1">
        <v>7</v>
      </c>
      <c r="J48" s="1">
        <v>10</v>
      </c>
      <c r="K48" s="1">
        <v>17</v>
      </c>
      <c r="L48" s="1">
        <v>1</v>
      </c>
      <c r="M48" s="1">
        <v>15</v>
      </c>
      <c r="N48" s="1">
        <v>14</v>
      </c>
      <c r="O48" s="1">
        <v>8</v>
      </c>
      <c r="P48" s="1">
        <v>2</v>
      </c>
      <c r="Q48" s="1">
        <v>6</v>
      </c>
      <c r="R48" s="1">
        <v>16</v>
      </c>
      <c r="S48" s="1">
        <v>13</v>
      </c>
    </row>
    <row r="49" spans="1:19" ht="18" customHeight="1" x14ac:dyDescent="0.25">
      <c r="A49" s="5">
        <v>45261</v>
      </c>
      <c r="B49" s="1">
        <v>2</v>
      </c>
      <c r="C49" s="1">
        <v>16</v>
      </c>
      <c r="D49" s="1">
        <v>11</v>
      </c>
      <c r="E49" s="1">
        <v>14</v>
      </c>
      <c r="F49" s="1">
        <v>10</v>
      </c>
      <c r="G49" s="1">
        <v>17</v>
      </c>
      <c r="H49" s="1">
        <v>13</v>
      </c>
      <c r="I49" s="1">
        <v>4</v>
      </c>
      <c r="J49" s="1">
        <v>12</v>
      </c>
      <c r="K49" s="1">
        <v>5</v>
      </c>
      <c r="L49" s="1">
        <v>8</v>
      </c>
      <c r="M49" s="1">
        <v>7</v>
      </c>
      <c r="N49" s="1">
        <v>3</v>
      </c>
      <c r="O49" s="1">
        <v>18</v>
      </c>
      <c r="P49" s="1">
        <v>1</v>
      </c>
      <c r="Q49" s="1">
        <v>6</v>
      </c>
      <c r="R49" s="1">
        <v>15</v>
      </c>
      <c r="S49" s="1">
        <v>9</v>
      </c>
    </row>
    <row r="50" spans="1:19" ht="18" customHeight="1" x14ac:dyDescent="0.25">
      <c r="A50" s="5">
        <v>45292</v>
      </c>
      <c r="B50" s="1">
        <v>18</v>
      </c>
      <c r="C50" s="1">
        <v>15</v>
      </c>
      <c r="D50" s="1">
        <v>6</v>
      </c>
      <c r="E50" s="1">
        <v>10</v>
      </c>
      <c r="F50" s="1">
        <v>7</v>
      </c>
      <c r="G50" s="1">
        <v>9</v>
      </c>
      <c r="H50" s="1">
        <v>5</v>
      </c>
      <c r="I50" s="1">
        <v>2</v>
      </c>
      <c r="J50" s="1">
        <v>12</v>
      </c>
      <c r="K50" s="1">
        <v>4</v>
      </c>
      <c r="L50" s="1">
        <v>11</v>
      </c>
      <c r="M50" s="1">
        <v>8</v>
      </c>
      <c r="N50" s="1">
        <v>3</v>
      </c>
      <c r="O50" s="1">
        <v>13</v>
      </c>
      <c r="P50" s="1">
        <v>14</v>
      </c>
      <c r="Q50" s="1">
        <v>17</v>
      </c>
      <c r="R50" s="1">
        <v>16</v>
      </c>
      <c r="S50" s="1">
        <v>1</v>
      </c>
    </row>
    <row r="51" spans="1:19" ht="18" customHeight="1" x14ac:dyDescent="0.25">
      <c r="A51" s="5">
        <v>45323</v>
      </c>
      <c r="B51" s="1">
        <v>18</v>
      </c>
      <c r="C51" s="1">
        <v>13</v>
      </c>
      <c r="D51" s="1">
        <v>4</v>
      </c>
      <c r="E51" s="1">
        <v>7</v>
      </c>
      <c r="F51" s="1">
        <v>14</v>
      </c>
      <c r="G51" s="1">
        <v>5</v>
      </c>
      <c r="H51" s="1">
        <v>1</v>
      </c>
      <c r="I51" s="1">
        <v>2</v>
      </c>
      <c r="J51" s="1">
        <v>12</v>
      </c>
      <c r="K51" s="1">
        <v>17</v>
      </c>
      <c r="L51" s="1">
        <v>6</v>
      </c>
      <c r="M51" s="1">
        <v>9</v>
      </c>
      <c r="N51" s="1">
        <v>15</v>
      </c>
      <c r="O51" s="1">
        <v>16</v>
      </c>
      <c r="P51" s="1">
        <v>9</v>
      </c>
      <c r="Q51" s="1">
        <v>9</v>
      </c>
      <c r="R51" s="1">
        <v>11</v>
      </c>
      <c r="S51" s="1">
        <v>3</v>
      </c>
    </row>
    <row r="52" spans="1:19" ht="18" customHeight="1" x14ac:dyDescent="0.25">
      <c r="A52" s="5">
        <v>45352</v>
      </c>
      <c r="B52" s="1">
        <v>8</v>
      </c>
      <c r="C52" s="1">
        <v>11</v>
      </c>
      <c r="D52" s="1">
        <v>5</v>
      </c>
      <c r="E52" s="1">
        <v>3</v>
      </c>
      <c r="F52" s="1">
        <v>12</v>
      </c>
      <c r="G52" s="1">
        <v>13</v>
      </c>
      <c r="H52" s="1">
        <v>1</v>
      </c>
      <c r="I52" s="1">
        <v>4</v>
      </c>
      <c r="J52" s="1">
        <v>6</v>
      </c>
      <c r="K52" s="1">
        <v>17</v>
      </c>
      <c r="L52" s="1">
        <v>16</v>
      </c>
      <c r="M52" s="1">
        <v>15</v>
      </c>
      <c r="N52" s="1">
        <v>2</v>
      </c>
      <c r="O52" s="1">
        <v>14</v>
      </c>
      <c r="P52" s="1">
        <v>8</v>
      </c>
      <c r="Q52" s="1">
        <v>18</v>
      </c>
      <c r="R52" s="1">
        <v>10</v>
      </c>
      <c r="S52" s="1">
        <v>8</v>
      </c>
    </row>
    <row r="53" spans="1:19" ht="18" customHeight="1" x14ac:dyDescent="0.25">
      <c r="A53" s="5">
        <v>45383</v>
      </c>
      <c r="B53" s="1">
        <v>8.5</v>
      </c>
      <c r="C53" s="1">
        <v>11</v>
      </c>
      <c r="D53" s="1">
        <v>8.5</v>
      </c>
      <c r="E53" s="1">
        <v>14</v>
      </c>
      <c r="F53" s="1">
        <v>6</v>
      </c>
      <c r="G53" s="1">
        <v>5</v>
      </c>
      <c r="H53" s="1">
        <v>3</v>
      </c>
      <c r="I53" s="1">
        <v>2</v>
      </c>
      <c r="J53" s="1">
        <v>1</v>
      </c>
      <c r="K53" s="1">
        <v>18</v>
      </c>
      <c r="L53" s="1">
        <v>7</v>
      </c>
      <c r="M53" s="1">
        <v>13</v>
      </c>
      <c r="N53" s="1">
        <v>10</v>
      </c>
      <c r="O53" s="1">
        <v>16</v>
      </c>
      <c r="P53" s="1">
        <v>17</v>
      </c>
      <c r="Q53" s="1">
        <v>15</v>
      </c>
      <c r="R53" s="1">
        <v>12</v>
      </c>
      <c r="S53" s="1">
        <v>4</v>
      </c>
    </row>
    <row r="54" spans="1:19" ht="18" customHeight="1" x14ac:dyDescent="0.25">
      <c r="A54" s="5">
        <v>45413</v>
      </c>
      <c r="B54" s="1">
        <v>9.5</v>
      </c>
      <c r="C54" s="1">
        <v>12</v>
      </c>
      <c r="D54" s="1">
        <v>4</v>
      </c>
      <c r="E54" s="1">
        <v>9.5</v>
      </c>
      <c r="F54" s="1">
        <v>13</v>
      </c>
      <c r="G54" s="1">
        <v>7</v>
      </c>
      <c r="H54" s="1">
        <v>5</v>
      </c>
      <c r="I54" s="1">
        <v>3</v>
      </c>
      <c r="J54" s="1">
        <v>9.5</v>
      </c>
      <c r="K54" s="1">
        <v>9.5</v>
      </c>
      <c r="L54" s="1">
        <v>16</v>
      </c>
      <c r="M54" s="1">
        <v>17</v>
      </c>
      <c r="N54" s="1">
        <v>2</v>
      </c>
      <c r="O54" s="1">
        <v>14</v>
      </c>
      <c r="P54" s="1">
        <v>18</v>
      </c>
      <c r="Q54" s="1">
        <v>15</v>
      </c>
      <c r="R54" s="1">
        <v>6</v>
      </c>
      <c r="S54" s="1">
        <v>1</v>
      </c>
    </row>
    <row r="55" spans="1:19" ht="18" customHeight="1" x14ac:dyDescent="0.25">
      <c r="A55" s="5">
        <v>45444</v>
      </c>
      <c r="B55" s="1">
        <v>10</v>
      </c>
      <c r="C55" s="1">
        <v>13</v>
      </c>
      <c r="D55" s="1">
        <v>9</v>
      </c>
      <c r="E55" s="1">
        <v>8</v>
      </c>
      <c r="F55" s="1">
        <v>3</v>
      </c>
      <c r="G55" s="1">
        <v>7</v>
      </c>
      <c r="H55" s="1">
        <v>15</v>
      </c>
      <c r="I55" s="1">
        <v>2</v>
      </c>
      <c r="J55" s="1">
        <v>12</v>
      </c>
      <c r="K55" s="1">
        <v>11</v>
      </c>
      <c r="L55" s="1">
        <v>14</v>
      </c>
      <c r="M55" s="1">
        <v>17</v>
      </c>
      <c r="N55" s="1">
        <v>6</v>
      </c>
      <c r="O55" s="1">
        <v>16</v>
      </c>
      <c r="P55" s="1">
        <v>18</v>
      </c>
      <c r="Q55" s="1">
        <v>1</v>
      </c>
      <c r="R55" s="1">
        <v>5</v>
      </c>
      <c r="S55" s="1">
        <v>4</v>
      </c>
    </row>
    <row r="56" spans="1:19" ht="18" customHeight="1" x14ac:dyDescent="0.25">
      <c r="A56" s="5">
        <v>45474</v>
      </c>
      <c r="B56" s="1">
        <v>12.5</v>
      </c>
      <c r="C56" s="1">
        <v>10</v>
      </c>
      <c r="D56" s="1">
        <v>11</v>
      </c>
      <c r="E56" s="1">
        <v>4</v>
      </c>
      <c r="F56" s="1">
        <v>6</v>
      </c>
      <c r="G56" s="1">
        <v>7</v>
      </c>
      <c r="H56" s="1">
        <v>15</v>
      </c>
      <c r="I56" s="1">
        <v>3</v>
      </c>
      <c r="J56" s="1">
        <v>16</v>
      </c>
      <c r="K56" s="1">
        <v>14</v>
      </c>
      <c r="L56" s="1">
        <v>9</v>
      </c>
      <c r="M56" s="1">
        <v>17</v>
      </c>
      <c r="N56" s="1">
        <v>2</v>
      </c>
      <c r="O56" s="1">
        <v>1</v>
      </c>
      <c r="P56" s="1">
        <v>18</v>
      </c>
      <c r="Q56" s="1">
        <v>12.5</v>
      </c>
      <c r="R56" s="1">
        <v>5</v>
      </c>
      <c r="S56" s="1">
        <v>8</v>
      </c>
    </row>
    <row r="57" spans="1:19" ht="18" customHeight="1" x14ac:dyDescent="0.25">
      <c r="A57" s="5">
        <v>45505</v>
      </c>
      <c r="B57" s="1">
        <v>13</v>
      </c>
      <c r="C57" s="1">
        <v>11</v>
      </c>
      <c r="D57" s="1">
        <v>14</v>
      </c>
      <c r="E57" s="1">
        <v>5</v>
      </c>
      <c r="F57" s="1">
        <v>6</v>
      </c>
      <c r="G57" s="1">
        <v>15</v>
      </c>
      <c r="H57" s="1">
        <v>16</v>
      </c>
      <c r="I57" s="1">
        <v>9</v>
      </c>
      <c r="J57" s="1">
        <v>12</v>
      </c>
      <c r="K57" s="1">
        <v>3</v>
      </c>
      <c r="L57" s="1">
        <v>10</v>
      </c>
      <c r="M57" s="1">
        <v>17</v>
      </c>
      <c r="N57" s="1">
        <v>4</v>
      </c>
      <c r="O57" s="1">
        <v>18</v>
      </c>
      <c r="P57" s="1">
        <v>2</v>
      </c>
      <c r="Q57" s="1">
        <v>1</v>
      </c>
      <c r="R57" s="1">
        <v>7</v>
      </c>
      <c r="S57" s="1">
        <v>8</v>
      </c>
    </row>
    <row r="58" spans="1:19" ht="18" customHeight="1" x14ac:dyDescent="0.25">
      <c r="A58" s="5">
        <v>45536</v>
      </c>
      <c r="B58" s="1">
        <v>4</v>
      </c>
      <c r="C58" s="1">
        <v>11</v>
      </c>
      <c r="D58" s="1">
        <v>13</v>
      </c>
      <c r="E58" s="1">
        <v>8</v>
      </c>
      <c r="F58" s="1">
        <v>12</v>
      </c>
      <c r="G58" s="1">
        <v>17</v>
      </c>
      <c r="H58" s="1">
        <v>15</v>
      </c>
      <c r="I58" s="1">
        <v>10</v>
      </c>
      <c r="J58" s="1">
        <v>14</v>
      </c>
      <c r="K58" s="1">
        <v>7</v>
      </c>
      <c r="L58" s="1">
        <v>9</v>
      </c>
      <c r="M58" s="1">
        <v>18</v>
      </c>
      <c r="N58" s="1">
        <v>2</v>
      </c>
      <c r="O58" s="1">
        <v>5</v>
      </c>
      <c r="P58" s="1">
        <v>1</v>
      </c>
      <c r="Q58" s="1">
        <v>16</v>
      </c>
      <c r="R58" s="1">
        <v>6</v>
      </c>
      <c r="S58" s="1">
        <v>3</v>
      </c>
    </row>
    <row r="59" spans="1:19" ht="18" customHeight="1" x14ac:dyDescent="0.25">
      <c r="A59" s="5">
        <v>45566</v>
      </c>
      <c r="B59" s="1">
        <v>18</v>
      </c>
      <c r="C59" s="1">
        <v>4</v>
      </c>
      <c r="D59" s="1">
        <v>15</v>
      </c>
      <c r="E59" s="1">
        <v>5</v>
      </c>
      <c r="F59" s="1">
        <v>10</v>
      </c>
      <c r="G59" s="1">
        <v>17</v>
      </c>
      <c r="H59" s="1">
        <v>12.5</v>
      </c>
      <c r="I59" s="1">
        <v>6</v>
      </c>
      <c r="J59" s="1">
        <v>14</v>
      </c>
      <c r="K59" s="1">
        <v>8</v>
      </c>
      <c r="L59" s="1">
        <v>11</v>
      </c>
      <c r="M59" s="1">
        <v>16</v>
      </c>
      <c r="N59" s="1">
        <v>9</v>
      </c>
      <c r="O59" s="1">
        <v>7</v>
      </c>
      <c r="P59" s="1">
        <v>2</v>
      </c>
      <c r="Q59" s="1">
        <v>1</v>
      </c>
      <c r="R59" s="1">
        <v>3</v>
      </c>
      <c r="S59" s="1">
        <v>12.5</v>
      </c>
    </row>
    <row r="60" spans="1:19" ht="18" customHeight="1" x14ac:dyDescent="0.25">
      <c r="A60" s="5">
        <v>45597</v>
      </c>
      <c r="B60" s="1">
        <v>13.5</v>
      </c>
      <c r="C60" s="1">
        <v>3</v>
      </c>
      <c r="D60" s="1">
        <v>17</v>
      </c>
      <c r="E60" s="1">
        <v>16</v>
      </c>
      <c r="F60" s="1">
        <v>6</v>
      </c>
      <c r="G60" s="1">
        <v>18</v>
      </c>
      <c r="H60" s="1">
        <v>7</v>
      </c>
      <c r="I60" s="1">
        <v>8</v>
      </c>
      <c r="J60" s="1">
        <v>10</v>
      </c>
      <c r="K60" s="1">
        <v>9</v>
      </c>
      <c r="L60" s="1">
        <v>4</v>
      </c>
      <c r="M60" s="1">
        <v>13.5</v>
      </c>
      <c r="N60" s="1">
        <v>2</v>
      </c>
      <c r="O60" s="1">
        <v>11</v>
      </c>
      <c r="P60" s="1">
        <v>1</v>
      </c>
      <c r="Q60" s="1">
        <v>13.5</v>
      </c>
      <c r="R60" s="1">
        <v>5</v>
      </c>
      <c r="S60" s="1">
        <v>13.5</v>
      </c>
    </row>
    <row r="61" spans="1:19" ht="18" customHeight="1" x14ac:dyDescent="0.25">
      <c r="A61" s="5">
        <v>45627</v>
      </c>
      <c r="B61" s="1">
        <v>9.5</v>
      </c>
      <c r="C61" s="1">
        <v>5</v>
      </c>
      <c r="D61" s="1">
        <v>9.5</v>
      </c>
      <c r="E61" s="1">
        <v>17</v>
      </c>
      <c r="F61" s="1">
        <v>2</v>
      </c>
      <c r="G61" s="1">
        <v>9.5</v>
      </c>
      <c r="H61" s="1">
        <v>15</v>
      </c>
      <c r="I61" s="1">
        <v>4</v>
      </c>
      <c r="J61" s="1">
        <v>13</v>
      </c>
      <c r="K61" s="1">
        <v>7</v>
      </c>
      <c r="L61" s="1">
        <v>14</v>
      </c>
      <c r="M61" s="1">
        <v>9.5</v>
      </c>
      <c r="N61" s="1">
        <v>12</v>
      </c>
      <c r="O61" s="1">
        <v>18</v>
      </c>
      <c r="P61" s="1">
        <v>3</v>
      </c>
      <c r="Q61" s="1">
        <v>1</v>
      </c>
      <c r="R61" s="1">
        <v>6</v>
      </c>
      <c r="S61" s="1">
        <v>16</v>
      </c>
    </row>
    <row r="62" spans="1:19" ht="18" customHeight="1" x14ac:dyDescent="0.25">
      <c r="A62" s="5">
        <v>45658</v>
      </c>
      <c r="B62" s="1">
        <v>9.5</v>
      </c>
      <c r="C62" s="1">
        <v>15</v>
      </c>
      <c r="D62" s="1">
        <v>6</v>
      </c>
      <c r="E62" s="1">
        <v>11</v>
      </c>
      <c r="F62" s="1">
        <v>4</v>
      </c>
      <c r="G62" s="1">
        <v>8</v>
      </c>
      <c r="H62" s="1">
        <v>5</v>
      </c>
      <c r="I62" s="1">
        <v>14</v>
      </c>
      <c r="J62" s="1">
        <v>2</v>
      </c>
      <c r="K62" s="1">
        <v>1</v>
      </c>
      <c r="L62" s="1">
        <v>7</v>
      </c>
      <c r="M62" s="1">
        <v>16</v>
      </c>
      <c r="N62" s="1">
        <v>12</v>
      </c>
      <c r="O62" s="1">
        <v>17</v>
      </c>
      <c r="P62" s="1">
        <v>9.5</v>
      </c>
      <c r="Q62" s="1">
        <v>18</v>
      </c>
      <c r="R62" s="1">
        <v>13</v>
      </c>
      <c r="S62" s="1">
        <v>3</v>
      </c>
    </row>
    <row r="63" spans="1:19" ht="18" customHeight="1" x14ac:dyDescent="0.25">
      <c r="A63" s="5">
        <v>45689</v>
      </c>
      <c r="B63" s="1">
        <v>7</v>
      </c>
      <c r="C63" s="1">
        <v>12</v>
      </c>
      <c r="D63" s="1">
        <v>4</v>
      </c>
      <c r="E63" s="1">
        <v>13</v>
      </c>
      <c r="F63" s="1">
        <v>10</v>
      </c>
      <c r="G63" s="1">
        <v>14</v>
      </c>
      <c r="H63" s="1">
        <v>1</v>
      </c>
      <c r="I63" s="1">
        <v>5</v>
      </c>
      <c r="J63" s="1">
        <v>17</v>
      </c>
      <c r="K63" s="1">
        <v>3</v>
      </c>
      <c r="L63" s="1">
        <v>7</v>
      </c>
      <c r="M63" s="1">
        <v>18</v>
      </c>
      <c r="N63" s="1">
        <v>11</v>
      </c>
      <c r="O63" s="1">
        <v>16</v>
      </c>
      <c r="P63" s="1">
        <v>7</v>
      </c>
      <c r="Q63" s="1">
        <v>2</v>
      </c>
      <c r="R63" s="1">
        <v>9</v>
      </c>
      <c r="S63" s="1">
        <v>15</v>
      </c>
    </row>
    <row r="64" spans="1:19" ht="18" customHeight="1" x14ac:dyDescent="0.25">
      <c r="A64" s="5">
        <v>45717</v>
      </c>
      <c r="B64" s="1">
        <v>8.5</v>
      </c>
      <c r="C64" s="1">
        <v>5</v>
      </c>
      <c r="D64" s="1">
        <v>14</v>
      </c>
      <c r="E64" s="1">
        <v>11</v>
      </c>
      <c r="F64" s="1">
        <v>16</v>
      </c>
      <c r="G64" s="1">
        <v>6</v>
      </c>
      <c r="H64" s="1">
        <v>4</v>
      </c>
      <c r="I64" s="1">
        <v>7</v>
      </c>
      <c r="J64" s="1">
        <v>10</v>
      </c>
      <c r="K64" s="1">
        <v>13</v>
      </c>
      <c r="L64" s="1">
        <v>2</v>
      </c>
      <c r="M64" s="1">
        <v>17</v>
      </c>
      <c r="N64" s="1">
        <v>3</v>
      </c>
      <c r="O64" s="1">
        <v>15</v>
      </c>
      <c r="P64" s="1">
        <v>8.5</v>
      </c>
      <c r="Q64" s="1">
        <v>18</v>
      </c>
      <c r="R64" s="1">
        <v>12</v>
      </c>
      <c r="S64" s="1">
        <v>1</v>
      </c>
    </row>
    <row r="65" spans="1:19" ht="18" customHeight="1" x14ac:dyDescent="0.25">
      <c r="A65" s="5">
        <v>45748</v>
      </c>
      <c r="B65" s="1">
        <v>18</v>
      </c>
      <c r="C65" s="1">
        <v>9</v>
      </c>
      <c r="D65" s="1">
        <v>13</v>
      </c>
      <c r="E65" s="1">
        <v>15</v>
      </c>
      <c r="F65" s="1">
        <v>6</v>
      </c>
      <c r="G65" s="1">
        <v>4</v>
      </c>
      <c r="H65" s="1">
        <v>2</v>
      </c>
      <c r="I65" s="1">
        <v>10</v>
      </c>
      <c r="J65" s="1">
        <v>11</v>
      </c>
      <c r="K65" s="1">
        <v>12</v>
      </c>
      <c r="L65" s="1">
        <v>3</v>
      </c>
      <c r="M65" s="1">
        <v>17</v>
      </c>
      <c r="N65" s="1">
        <v>16</v>
      </c>
      <c r="O65" s="1">
        <v>8</v>
      </c>
      <c r="P65" s="1">
        <v>7</v>
      </c>
      <c r="Q65" s="1">
        <v>14</v>
      </c>
      <c r="R65" s="1">
        <v>5</v>
      </c>
      <c r="S65" s="1">
        <v>1</v>
      </c>
    </row>
    <row r="66" spans="1:19" ht="18" customHeight="1" x14ac:dyDescent="0.25">
      <c r="A66" s="5">
        <v>45778</v>
      </c>
      <c r="B66" s="1">
        <v>9.5</v>
      </c>
      <c r="C66" s="1">
        <v>6</v>
      </c>
      <c r="D66" s="1">
        <v>9.5</v>
      </c>
      <c r="E66" s="1">
        <v>14</v>
      </c>
      <c r="F66" s="1">
        <v>13</v>
      </c>
      <c r="G66" s="1">
        <v>4</v>
      </c>
      <c r="H66" s="1">
        <v>15</v>
      </c>
      <c r="I66" s="1">
        <v>12</v>
      </c>
      <c r="J66" s="1">
        <v>9.5</v>
      </c>
      <c r="K66" s="1">
        <v>17</v>
      </c>
      <c r="L66" s="1">
        <v>1</v>
      </c>
      <c r="M66" s="1">
        <v>16</v>
      </c>
      <c r="N66" s="1">
        <v>18</v>
      </c>
      <c r="O66" s="1">
        <v>7</v>
      </c>
      <c r="P66" s="1">
        <v>3</v>
      </c>
      <c r="Q66" s="1">
        <v>9.5</v>
      </c>
      <c r="R66" s="1">
        <v>5</v>
      </c>
      <c r="S66" s="1">
        <v>2</v>
      </c>
    </row>
    <row r="67" spans="1:19" ht="18" customHeight="1" x14ac:dyDescent="0.25">
      <c r="A67" s="5">
        <v>45809</v>
      </c>
      <c r="B67" s="1">
        <v>18</v>
      </c>
      <c r="C67" s="1">
        <v>4</v>
      </c>
      <c r="D67" s="1">
        <v>13</v>
      </c>
      <c r="E67" s="1">
        <v>10</v>
      </c>
      <c r="F67" s="1">
        <v>6</v>
      </c>
      <c r="G67" s="1">
        <v>11</v>
      </c>
      <c r="H67" s="1">
        <v>14</v>
      </c>
      <c r="I67" s="1">
        <v>12</v>
      </c>
      <c r="J67" s="1">
        <v>15</v>
      </c>
      <c r="K67" s="1">
        <v>16</v>
      </c>
      <c r="L67" s="1">
        <v>3</v>
      </c>
      <c r="M67" s="1">
        <v>17</v>
      </c>
      <c r="N67" s="1">
        <v>8</v>
      </c>
      <c r="O67" s="1">
        <v>8</v>
      </c>
      <c r="P67" s="1">
        <v>8</v>
      </c>
      <c r="Q67" s="1">
        <v>1</v>
      </c>
      <c r="R67" s="1">
        <v>5</v>
      </c>
      <c r="S67" s="1">
        <v>2</v>
      </c>
    </row>
    <row r="68" spans="1:19" ht="18" customHeight="1" x14ac:dyDescent="0.25">
      <c r="A68" s="5">
        <v>45839</v>
      </c>
      <c r="B68" s="1">
        <v>18</v>
      </c>
      <c r="C68" s="1">
        <v>3</v>
      </c>
      <c r="D68" s="1">
        <v>7</v>
      </c>
      <c r="E68" s="1">
        <v>9</v>
      </c>
      <c r="F68" s="1">
        <v>6</v>
      </c>
      <c r="G68" s="1">
        <v>10</v>
      </c>
      <c r="H68" s="1">
        <v>13</v>
      </c>
      <c r="I68" s="1">
        <v>4</v>
      </c>
      <c r="J68" s="1">
        <v>14</v>
      </c>
      <c r="K68" s="1">
        <v>16</v>
      </c>
      <c r="L68" s="1">
        <v>2</v>
      </c>
      <c r="M68" s="1">
        <v>11</v>
      </c>
      <c r="N68" s="1">
        <v>17</v>
      </c>
      <c r="O68" s="1">
        <v>12</v>
      </c>
      <c r="P68" s="1">
        <v>1</v>
      </c>
      <c r="Q68" s="1">
        <v>15</v>
      </c>
      <c r="R68" s="1">
        <v>8</v>
      </c>
      <c r="S68" s="1">
        <v>5</v>
      </c>
    </row>
    <row r="69" spans="1:19" ht="18" customHeight="1" x14ac:dyDescent="0.25">
      <c r="A69" s="5">
        <v>45870</v>
      </c>
      <c r="B69" s="1">
        <v>17</v>
      </c>
      <c r="C69" s="1">
        <v>9</v>
      </c>
      <c r="D69" s="1">
        <v>8</v>
      </c>
      <c r="E69" s="1">
        <v>7</v>
      </c>
      <c r="F69" s="1">
        <v>10</v>
      </c>
      <c r="G69" s="1">
        <v>15</v>
      </c>
      <c r="H69" s="1">
        <v>5</v>
      </c>
      <c r="I69" s="1">
        <v>6</v>
      </c>
      <c r="J69" s="1">
        <v>13</v>
      </c>
      <c r="K69" s="1">
        <v>16</v>
      </c>
      <c r="L69" s="1">
        <v>1</v>
      </c>
      <c r="M69" s="1">
        <v>14</v>
      </c>
      <c r="N69" s="1">
        <v>3</v>
      </c>
      <c r="O69" s="1">
        <v>12</v>
      </c>
      <c r="P69" s="1">
        <v>11</v>
      </c>
      <c r="Q69" s="1">
        <v>18</v>
      </c>
      <c r="R69" s="1">
        <v>4</v>
      </c>
      <c r="S69" s="1">
        <v>2</v>
      </c>
    </row>
    <row r="70" spans="1:19" ht="18" customHeight="1" x14ac:dyDescent="0.25">
      <c r="A70" s="5">
        <v>45901</v>
      </c>
      <c r="B70" s="1">
        <v>2</v>
      </c>
      <c r="C70" s="1">
        <v>6</v>
      </c>
      <c r="D70" s="1">
        <v>11</v>
      </c>
      <c r="E70" s="1">
        <v>7</v>
      </c>
      <c r="F70" s="1">
        <v>15</v>
      </c>
      <c r="G70" s="1">
        <v>12.5</v>
      </c>
      <c r="H70" s="1">
        <v>5</v>
      </c>
      <c r="I70" s="1">
        <v>10</v>
      </c>
      <c r="J70" s="1">
        <v>14</v>
      </c>
      <c r="K70" s="1">
        <v>9</v>
      </c>
      <c r="L70" s="1">
        <v>4</v>
      </c>
      <c r="M70" s="1">
        <v>18</v>
      </c>
      <c r="N70" s="1">
        <v>3</v>
      </c>
      <c r="O70" s="1">
        <v>17</v>
      </c>
      <c r="P70" s="1">
        <v>12.5</v>
      </c>
      <c r="Q70" s="1">
        <v>16</v>
      </c>
      <c r="R70" s="1">
        <v>8</v>
      </c>
      <c r="S70" s="1">
        <v>1</v>
      </c>
    </row>
    <row r="71" spans="1:19" ht="18" customHeight="1" x14ac:dyDescent="0.25">
      <c r="A71" s="5">
        <v>45931</v>
      </c>
      <c r="B71" s="1">
        <v>2</v>
      </c>
      <c r="C71" s="1">
        <v>9</v>
      </c>
      <c r="D71" s="1">
        <v>12</v>
      </c>
      <c r="E71" s="1">
        <v>8</v>
      </c>
      <c r="F71" s="1">
        <v>14</v>
      </c>
      <c r="G71" s="1">
        <v>17</v>
      </c>
      <c r="H71" s="1">
        <v>3</v>
      </c>
      <c r="I71" s="1">
        <v>10</v>
      </c>
      <c r="J71" s="1">
        <v>11</v>
      </c>
      <c r="K71" s="1">
        <v>13</v>
      </c>
      <c r="L71" s="1">
        <v>4</v>
      </c>
      <c r="M71" s="1">
        <v>7</v>
      </c>
      <c r="N71" s="1">
        <v>15</v>
      </c>
      <c r="O71" s="1">
        <v>18</v>
      </c>
      <c r="P71" s="1">
        <v>5</v>
      </c>
      <c r="Q71" s="1">
        <v>1</v>
      </c>
      <c r="R71" s="1">
        <v>16</v>
      </c>
      <c r="S71" s="1">
        <v>6</v>
      </c>
    </row>
    <row r="72" spans="1:19" ht="18" customHeight="1" x14ac:dyDescent="0.25"/>
    <row r="73" spans="1:19" ht="18" customHeight="1" x14ac:dyDescent="0.25"/>
    <row r="74" spans="1:19" ht="18" customHeight="1" x14ac:dyDescent="0.25"/>
    <row r="75" spans="1:19" ht="18" customHeight="1" x14ac:dyDescent="0.25"/>
    <row r="76" spans="1:19" ht="18" customHeight="1" x14ac:dyDescent="0.25"/>
    <row r="77" spans="1:19" ht="18" customHeight="1" x14ac:dyDescent="0.25"/>
    <row r="78" spans="1:19" ht="18" customHeight="1" x14ac:dyDescent="0.25"/>
    <row r="79" spans="1:19" ht="18" customHeight="1" x14ac:dyDescent="0.25"/>
    <row r="80" spans="1:19"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68167-03DD-4A4F-B6E7-D0367FB601DF}">
  <dimension ref="A1:S99"/>
  <sheetViews>
    <sheetView showGridLines="0" zoomScaleNormal="100" workbookViewId="0">
      <pane xSplit="1" ySplit="1" topLeftCell="B62" activePane="bottomRight" state="frozen"/>
      <selection pane="topRight" activeCell="C1" sqref="C1"/>
      <selection pane="bottomLeft" activeCell="A3" sqref="A3"/>
      <selection pane="bottomRight" activeCell="C73" sqref="C73"/>
    </sheetView>
  </sheetViews>
  <sheetFormatPr defaultRowHeight="15" x14ac:dyDescent="0.25"/>
  <cols>
    <col min="1" max="16384" width="9.140625" style="1"/>
  </cols>
  <sheetData>
    <row r="1" spans="1:19" ht="75.75" customHeight="1" x14ac:dyDescent="0.25">
      <c r="A1" s="3" t="s">
        <v>0</v>
      </c>
      <c r="B1" s="2" t="s">
        <v>19</v>
      </c>
      <c r="C1" s="2" t="s">
        <v>20</v>
      </c>
      <c r="D1" s="2" t="s">
        <v>21</v>
      </c>
      <c r="E1" s="2" t="s">
        <v>22</v>
      </c>
      <c r="F1" s="2" t="s">
        <v>23</v>
      </c>
      <c r="G1" s="2" t="s">
        <v>24</v>
      </c>
      <c r="H1" s="2" t="s">
        <v>25</v>
      </c>
      <c r="I1" s="2" t="s">
        <v>26</v>
      </c>
      <c r="J1" s="2" t="s">
        <v>27</v>
      </c>
      <c r="K1" s="2" t="s">
        <v>28</v>
      </c>
      <c r="L1" s="2" t="s">
        <v>29</v>
      </c>
      <c r="M1" s="2" t="s">
        <v>30</v>
      </c>
      <c r="N1" s="2" t="s">
        <v>31</v>
      </c>
      <c r="O1" s="2" t="s">
        <v>32</v>
      </c>
      <c r="P1" s="2" t="s">
        <v>33</v>
      </c>
      <c r="Q1" s="2" t="s">
        <v>34</v>
      </c>
      <c r="R1" s="2" t="s">
        <v>35</v>
      </c>
      <c r="S1" s="2" t="s">
        <v>36</v>
      </c>
    </row>
    <row r="2" spans="1:19" ht="18" customHeight="1" x14ac:dyDescent="0.25">
      <c r="A2" s="5">
        <v>43831</v>
      </c>
      <c r="B2" s="50">
        <f>manu_rank!B2/171</f>
        <v>1.1695906432748537E-2</v>
      </c>
      <c r="C2" s="50">
        <f>manu_rank!C2/171</f>
        <v>7.0175438596491224E-2</v>
      </c>
      <c r="D2" s="50">
        <f>manu_rank!D2/171</f>
        <v>8.771929824561403E-2</v>
      </c>
      <c r="E2" s="50">
        <f>manu_rank!E2/171</f>
        <v>1.7543859649122806E-2</v>
      </c>
      <c r="F2" s="50">
        <f>manu_rank!F2/171</f>
        <v>6.4327485380116955E-2</v>
      </c>
      <c r="G2" s="50">
        <f>manu_rank!G2/171</f>
        <v>9.3567251461988299E-2</v>
      </c>
      <c r="H2" s="50">
        <f>manu_rank!H2/171</f>
        <v>0.10526315789473684</v>
      </c>
      <c r="I2" s="50">
        <f>manu_rank!I2/171</f>
        <v>4.6783625730994149E-2</v>
      </c>
      <c r="J2" s="50">
        <f>manu_rank!J2/171</f>
        <v>8.1871345029239762E-2</v>
      </c>
      <c r="K2" s="50">
        <f>manu_rank!K2/171</f>
        <v>7.6023391812865493E-2</v>
      </c>
      <c r="L2" s="50">
        <f>manu_rank!L2/171</f>
        <v>5.5555555555555552E-2</v>
      </c>
      <c r="M2" s="50">
        <f>manu_rank!M2/171</f>
        <v>2.3391812865497075E-2</v>
      </c>
      <c r="N2" s="50">
        <f>manu_rank!N2/171</f>
        <v>5.5555555555555552E-2</v>
      </c>
      <c r="O2" s="50">
        <f>manu_rank!O2/171</f>
        <v>4.0935672514619881E-2</v>
      </c>
      <c r="P2" s="50">
        <f>manu_rank!P2/171</f>
        <v>5.8479532163742687E-3</v>
      </c>
      <c r="Q2" s="50">
        <f>manu_rank!Q2/171</f>
        <v>2.9239766081871343E-2</v>
      </c>
      <c r="R2" s="50">
        <f>manu_rank!R2/171</f>
        <v>3.5087719298245612E-2</v>
      </c>
      <c r="S2" s="50">
        <f>manu_rank!S2/171</f>
        <v>9.9415204678362568E-2</v>
      </c>
    </row>
    <row r="3" spans="1:19" ht="18" customHeight="1" x14ac:dyDescent="0.25">
      <c r="A3" s="5">
        <v>43862</v>
      </c>
      <c r="B3" s="50">
        <f>manu_rank!B3/171</f>
        <v>2.3391812865497075E-2</v>
      </c>
      <c r="C3" s="50">
        <f>manu_rank!C3/171</f>
        <v>2.9239766081871343E-2</v>
      </c>
      <c r="D3" s="50">
        <f>manu_rank!D3/171</f>
        <v>5.8479532163742687E-2</v>
      </c>
      <c r="E3" s="50">
        <f>manu_rank!E3/171</f>
        <v>4.6783625730994149E-2</v>
      </c>
      <c r="F3" s="50">
        <f>manu_rank!F3/171</f>
        <v>4.0935672514619881E-2</v>
      </c>
      <c r="G3" s="50">
        <f>manu_rank!G3/171</f>
        <v>6.4327485380116955E-2</v>
      </c>
      <c r="H3" s="50">
        <f>manu_rank!H3/171</f>
        <v>9.9415204678362568E-2</v>
      </c>
      <c r="I3" s="50">
        <f>manu_rank!I3/171</f>
        <v>3.5087719298245612E-2</v>
      </c>
      <c r="J3" s="50">
        <f>manu_rank!J3/171</f>
        <v>5.2631578947368418E-2</v>
      </c>
      <c r="K3" s="50">
        <f>manu_rank!K3/171</f>
        <v>1.7543859649122806E-2</v>
      </c>
      <c r="L3" s="50">
        <f>manu_rank!L3/171</f>
        <v>8.1871345029239762E-2</v>
      </c>
      <c r="M3" s="50">
        <f>manu_rank!M3/171</f>
        <v>5.8479532163742687E-3</v>
      </c>
      <c r="N3" s="50">
        <f>manu_rank!N3/171</f>
        <v>9.3567251461988299E-2</v>
      </c>
      <c r="O3" s="50">
        <f>manu_rank!O3/171</f>
        <v>7.0175438596491224E-2</v>
      </c>
      <c r="P3" s="50">
        <f>manu_rank!P3/171</f>
        <v>8.771929824561403E-2</v>
      </c>
      <c r="Q3" s="50">
        <f>manu_rank!Q3/171</f>
        <v>7.6023391812865493E-2</v>
      </c>
      <c r="R3" s="50">
        <f>manu_rank!R3/171</f>
        <v>1.1695906432748537E-2</v>
      </c>
      <c r="S3" s="50">
        <f>manu_rank!S3/171</f>
        <v>0.10526315789473684</v>
      </c>
    </row>
    <row r="4" spans="1:19" ht="18" customHeight="1" x14ac:dyDescent="0.25">
      <c r="A4" s="5">
        <v>43891</v>
      </c>
      <c r="B4" s="50">
        <f>manu_rank!B4/171</f>
        <v>9.3567251461988299E-2</v>
      </c>
      <c r="C4" s="50">
        <f>manu_rank!C4/171</f>
        <v>7.6023391812865493E-2</v>
      </c>
      <c r="D4" s="50">
        <f>manu_rank!D4/171</f>
        <v>7.0175438596491224E-2</v>
      </c>
      <c r="E4" s="50">
        <f>manu_rank!E4/171</f>
        <v>4.3859649122807015E-2</v>
      </c>
      <c r="F4" s="50">
        <f>manu_rank!F4/171</f>
        <v>2.9239766081871343E-2</v>
      </c>
      <c r="G4" s="50">
        <f>manu_rank!G4/171</f>
        <v>9.9415204678362568E-2</v>
      </c>
      <c r="H4" s="50">
        <f>manu_rank!H4/171</f>
        <v>2.3391812865497075E-2</v>
      </c>
      <c r="I4" s="50">
        <f>manu_rank!I4/171</f>
        <v>3.5087719298245612E-2</v>
      </c>
      <c r="J4" s="50">
        <f>manu_rank!J4/171</f>
        <v>5.8479532163742687E-2</v>
      </c>
      <c r="K4" s="50">
        <f>manu_rank!K4/171</f>
        <v>4.3859649122807015E-2</v>
      </c>
      <c r="L4" s="50">
        <f>manu_rank!L4/171</f>
        <v>8.1871345029239762E-2</v>
      </c>
      <c r="M4" s="50">
        <f>manu_rank!M4/171</f>
        <v>5.8479532163742687E-3</v>
      </c>
      <c r="N4" s="50">
        <f>manu_rank!N4/171</f>
        <v>5.2631578947368418E-2</v>
      </c>
      <c r="O4" s="50">
        <f>manu_rank!O4/171</f>
        <v>6.4327485380116955E-2</v>
      </c>
      <c r="P4" s="50">
        <f>manu_rank!P4/171</f>
        <v>0.10526315789473684</v>
      </c>
      <c r="Q4" s="50">
        <f>manu_rank!Q4/171</f>
        <v>1.1695906432748537E-2</v>
      </c>
      <c r="R4" s="50">
        <f>manu_rank!R4/171</f>
        <v>1.7543859649122806E-2</v>
      </c>
      <c r="S4" s="50">
        <f>manu_rank!S4/171</f>
        <v>8.771929824561403E-2</v>
      </c>
    </row>
    <row r="5" spans="1:19" ht="18" customHeight="1" x14ac:dyDescent="0.25">
      <c r="A5" s="5">
        <v>43922</v>
      </c>
      <c r="B5" s="50">
        <f>manu_rank!B5/171</f>
        <v>9.3567251461988299E-2</v>
      </c>
      <c r="C5" s="50">
        <f>manu_rank!C5/171</f>
        <v>8.771929824561403E-2</v>
      </c>
      <c r="D5" s="50">
        <f>manu_rank!D5/171</f>
        <v>7.6023391812865493E-2</v>
      </c>
      <c r="E5" s="50">
        <f>manu_rank!E5/171</f>
        <v>5.2631578947368418E-2</v>
      </c>
      <c r="F5" s="50">
        <f>manu_rank!F5/171</f>
        <v>2.9239766081871343E-2</v>
      </c>
      <c r="G5" s="50">
        <f>manu_rank!G5/171</f>
        <v>9.9415204678362568E-2</v>
      </c>
      <c r="H5" s="50">
        <f>manu_rank!H5/171</f>
        <v>1.1695906432748537E-2</v>
      </c>
      <c r="I5" s="50">
        <f>manu_rank!I5/171</f>
        <v>4.0935672514619881E-2</v>
      </c>
      <c r="J5" s="50">
        <f>manu_rank!J5/171</f>
        <v>7.0175438596491224E-2</v>
      </c>
      <c r="K5" s="50">
        <f>manu_rank!K5/171</f>
        <v>3.5087719298245612E-2</v>
      </c>
      <c r="L5" s="50">
        <f>manu_rank!L5/171</f>
        <v>0.10526315789473684</v>
      </c>
      <c r="M5" s="50">
        <f>manu_rank!M5/171</f>
        <v>5.8479532163742687E-2</v>
      </c>
      <c r="N5" s="50">
        <f>manu_rank!N5/171</f>
        <v>4.6783625730994149E-2</v>
      </c>
      <c r="O5" s="50">
        <f>manu_rank!O5/171</f>
        <v>8.1871345029239762E-2</v>
      </c>
      <c r="P5" s="50">
        <f>manu_rank!P5/171</f>
        <v>5.8479532163742687E-3</v>
      </c>
      <c r="Q5" s="50">
        <f>manu_rank!Q5/171</f>
        <v>2.3391812865497075E-2</v>
      </c>
      <c r="R5" s="50">
        <f>manu_rank!R5/171</f>
        <v>1.7543859649122806E-2</v>
      </c>
      <c r="S5" s="50">
        <f>manu_rank!S5/171</f>
        <v>6.4327485380116955E-2</v>
      </c>
    </row>
    <row r="6" spans="1:19" ht="18" customHeight="1" x14ac:dyDescent="0.25">
      <c r="A6" s="5">
        <v>43952</v>
      </c>
      <c r="B6" s="50">
        <f>manu_rank!B6/171</f>
        <v>9.3567251461988299E-2</v>
      </c>
      <c r="C6" s="50">
        <f>manu_rank!C6/171</f>
        <v>5.2631578947368418E-2</v>
      </c>
      <c r="D6" s="50">
        <f>manu_rank!D6/171</f>
        <v>5.8479532163742687E-2</v>
      </c>
      <c r="E6" s="50">
        <f>manu_rank!E6/171</f>
        <v>4.6783625730994149E-2</v>
      </c>
      <c r="F6" s="50">
        <f>manu_rank!F6/171</f>
        <v>2.9239766081871343E-2</v>
      </c>
      <c r="G6" s="50">
        <f>manu_rank!G6/171</f>
        <v>8.771929824561403E-2</v>
      </c>
      <c r="H6" s="50">
        <f>manu_rank!H6/171</f>
        <v>9.9415204678362568E-2</v>
      </c>
      <c r="I6" s="50">
        <f>manu_rank!I6/171</f>
        <v>3.5087719298245612E-2</v>
      </c>
      <c r="J6" s="50">
        <f>manu_rank!J6/171</f>
        <v>4.0935672514619881E-2</v>
      </c>
      <c r="K6" s="50">
        <f>manu_rank!K6/171</f>
        <v>0.10526315789473684</v>
      </c>
      <c r="L6" s="50">
        <f>manu_rank!L6/171</f>
        <v>8.1871345029239762E-2</v>
      </c>
      <c r="M6" s="50">
        <f>manu_rank!M6/171</f>
        <v>2.3391812865497075E-2</v>
      </c>
      <c r="N6" s="50">
        <f>manu_rank!N6/171</f>
        <v>6.4327485380116955E-2</v>
      </c>
      <c r="O6" s="50">
        <f>manu_rank!O6/171</f>
        <v>1.1695906432748537E-2</v>
      </c>
      <c r="P6" s="50">
        <f>manu_rank!P6/171</f>
        <v>5.8479532163742687E-3</v>
      </c>
      <c r="Q6" s="50">
        <f>manu_rank!Q6/171</f>
        <v>7.0175438596491224E-2</v>
      </c>
      <c r="R6" s="50">
        <f>manu_rank!R6/171</f>
        <v>1.7543859649122806E-2</v>
      </c>
      <c r="S6" s="50">
        <f>manu_rank!S6/171</f>
        <v>7.6023391812865493E-2</v>
      </c>
    </row>
    <row r="7" spans="1:19" ht="18" customHeight="1" x14ac:dyDescent="0.25">
      <c r="A7" s="5">
        <v>43983</v>
      </c>
      <c r="B7" s="50">
        <f>manu_rank!B7/171</f>
        <v>8.1871345029239762E-2</v>
      </c>
      <c r="C7" s="50">
        <f>manu_rank!C7/171</f>
        <v>5.8479532163742687E-2</v>
      </c>
      <c r="D7" s="50">
        <f>manu_rank!D7/171</f>
        <v>7.0175438596491224E-2</v>
      </c>
      <c r="E7" s="50">
        <f>manu_rank!E7/171</f>
        <v>3.5087719298245612E-2</v>
      </c>
      <c r="F7" s="50">
        <f>manu_rank!F7/171</f>
        <v>1.7543859649122806E-2</v>
      </c>
      <c r="G7" s="50">
        <f>manu_rank!G7/171</f>
        <v>7.6023391812865493E-2</v>
      </c>
      <c r="H7" s="50">
        <f>manu_rank!H7/171</f>
        <v>9.3567251461988299E-2</v>
      </c>
      <c r="I7" s="50">
        <f>manu_rank!I7/171</f>
        <v>2.3391812865497075E-2</v>
      </c>
      <c r="J7" s="50">
        <f>manu_rank!J7/171</f>
        <v>5.2631578947368418E-2</v>
      </c>
      <c r="K7" s="50">
        <f>manu_rank!K7/171</f>
        <v>4.6783625730994149E-2</v>
      </c>
      <c r="L7" s="50">
        <f>manu_rank!L7/171</f>
        <v>4.0935672514619881E-2</v>
      </c>
      <c r="M7" s="50">
        <f>manu_rank!M7/171</f>
        <v>2.9239766081871343E-2</v>
      </c>
      <c r="N7" s="50">
        <f>manu_rank!N7/171</f>
        <v>6.4327485380116955E-2</v>
      </c>
      <c r="O7" s="50">
        <f>manu_rank!O7/171</f>
        <v>1.1695906432748537E-2</v>
      </c>
      <c r="P7" s="50">
        <f>manu_rank!P7/171</f>
        <v>8.771929824561403E-2</v>
      </c>
      <c r="Q7" s="50">
        <f>manu_rank!Q7/171</f>
        <v>0.10526315789473684</v>
      </c>
      <c r="R7" s="50">
        <f>manu_rank!R7/171</f>
        <v>5.8479532163742687E-3</v>
      </c>
      <c r="S7" s="50">
        <f>manu_rank!S7/171</f>
        <v>9.9415204678362568E-2</v>
      </c>
    </row>
    <row r="8" spans="1:19" ht="18" customHeight="1" x14ac:dyDescent="0.25">
      <c r="A8" s="5">
        <v>44013</v>
      </c>
      <c r="B8" s="50">
        <f>manu_rank!B8/171</f>
        <v>6.4327485380116955E-2</v>
      </c>
      <c r="C8" s="50">
        <f>manu_rank!C8/171</f>
        <v>7.0175438596491224E-2</v>
      </c>
      <c r="D8" s="50">
        <f>manu_rank!D8/171</f>
        <v>5.8479532163742687E-2</v>
      </c>
      <c r="E8" s="50">
        <f>manu_rank!E8/171</f>
        <v>3.5087719298245612E-2</v>
      </c>
      <c r="F8" s="50">
        <f>manu_rank!F8/171</f>
        <v>1.7543859649122806E-2</v>
      </c>
      <c r="G8" s="50">
        <f>manu_rank!G8/171</f>
        <v>8.1871345029239762E-2</v>
      </c>
      <c r="H8" s="50">
        <f>manu_rank!H8/171</f>
        <v>9.9415204678362568E-2</v>
      </c>
      <c r="I8" s="50">
        <f>manu_rank!I8/171</f>
        <v>1.1695906432748537E-2</v>
      </c>
      <c r="J8" s="50">
        <f>manu_rank!J8/171</f>
        <v>4.0935672514619881E-2</v>
      </c>
      <c r="K8" s="50">
        <f>manu_rank!K8/171</f>
        <v>2.6315789473684209E-2</v>
      </c>
      <c r="L8" s="50">
        <f>manu_rank!L8/171</f>
        <v>2.6315789473684209E-2</v>
      </c>
      <c r="M8" s="50">
        <f>manu_rank!M8/171</f>
        <v>4.6783625730994149E-2</v>
      </c>
      <c r="N8" s="50">
        <f>manu_rank!N8/171</f>
        <v>7.6023391812865493E-2</v>
      </c>
      <c r="O8" s="50">
        <f>manu_rank!O8/171</f>
        <v>5.2631578947368418E-2</v>
      </c>
      <c r="P8" s="50">
        <f>manu_rank!P8/171</f>
        <v>8.771929824561403E-2</v>
      </c>
      <c r="Q8" s="50">
        <f>manu_rank!Q8/171</f>
        <v>9.3567251461988299E-2</v>
      </c>
      <c r="R8" s="50">
        <f>manu_rank!R8/171</f>
        <v>5.8479532163742687E-3</v>
      </c>
      <c r="S8" s="50">
        <f>manu_rank!S8/171</f>
        <v>0.10526315789473684</v>
      </c>
    </row>
    <row r="9" spans="1:19" ht="18" customHeight="1" x14ac:dyDescent="0.25">
      <c r="A9" s="5">
        <v>44044</v>
      </c>
      <c r="B9" s="50">
        <f>manu_rank!B9/171</f>
        <v>5.2631578947368418E-2</v>
      </c>
      <c r="C9" s="50">
        <f>manu_rank!C9/171</f>
        <v>8.1871345029239762E-2</v>
      </c>
      <c r="D9" s="50">
        <f>manu_rank!D9/171</f>
        <v>7.6023391812865493E-2</v>
      </c>
      <c r="E9" s="50">
        <f>manu_rank!E9/171</f>
        <v>3.5087719298245612E-2</v>
      </c>
      <c r="F9" s="50">
        <f>manu_rank!F9/171</f>
        <v>6.4327485380116955E-2</v>
      </c>
      <c r="G9" s="50">
        <f>manu_rank!G9/171</f>
        <v>9.3567251461988299E-2</v>
      </c>
      <c r="H9" s="50">
        <f>manu_rank!H9/171</f>
        <v>1.7543859649122806E-2</v>
      </c>
      <c r="I9" s="50">
        <f>manu_rank!I9/171</f>
        <v>5.8479532163742687E-2</v>
      </c>
      <c r="J9" s="50">
        <f>manu_rank!J9/171</f>
        <v>4.0935672514619881E-2</v>
      </c>
      <c r="K9" s="50">
        <f>manu_rank!K9/171</f>
        <v>4.6783625730994149E-2</v>
      </c>
      <c r="L9" s="50">
        <f>manu_rank!L9/171</f>
        <v>2.9239766081871343E-2</v>
      </c>
      <c r="M9" s="50">
        <f>manu_rank!M9/171</f>
        <v>1.1695906432748537E-2</v>
      </c>
      <c r="N9" s="50">
        <f>manu_rank!N9/171</f>
        <v>9.9415204678362568E-2</v>
      </c>
      <c r="O9" s="50">
        <f>manu_rank!O9/171</f>
        <v>7.0175438596491224E-2</v>
      </c>
      <c r="P9" s="50">
        <f>manu_rank!P9/171</f>
        <v>5.8479532163742687E-3</v>
      </c>
      <c r="Q9" s="50">
        <f>manu_rank!Q9/171</f>
        <v>8.771929824561403E-2</v>
      </c>
      <c r="R9" s="50">
        <f>manu_rank!R9/171</f>
        <v>2.3391812865497075E-2</v>
      </c>
      <c r="S9" s="50">
        <f>manu_rank!S9/171</f>
        <v>0.10526315789473684</v>
      </c>
    </row>
    <row r="10" spans="1:19" ht="18" customHeight="1" x14ac:dyDescent="0.25">
      <c r="A10" s="5">
        <v>44094</v>
      </c>
      <c r="B10" s="50">
        <f>manu_rank!B10/171</f>
        <v>5.8479532163742687E-3</v>
      </c>
      <c r="C10" s="50">
        <f>manu_rank!C10/171</f>
        <v>6.4327485380116955E-2</v>
      </c>
      <c r="D10" s="50">
        <f>manu_rank!D10/171</f>
        <v>3.5087719298245612E-2</v>
      </c>
      <c r="E10" s="50">
        <f>manu_rank!E10/171</f>
        <v>8.1871345029239762E-2</v>
      </c>
      <c r="F10" s="50">
        <f>manu_rank!F10/171</f>
        <v>7.0175438596491224E-2</v>
      </c>
      <c r="G10" s="50">
        <f>manu_rank!G10/171</f>
        <v>9.3567251461988299E-2</v>
      </c>
      <c r="H10" s="50">
        <f>manu_rank!H10/171</f>
        <v>8.771929824561403E-2</v>
      </c>
      <c r="I10" s="50">
        <f>manu_rank!I10/171</f>
        <v>4.6783625730994149E-2</v>
      </c>
      <c r="J10" s="50">
        <f>manu_rank!J10/171</f>
        <v>5.8479532163742687E-2</v>
      </c>
      <c r="K10" s="50">
        <f>manu_rank!K10/171</f>
        <v>7.6023391812865493E-2</v>
      </c>
      <c r="L10" s="50">
        <f>manu_rank!L10/171</f>
        <v>0.10526315789473684</v>
      </c>
      <c r="M10" s="50">
        <f>manu_rank!M10/171</f>
        <v>1.7543859649122806E-2</v>
      </c>
      <c r="N10" s="50">
        <f>manu_rank!N10/171</f>
        <v>5.2631578947368418E-2</v>
      </c>
      <c r="O10" s="50">
        <f>manu_rank!O10/171</f>
        <v>2.3391812865497075E-2</v>
      </c>
      <c r="P10" s="50">
        <f>manu_rank!P10/171</f>
        <v>1.1695906432748537E-2</v>
      </c>
      <c r="Q10" s="50">
        <f>manu_rank!Q10/171</f>
        <v>4.0935672514619881E-2</v>
      </c>
      <c r="R10" s="50">
        <f>manu_rank!R10/171</f>
        <v>2.9239766081871343E-2</v>
      </c>
      <c r="S10" s="50">
        <f>manu_rank!S10/171</f>
        <v>9.9415204678362568E-2</v>
      </c>
    </row>
    <row r="11" spans="1:19" ht="18" customHeight="1" x14ac:dyDescent="0.25">
      <c r="A11" s="5">
        <v>44105</v>
      </c>
      <c r="B11" s="50">
        <f>manu_rank!B11/171</f>
        <v>0.10526315789473684</v>
      </c>
      <c r="C11" s="50">
        <f>manu_rank!C11/171</f>
        <v>5.2631578947368418E-2</v>
      </c>
      <c r="D11" s="50">
        <f>manu_rank!D11/171</f>
        <v>4.0935672514619881E-2</v>
      </c>
      <c r="E11" s="50">
        <f>manu_rank!E11/171</f>
        <v>2.9239766081871343E-2</v>
      </c>
      <c r="F11" s="50">
        <f>manu_rank!F11/171</f>
        <v>9.9415204678362568E-2</v>
      </c>
      <c r="G11" s="50">
        <f>manu_rank!G11/171</f>
        <v>8.771929824561403E-2</v>
      </c>
      <c r="H11" s="50">
        <f>manu_rank!H11/171</f>
        <v>7.0175438596491224E-2</v>
      </c>
      <c r="I11" s="50">
        <f>manu_rank!I11/171</f>
        <v>7.6023391812865493E-2</v>
      </c>
      <c r="J11" s="50">
        <f>manu_rank!J11/171</f>
        <v>2.3391812865497075E-2</v>
      </c>
      <c r="K11" s="50">
        <f>manu_rank!K11/171</f>
        <v>9.3567251461988299E-2</v>
      </c>
      <c r="L11" s="50">
        <f>manu_rank!L11/171</f>
        <v>6.4327485380116955E-2</v>
      </c>
      <c r="M11" s="50">
        <f>manu_rank!M11/171</f>
        <v>1.7543859649122806E-2</v>
      </c>
      <c r="N11" s="50">
        <f>manu_rank!N11/171</f>
        <v>8.1871345029239762E-2</v>
      </c>
      <c r="O11" s="50">
        <f>manu_rank!O11/171</f>
        <v>4.6783625730994149E-2</v>
      </c>
      <c r="P11" s="50">
        <f>manu_rank!P11/171</f>
        <v>1.1695906432748537E-2</v>
      </c>
      <c r="Q11" s="50">
        <f>manu_rank!Q11/171</f>
        <v>5.8479532163742687E-3</v>
      </c>
      <c r="R11" s="50">
        <f>manu_rank!R11/171</f>
        <v>3.5087719298245612E-2</v>
      </c>
      <c r="S11" s="50">
        <f>manu_rank!S11/171</f>
        <v>5.8479532163742687E-2</v>
      </c>
    </row>
    <row r="12" spans="1:19" ht="18" customHeight="1" x14ac:dyDescent="0.25">
      <c r="A12" s="5">
        <v>44136</v>
      </c>
      <c r="B12" s="50">
        <f>manu_rank!B12/171</f>
        <v>0.10526315789473684</v>
      </c>
      <c r="C12" s="50">
        <f>manu_rank!C12/171</f>
        <v>5.8479532163742687E-2</v>
      </c>
      <c r="D12" s="50">
        <f>manu_rank!D12/171</f>
        <v>4.6783625730994149E-2</v>
      </c>
      <c r="E12" s="50">
        <f>manu_rank!E12/171</f>
        <v>8.1871345029239762E-2</v>
      </c>
      <c r="F12" s="50">
        <f>manu_rank!F12/171</f>
        <v>7.6023391812865493E-2</v>
      </c>
      <c r="G12" s="50">
        <f>manu_rank!G12/171</f>
        <v>1.7543859649122806E-2</v>
      </c>
      <c r="H12" s="50">
        <f>manu_rank!H12/171</f>
        <v>2.3391812865497075E-2</v>
      </c>
      <c r="I12" s="50">
        <f>manu_rank!I12/171</f>
        <v>5.2631578947368418E-2</v>
      </c>
      <c r="J12" s="50">
        <f>manu_rank!J12/171</f>
        <v>3.5087719298245612E-2</v>
      </c>
      <c r="K12" s="50">
        <f>manu_rank!K12/171</f>
        <v>9.9415204678362568E-2</v>
      </c>
      <c r="L12" s="50">
        <f>manu_rank!L12/171</f>
        <v>4.0935672514619881E-2</v>
      </c>
      <c r="M12" s="50">
        <f>manu_rank!M12/171</f>
        <v>1.1695906432748537E-2</v>
      </c>
      <c r="N12" s="50">
        <f>manu_rank!N12/171</f>
        <v>7.0175438596491224E-2</v>
      </c>
      <c r="O12" s="50">
        <f>manu_rank!O12/171</f>
        <v>6.4327485380116955E-2</v>
      </c>
      <c r="P12" s="50">
        <f>manu_rank!P12/171</f>
        <v>5.8479532163742687E-3</v>
      </c>
      <c r="Q12" s="50">
        <f>manu_rank!Q12/171</f>
        <v>9.3567251461988299E-2</v>
      </c>
      <c r="R12" s="50">
        <f>manu_rank!R12/171</f>
        <v>2.9239766081871343E-2</v>
      </c>
      <c r="S12" s="50">
        <f>manu_rank!S12/171</f>
        <v>8.771929824561403E-2</v>
      </c>
    </row>
    <row r="13" spans="1:19" ht="18" customHeight="1" x14ac:dyDescent="0.25">
      <c r="A13" s="5">
        <v>44166</v>
      </c>
      <c r="B13" s="50">
        <f>manu_rank!B13/171</f>
        <v>0.10526315789473684</v>
      </c>
      <c r="C13" s="50">
        <f>manu_rank!C13/171</f>
        <v>5.2631578947368418E-2</v>
      </c>
      <c r="D13" s="50">
        <f>manu_rank!D13/171</f>
        <v>7.6023391812865493E-2</v>
      </c>
      <c r="E13" s="50">
        <f>manu_rank!E13/171</f>
        <v>2.9239766081871343E-2</v>
      </c>
      <c r="F13" s="50">
        <f>manu_rank!F13/171</f>
        <v>8.771929824561403E-2</v>
      </c>
      <c r="G13" s="50">
        <f>manu_rank!G13/171</f>
        <v>2.3391812865497075E-2</v>
      </c>
      <c r="H13" s="50">
        <f>manu_rank!H13/171</f>
        <v>9.9415204678362568E-2</v>
      </c>
      <c r="I13" s="50">
        <f>manu_rank!I13/171</f>
        <v>8.1871345029239762E-2</v>
      </c>
      <c r="J13" s="50">
        <f>manu_rank!J13/171</f>
        <v>1.7543859649122806E-2</v>
      </c>
      <c r="K13" s="50">
        <f>manu_rank!K13/171</f>
        <v>1.1695906432748537E-2</v>
      </c>
      <c r="L13" s="50">
        <f>manu_rank!L13/171</f>
        <v>5.8479532163742687E-2</v>
      </c>
      <c r="M13" s="50">
        <f>manu_rank!M13/171</f>
        <v>4.6783625730994149E-2</v>
      </c>
      <c r="N13" s="50">
        <f>manu_rank!N13/171</f>
        <v>6.4327485380116955E-2</v>
      </c>
      <c r="O13" s="50">
        <f>manu_rank!O13/171</f>
        <v>4.0935672514619881E-2</v>
      </c>
      <c r="P13" s="50">
        <f>manu_rank!P13/171</f>
        <v>5.8479532163742687E-3</v>
      </c>
      <c r="Q13" s="50">
        <f>manu_rank!Q13/171</f>
        <v>3.5087719298245612E-2</v>
      </c>
      <c r="R13" s="50">
        <f>manu_rank!R13/171</f>
        <v>7.0175438596491224E-2</v>
      </c>
      <c r="S13" s="50">
        <f>manu_rank!S13/171</f>
        <v>9.3567251461988299E-2</v>
      </c>
    </row>
    <row r="14" spans="1:19" ht="18" customHeight="1" x14ac:dyDescent="0.25">
      <c r="A14" s="5">
        <v>44197</v>
      </c>
      <c r="B14" s="50">
        <f>manu_rank!B14/171</f>
        <v>6.4327485380116955E-2</v>
      </c>
      <c r="C14" s="50">
        <f>manu_rank!C14/171</f>
        <v>8.771929824561403E-2</v>
      </c>
      <c r="D14" s="50">
        <f>manu_rank!D14/171</f>
        <v>1.7543859649122806E-2</v>
      </c>
      <c r="E14" s="50">
        <f>manu_rank!E14/171</f>
        <v>0.10526315789473684</v>
      </c>
      <c r="F14" s="50">
        <f>manu_rank!F14/171</f>
        <v>8.1871345029239762E-2</v>
      </c>
      <c r="G14" s="50">
        <f>manu_rank!G14/171</f>
        <v>4.6783625730994149E-2</v>
      </c>
      <c r="H14" s="50">
        <f>manu_rank!H14/171</f>
        <v>3.5087719298245612E-2</v>
      </c>
      <c r="I14" s="50">
        <f>manu_rank!I14/171</f>
        <v>9.9415204678362568E-2</v>
      </c>
      <c r="J14" s="50">
        <f>manu_rank!J14/171</f>
        <v>2.9239766081871343E-2</v>
      </c>
      <c r="K14" s="50">
        <f>manu_rank!K14/171</f>
        <v>4.0935672514619881E-2</v>
      </c>
      <c r="L14" s="50">
        <f>manu_rank!L14/171</f>
        <v>5.8479532163742687E-2</v>
      </c>
      <c r="M14" s="50">
        <f>manu_rank!M14/171</f>
        <v>1.1695906432748537E-2</v>
      </c>
      <c r="N14" s="50">
        <f>manu_rank!N14/171</f>
        <v>7.6023391812865493E-2</v>
      </c>
      <c r="O14" s="50">
        <f>manu_rank!O14/171</f>
        <v>9.3567251461988299E-2</v>
      </c>
      <c r="P14" s="50">
        <f>manu_rank!P14/171</f>
        <v>5.8479532163742687E-3</v>
      </c>
      <c r="Q14" s="50">
        <f>manu_rank!Q14/171</f>
        <v>2.3391812865497075E-2</v>
      </c>
      <c r="R14" s="50">
        <f>manu_rank!R14/171</f>
        <v>7.0175438596491224E-2</v>
      </c>
      <c r="S14" s="50">
        <f>manu_rank!S14/171</f>
        <v>5.2631578947368418E-2</v>
      </c>
    </row>
    <row r="15" spans="1:19" ht="18" customHeight="1" x14ac:dyDescent="0.25">
      <c r="A15" s="5">
        <v>44228</v>
      </c>
      <c r="B15" s="50">
        <f>manu_rank!B15/171</f>
        <v>4.0935672514619881E-2</v>
      </c>
      <c r="C15" s="50">
        <f>manu_rank!C15/171</f>
        <v>8.1871345029239762E-2</v>
      </c>
      <c r="D15" s="50">
        <f>manu_rank!D15/171</f>
        <v>4.6783625730994149E-2</v>
      </c>
      <c r="E15" s="50">
        <f>manu_rank!E15/171</f>
        <v>9.9415204678362568E-2</v>
      </c>
      <c r="F15" s="50">
        <f>manu_rank!F15/171</f>
        <v>7.0175438596491224E-2</v>
      </c>
      <c r="G15" s="50">
        <f>manu_rank!G15/171</f>
        <v>3.5087719298245612E-2</v>
      </c>
      <c r="H15" s="50">
        <f>manu_rank!H15/171</f>
        <v>2.3391812865497075E-2</v>
      </c>
      <c r="I15" s="50">
        <f>manu_rank!I15/171</f>
        <v>7.6023391812865493E-2</v>
      </c>
      <c r="J15" s="50">
        <f>manu_rank!J15/171</f>
        <v>2.9239766081871343E-2</v>
      </c>
      <c r="K15" s="50">
        <f>manu_rank!K15/171</f>
        <v>1.7543859649122806E-2</v>
      </c>
      <c r="L15" s="50">
        <f>manu_rank!L15/171</f>
        <v>8.771929824561403E-2</v>
      </c>
      <c r="M15" s="50">
        <f>manu_rank!M15/171</f>
        <v>1.1695906432748537E-2</v>
      </c>
      <c r="N15" s="50">
        <f>manu_rank!N15/171</f>
        <v>5.2631578947368418E-2</v>
      </c>
      <c r="O15" s="50">
        <f>manu_rank!O15/171</f>
        <v>9.3567251461988299E-2</v>
      </c>
      <c r="P15" s="50">
        <f>manu_rank!P15/171</f>
        <v>5.8479532163742687E-3</v>
      </c>
      <c r="Q15" s="50">
        <f>manu_rank!Q15/171</f>
        <v>0.10526315789473684</v>
      </c>
      <c r="R15" s="50">
        <f>manu_rank!R15/171</f>
        <v>6.4327485380116955E-2</v>
      </c>
      <c r="S15" s="50">
        <f>manu_rank!S15/171</f>
        <v>5.8479532163742687E-2</v>
      </c>
    </row>
    <row r="16" spans="1:19" ht="18" customHeight="1" x14ac:dyDescent="0.25">
      <c r="A16" s="5">
        <v>44256</v>
      </c>
      <c r="B16" s="50">
        <f>manu_rank!B16/171</f>
        <v>8.1871345029239762E-2</v>
      </c>
      <c r="C16" s="50">
        <f>manu_rank!C16/171</f>
        <v>3.5087719298245612E-2</v>
      </c>
      <c r="D16" s="50">
        <f>manu_rank!D16/171</f>
        <v>8.771929824561403E-2</v>
      </c>
      <c r="E16" s="50">
        <f>manu_rank!E16/171</f>
        <v>9.9415204678362568E-2</v>
      </c>
      <c r="F16" s="50">
        <f>manu_rank!F16/171</f>
        <v>7.0175438596491224E-2</v>
      </c>
      <c r="G16" s="50">
        <f>manu_rank!G16/171</f>
        <v>6.4327485380116955E-2</v>
      </c>
      <c r="H16" s="50">
        <f>manu_rank!H16/171</f>
        <v>7.6023391812865493E-2</v>
      </c>
      <c r="I16" s="50">
        <f>manu_rank!I16/171</f>
        <v>9.3567251461988299E-2</v>
      </c>
      <c r="J16" s="50">
        <f>manu_rank!J16/171</f>
        <v>2.3391812865497075E-2</v>
      </c>
      <c r="K16" s="50">
        <f>manu_rank!K16/171</f>
        <v>2.9239766081871343E-2</v>
      </c>
      <c r="L16" s="50">
        <f>manu_rank!L16/171</f>
        <v>4.6783625730994149E-2</v>
      </c>
      <c r="M16" s="50">
        <f>manu_rank!M16/171</f>
        <v>1.1695906432748537E-2</v>
      </c>
      <c r="N16" s="50">
        <f>manu_rank!N16/171</f>
        <v>5.2631578947368418E-2</v>
      </c>
      <c r="O16" s="50">
        <f>manu_rank!O16/171</f>
        <v>5.8479532163742687E-2</v>
      </c>
      <c r="P16" s="50">
        <f>manu_rank!P16/171</f>
        <v>1.7543859649122806E-2</v>
      </c>
      <c r="Q16" s="50">
        <f>manu_rank!Q16/171</f>
        <v>0.10526315789473684</v>
      </c>
      <c r="R16" s="50">
        <f>manu_rank!R16/171</f>
        <v>4.0935672514619881E-2</v>
      </c>
      <c r="S16" s="50">
        <f>manu_rank!S16/171</f>
        <v>5.8479532163742687E-3</v>
      </c>
    </row>
    <row r="17" spans="1:19" ht="18" customHeight="1" x14ac:dyDescent="0.25">
      <c r="A17" s="5">
        <v>44287</v>
      </c>
      <c r="B17" s="50">
        <f>manu_rank!B17/171</f>
        <v>3.5087719298245612E-2</v>
      </c>
      <c r="C17" s="50">
        <f>manu_rank!C17/171</f>
        <v>6.4327485380116955E-2</v>
      </c>
      <c r="D17" s="50">
        <f>manu_rank!D17/171</f>
        <v>4.6783625730994149E-2</v>
      </c>
      <c r="E17" s="50">
        <f>manu_rank!E17/171</f>
        <v>0.10526315789473684</v>
      </c>
      <c r="F17" s="50">
        <f>manu_rank!F17/171</f>
        <v>8.1871345029239762E-2</v>
      </c>
      <c r="G17" s="50">
        <f>manu_rank!G17/171</f>
        <v>5.2631578947368418E-2</v>
      </c>
      <c r="H17" s="50">
        <f>manu_rank!H17/171</f>
        <v>9.3567251461988299E-2</v>
      </c>
      <c r="I17" s="50">
        <f>manu_rank!I17/171</f>
        <v>8.771929824561403E-2</v>
      </c>
      <c r="J17" s="50">
        <f>manu_rank!J17/171</f>
        <v>7.0175438596491224E-2</v>
      </c>
      <c r="K17" s="50">
        <f>manu_rank!K17/171</f>
        <v>4.0935672514619881E-2</v>
      </c>
      <c r="L17" s="50">
        <f>manu_rank!L17/171</f>
        <v>2.3391812865497075E-2</v>
      </c>
      <c r="M17" s="50">
        <f>manu_rank!M17/171</f>
        <v>1.7543859649122806E-2</v>
      </c>
      <c r="N17" s="50">
        <f>manu_rank!N17/171</f>
        <v>5.8479532163742687E-2</v>
      </c>
      <c r="O17" s="50">
        <f>manu_rank!O17/171</f>
        <v>7.6023391812865493E-2</v>
      </c>
      <c r="P17" s="50">
        <f>manu_rank!P17/171</f>
        <v>1.1695906432748537E-2</v>
      </c>
      <c r="Q17" s="50">
        <f>manu_rank!Q17/171</f>
        <v>9.9415204678362568E-2</v>
      </c>
      <c r="R17" s="50">
        <f>manu_rank!R17/171</f>
        <v>2.9239766081871343E-2</v>
      </c>
      <c r="S17" s="50">
        <f>manu_rank!S17/171</f>
        <v>5.8479532163742687E-3</v>
      </c>
    </row>
    <row r="18" spans="1:19" ht="18" customHeight="1" x14ac:dyDescent="0.25">
      <c r="A18" s="5">
        <v>44317</v>
      </c>
      <c r="B18" s="50">
        <f>manu_rank!B18/171</f>
        <v>1.1695906432748537E-2</v>
      </c>
      <c r="C18" s="50">
        <f>manu_rank!C18/171</f>
        <v>4.6783625730994149E-2</v>
      </c>
      <c r="D18" s="50">
        <f>manu_rank!D18/171</f>
        <v>7.6023391812865493E-2</v>
      </c>
      <c r="E18" s="50">
        <f>manu_rank!E18/171</f>
        <v>7.0175438596491224E-2</v>
      </c>
      <c r="F18" s="50">
        <f>manu_rank!F18/171</f>
        <v>6.4327485380116955E-2</v>
      </c>
      <c r="G18" s="50">
        <f>manu_rank!G18/171</f>
        <v>5.8479532163742687E-2</v>
      </c>
      <c r="H18" s="50">
        <f>manu_rank!H18/171</f>
        <v>0.10526315789473684</v>
      </c>
      <c r="I18" s="50">
        <f>manu_rank!I18/171</f>
        <v>5.2631578947368418E-2</v>
      </c>
      <c r="J18" s="50">
        <f>manu_rank!J18/171</f>
        <v>4.0935672514619881E-2</v>
      </c>
      <c r="K18" s="50">
        <f>manu_rank!K18/171</f>
        <v>9.9415204678362568E-2</v>
      </c>
      <c r="L18" s="50">
        <f>manu_rank!L18/171</f>
        <v>2.3391812865497075E-2</v>
      </c>
      <c r="M18" s="50">
        <f>manu_rank!M18/171</f>
        <v>1.7543859649122806E-2</v>
      </c>
      <c r="N18" s="50">
        <f>manu_rank!N18/171</f>
        <v>9.3567251461988299E-2</v>
      </c>
      <c r="O18" s="50">
        <f>manu_rank!O18/171</f>
        <v>8.1871345029239762E-2</v>
      </c>
      <c r="P18" s="50">
        <f>manu_rank!P18/171</f>
        <v>5.8479532163742687E-3</v>
      </c>
      <c r="Q18" s="50">
        <f>manu_rank!Q18/171</f>
        <v>8.771929824561403E-2</v>
      </c>
      <c r="R18" s="50">
        <f>manu_rank!R18/171</f>
        <v>3.5087719298245612E-2</v>
      </c>
      <c r="S18" s="50">
        <f>manu_rank!S18/171</f>
        <v>2.9239766081871343E-2</v>
      </c>
    </row>
    <row r="19" spans="1:19" ht="18" customHeight="1" x14ac:dyDescent="0.25">
      <c r="A19" s="5">
        <v>44348</v>
      </c>
      <c r="B19" s="50">
        <f>manu_rank!B19/171</f>
        <v>5.8479532163742687E-3</v>
      </c>
      <c r="C19" s="50">
        <f>manu_rank!C19/171</f>
        <v>7.6023391812865493E-2</v>
      </c>
      <c r="D19" s="50">
        <f>manu_rank!D19/171</f>
        <v>8.771929824561403E-2</v>
      </c>
      <c r="E19" s="50">
        <f>manu_rank!E19/171</f>
        <v>9.3567251461988299E-2</v>
      </c>
      <c r="F19" s="50">
        <f>manu_rank!F19/171</f>
        <v>7.0175438596491224E-2</v>
      </c>
      <c r="G19" s="50">
        <f>manu_rank!G19/171</f>
        <v>3.5087719298245612E-2</v>
      </c>
      <c r="H19" s="50">
        <f>manu_rank!H19/171</f>
        <v>0.10526315789473684</v>
      </c>
      <c r="I19" s="50">
        <f>manu_rank!I19/171</f>
        <v>9.9415204678362568E-2</v>
      </c>
      <c r="J19" s="50">
        <f>manu_rank!J19/171</f>
        <v>5.8479532163742687E-2</v>
      </c>
      <c r="K19" s="50">
        <f>manu_rank!K19/171</f>
        <v>5.2631578947368418E-2</v>
      </c>
      <c r="L19" s="50">
        <f>manu_rank!L19/171</f>
        <v>2.9239766081871343E-2</v>
      </c>
      <c r="M19" s="50">
        <f>manu_rank!M19/171</f>
        <v>1.1695906432748537E-2</v>
      </c>
      <c r="N19" s="50">
        <f>manu_rank!N19/171</f>
        <v>8.1871345029239762E-2</v>
      </c>
      <c r="O19" s="50">
        <f>manu_rank!O19/171</f>
        <v>4.0935672514619881E-2</v>
      </c>
      <c r="P19" s="50">
        <f>manu_rank!P19/171</f>
        <v>2.3391812865497075E-2</v>
      </c>
      <c r="Q19" s="50">
        <f>manu_rank!Q19/171</f>
        <v>4.6783625730994149E-2</v>
      </c>
      <c r="R19" s="50">
        <f>manu_rank!R19/171</f>
        <v>6.4327485380116955E-2</v>
      </c>
      <c r="S19" s="50">
        <f>manu_rank!S19/171</f>
        <v>1.7543859649122806E-2</v>
      </c>
    </row>
    <row r="20" spans="1:19" ht="18" customHeight="1" x14ac:dyDescent="0.25">
      <c r="A20" s="5">
        <v>44378</v>
      </c>
      <c r="B20" s="50">
        <f>manu_rank!B20/171</f>
        <v>9.3567251461988299E-2</v>
      </c>
      <c r="C20" s="50">
        <f>manu_rank!C20/171</f>
        <v>5.2631578947368418E-2</v>
      </c>
      <c r="D20" s="50">
        <f>manu_rank!D20/171</f>
        <v>8.1871345029239762E-2</v>
      </c>
      <c r="E20" s="50">
        <f>manu_rank!E20/171</f>
        <v>2.3391812865497075E-2</v>
      </c>
      <c r="F20" s="50">
        <f>manu_rank!F20/171</f>
        <v>6.4327485380116955E-2</v>
      </c>
      <c r="G20" s="50">
        <f>manu_rank!G20/171</f>
        <v>4.6783625730994149E-2</v>
      </c>
      <c r="H20" s="50">
        <f>manu_rank!H20/171</f>
        <v>0.10526315789473684</v>
      </c>
      <c r="I20" s="50">
        <f>manu_rank!I20/171</f>
        <v>7.0175438596491224E-2</v>
      </c>
      <c r="J20" s="50">
        <f>manu_rank!J20/171</f>
        <v>8.771929824561403E-2</v>
      </c>
      <c r="K20" s="50">
        <f>manu_rank!K20/171</f>
        <v>7.6023391812865493E-2</v>
      </c>
      <c r="L20" s="50">
        <f>manu_rank!L20/171</f>
        <v>5.8479532163742687E-2</v>
      </c>
      <c r="M20" s="50">
        <f>manu_rank!M20/171</f>
        <v>1.1695906432748537E-2</v>
      </c>
      <c r="N20" s="50">
        <f>manu_rank!N20/171</f>
        <v>3.5087719298245612E-2</v>
      </c>
      <c r="O20" s="50">
        <f>manu_rank!O20/171</f>
        <v>4.0935672514619881E-2</v>
      </c>
      <c r="P20" s="50">
        <f>manu_rank!P20/171</f>
        <v>9.9415204678362568E-2</v>
      </c>
      <c r="Q20" s="50">
        <f>manu_rank!Q20/171</f>
        <v>5.8479532163742687E-3</v>
      </c>
      <c r="R20" s="50">
        <f>manu_rank!R20/171</f>
        <v>2.9239766081871343E-2</v>
      </c>
      <c r="S20" s="50">
        <f>manu_rank!S20/171</f>
        <v>1.7543859649122806E-2</v>
      </c>
    </row>
    <row r="21" spans="1:19" ht="18" customHeight="1" x14ac:dyDescent="0.25">
      <c r="A21" s="5">
        <v>44409</v>
      </c>
      <c r="B21" s="50">
        <f>manu_rank!B21/171</f>
        <v>1.7543859649122806E-2</v>
      </c>
      <c r="C21" s="50">
        <f>manu_rank!C21/171</f>
        <v>6.4327485380116955E-2</v>
      </c>
      <c r="D21" s="50">
        <f>manu_rank!D21/171</f>
        <v>9.9415204678362568E-2</v>
      </c>
      <c r="E21" s="50">
        <f>manu_rank!E21/171</f>
        <v>8.1871345029239762E-2</v>
      </c>
      <c r="F21" s="50">
        <f>manu_rank!F21/171</f>
        <v>7.6023391812865493E-2</v>
      </c>
      <c r="G21" s="50">
        <f>manu_rank!G21/171</f>
        <v>5.2631578947368418E-2</v>
      </c>
      <c r="H21" s="50">
        <f>manu_rank!H21/171</f>
        <v>0.10526315789473684</v>
      </c>
      <c r="I21" s="50">
        <f>manu_rank!I21/171</f>
        <v>9.3567251461988299E-2</v>
      </c>
      <c r="J21" s="50">
        <f>manu_rank!J21/171</f>
        <v>5.8479532163742687E-2</v>
      </c>
      <c r="K21" s="50">
        <f>manu_rank!K21/171</f>
        <v>1.1695906432748537E-2</v>
      </c>
      <c r="L21" s="50">
        <f>manu_rank!L21/171</f>
        <v>2.9239766081871343E-2</v>
      </c>
      <c r="M21" s="50">
        <f>manu_rank!M21/171</f>
        <v>2.3391812865497075E-2</v>
      </c>
      <c r="N21" s="50">
        <f>manu_rank!N21/171</f>
        <v>7.0175438596491224E-2</v>
      </c>
      <c r="O21" s="50">
        <f>manu_rank!O21/171</f>
        <v>8.771929824561403E-2</v>
      </c>
      <c r="P21" s="50">
        <f>manu_rank!P21/171</f>
        <v>3.5087719298245612E-2</v>
      </c>
      <c r="Q21" s="50">
        <f>manu_rank!Q21/171</f>
        <v>5.8479532163742687E-3</v>
      </c>
      <c r="R21" s="50">
        <f>manu_rank!R21/171</f>
        <v>4.6783625730994149E-2</v>
      </c>
      <c r="S21" s="50">
        <f>manu_rank!S21/171</f>
        <v>4.0935672514619881E-2</v>
      </c>
    </row>
    <row r="22" spans="1:19" ht="18" customHeight="1" x14ac:dyDescent="0.25">
      <c r="A22" s="5">
        <v>44440</v>
      </c>
      <c r="B22" s="50">
        <f>manu_rank!B22/171</f>
        <v>7.0175438596491224E-2</v>
      </c>
      <c r="C22" s="50">
        <f>manu_rank!C22/171</f>
        <v>7.6023391812865493E-2</v>
      </c>
      <c r="D22" s="50">
        <f>manu_rank!D22/171</f>
        <v>8.1871345029239762E-2</v>
      </c>
      <c r="E22" s="50">
        <f>manu_rank!E22/171</f>
        <v>8.771929824561403E-2</v>
      </c>
      <c r="F22" s="50">
        <f>manu_rank!F22/171</f>
        <v>3.5087719298245612E-2</v>
      </c>
      <c r="G22" s="50">
        <f>manu_rank!G22/171</f>
        <v>4.0935672514619881E-2</v>
      </c>
      <c r="H22" s="50">
        <f>manu_rank!H22/171</f>
        <v>0.10526315789473684</v>
      </c>
      <c r="I22" s="50">
        <f>manu_rank!I22/171</f>
        <v>9.3567251461988299E-2</v>
      </c>
      <c r="J22" s="50">
        <f>manu_rank!J22/171</f>
        <v>4.6783625730994149E-2</v>
      </c>
      <c r="K22" s="50">
        <f>manu_rank!K22/171</f>
        <v>1.7543859649122806E-2</v>
      </c>
      <c r="L22" s="50">
        <f>manu_rank!L22/171</f>
        <v>5.8479532163742687E-2</v>
      </c>
      <c r="M22" s="50">
        <f>manu_rank!M22/171</f>
        <v>9.9415204678362568E-2</v>
      </c>
      <c r="N22" s="50">
        <f>manu_rank!N22/171</f>
        <v>1.1695906432748537E-2</v>
      </c>
      <c r="O22" s="50">
        <f>manu_rank!O22/171</f>
        <v>2.3391812865497075E-2</v>
      </c>
      <c r="P22" s="50">
        <f>manu_rank!P22/171</f>
        <v>5.2631578947368418E-2</v>
      </c>
      <c r="Q22" s="50">
        <f>manu_rank!Q22/171</f>
        <v>6.4327485380116955E-2</v>
      </c>
      <c r="R22" s="50">
        <f>manu_rank!R22/171</f>
        <v>2.9239766081871343E-2</v>
      </c>
      <c r="S22" s="50">
        <f>manu_rank!S22/171</f>
        <v>5.8479532163742687E-3</v>
      </c>
    </row>
    <row r="23" spans="1:19" ht="18" customHeight="1" x14ac:dyDescent="0.25">
      <c r="A23" s="5">
        <v>44470</v>
      </c>
      <c r="B23" s="50">
        <f>manu_rank!B23/171</f>
        <v>0.10526315789473684</v>
      </c>
      <c r="C23" s="50">
        <f>manu_rank!C23/171</f>
        <v>5.8479532163742687E-2</v>
      </c>
      <c r="D23" s="50">
        <f>manu_rank!D23/171</f>
        <v>6.4327485380116955E-2</v>
      </c>
      <c r="E23" s="50">
        <f>manu_rank!E23/171</f>
        <v>8.771929824561403E-2</v>
      </c>
      <c r="F23" s="50">
        <f>manu_rank!F23/171</f>
        <v>5.2631578947368418E-2</v>
      </c>
      <c r="G23" s="50">
        <f>manu_rank!G23/171</f>
        <v>7.0175438596491224E-2</v>
      </c>
      <c r="H23" s="50">
        <f>manu_rank!H23/171</f>
        <v>9.9415204678362568E-2</v>
      </c>
      <c r="I23" s="50">
        <f>manu_rank!I23/171</f>
        <v>8.1871345029239762E-2</v>
      </c>
      <c r="J23" s="50">
        <f>manu_rank!J23/171</f>
        <v>4.6783625730994149E-2</v>
      </c>
      <c r="K23" s="50">
        <f>manu_rank!K23/171</f>
        <v>1.1695906432748537E-2</v>
      </c>
      <c r="L23" s="50">
        <f>manu_rank!L23/171</f>
        <v>2.9239766081871343E-2</v>
      </c>
      <c r="M23" s="50">
        <f>manu_rank!M23/171</f>
        <v>4.0935672514619881E-2</v>
      </c>
      <c r="N23" s="50">
        <f>manu_rank!N23/171</f>
        <v>3.5087719298245612E-2</v>
      </c>
      <c r="O23" s="50">
        <f>manu_rank!O23/171</f>
        <v>2.3391812865497075E-2</v>
      </c>
      <c r="P23" s="50">
        <f>manu_rank!P23/171</f>
        <v>7.6023391812865493E-2</v>
      </c>
      <c r="Q23" s="50">
        <f>manu_rank!Q23/171</f>
        <v>9.3567251461988299E-2</v>
      </c>
      <c r="R23" s="50">
        <f>manu_rank!R23/171</f>
        <v>1.7543859649122806E-2</v>
      </c>
      <c r="S23" s="50">
        <f>manu_rank!S23/171</f>
        <v>5.8479532163742687E-3</v>
      </c>
    </row>
    <row r="24" spans="1:19" ht="18" customHeight="1" x14ac:dyDescent="0.25">
      <c r="A24" s="5">
        <v>44501</v>
      </c>
      <c r="B24" s="50">
        <f>manu_rank!B24/171</f>
        <v>0.10526315789473684</v>
      </c>
      <c r="C24" s="50">
        <f>manu_rank!C24/171</f>
        <v>5.2631578947368418E-2</v>
      </c>
      <c r="D24" s="50">
        <f>manu_rank!D24/171</f>
        <v>8.771929824561403E-2</v>
      </c>
      <c r="E24" s="50">
        <f>manu_rank!E24/171</f>
        <v>9.3567251461988299E-2</v>
      </c>
      <c r="F24" s="50">
        <f>manu_rank!F24/171</f>
        <v>4.0935672514619881E-2</v>
      </c>
      <c r="G24" s="50">
        <f>manu_rank!G24/171</f>
        <v>6.4327485380116955E-2</v>
      </c>
      <c r="H24" s="50">
        <f>manu_rank!H24/171</f>
        <v>9.9415204678362568E-2</v>
      </c>
      <c r="I24" s="50">
        <f>manu_rank!I24/171</f>
        <v>8.1871345029239762E-2</v>
      </c>
      <c r="J24" s="50">
        <f>manu_rank!J24/171</f>
        <v>5.8479532163742687E-2</v>
      </c>
      <c r="K24" s="50">
        <f>manu_rank!K24/171</f>
        <v>2.3391812865497075E-2</v>
      </c>
      <c r="L24" s="50">
        <f>manu_rank!L24/171</f>
        <v>7.0175438596491224E-2</v>
      </c>
      <c r="M24" s="50">
        <f>manu_rank!M24/171</f>
        <v>4.6783625730994149E-2</v>
      </c>
      <c r="N24" s="50">
        <f>manu_rank!N24/171</f>
        <v>7.6023391812865493E-2</v>
      </c>
      <c r="O24" s="50">
        <f>manu_rank!O24/171</f>
        <v>1.1695906432748537E-2</v>
      </c>
      <c r="P24" s="50">
        <f>manu_rank!P24/171</f>
        <v>5.8479532163742687E-3</v>
      </c>
      <c r="Q24" s="50">
        <f>manu_rank!Q24/171</f>
        <v>2.3391812865497075E-2</v>
      </c>
      <c r="R24" s="50">
        <f>manu_rank!R24/171</f>
        <v>3.5087719298245612E-2</v>
      </c>
      <c r="S24" s="50">
        <f>manu_rank!S24/171</f>
        <v>2.3391812865497075E-2</v>
      </c>
    </row>
    <row r="25" spans="1:19" ht="18" customHeight="1" x14ac:dyDescent="0.25">
      <c r="A25" s="5">
        <v>44531</v>
      </c>
      <c r="B25" s="50">
        <f>manu_rank!B25/171</f>
        <v>0.10526315789473684</v>
      </c>
      <c r="C25" s="50">
        <f>manu_rank!C25/171</f>
        <v>6.4327485380116955E-2</v>
      </c>
      <c r="D25" s="50">
        <f>manu_rank!D25/171</f>
        <v>4.6783625730994149E-2</v>
      </c>
      <c r="E25" s="50">
        <f>manu_rank!E25/171</f>
        <v>5.8479532163742687E-2</v>
      </c>
      <c r="F25" s="50">
        <f>manu_rank!F25/171</f>
        <v>5.2631578947368418E-2</v>
      </c>
      <c r="G25" s="50">
        <f>manu_rank!G25/171</f>
        <v>4.0935672514619881E-2</v>
      </c>
      <c r="H25" s="50">
        <f>manu_rank!H25/171</f>
        <v>9.9415204678362568E-2</v>
      </c>
      <c r="I25" s="50">
        <f>manu_rank!I25/171</f>
        <v>8.1871345029239762E-2</v>
      </c>
      <c r="J25" s="50">
        <f>manu_rank!J25/171</f>
        <v>7.0175438596491224E-2</v>
      </c>
      <c r="K25" s="50">
        <f>manu_rank!K25/171</f>
        <v>7.6023391812865493E-2</v>
      </c>
      <c r="L25" s="50">
        <f>manu_rank!L25/171</f>
        <v>1.7543859649122806E-2</v>
      </c>
      <c r="M25" s="50">
        <f>manu_rank!M25/171</f>
        <v>2.3391812865497075E-2</v>
      </c>
      <c r="N25" s="50">
        <f>manu_rank!N25/171</f>
        <v>8.771929824561403E-2</v>
      </c>
      <c r="O25" s="50">
        <f>manu_rank!O25/171</f>
        <v>2.9239766081871343E-2</v>
      </c>
      <c r="P25" s="50">
        <f>manu_rank!P25/171</f>
        <v>1.1695906432748537E-2</v>
      </c>
      <c r="Q25" s="50">
        <f>manu_rank!Q25/171</f>
        <v>9.3567251461988299E-2</v>
      </c>
      <c r="R25" s="50">
        <f>manu_rank!R25/171</f>
        <v>3.5087719298245612E-2</v>
      </c>
      <c r="S25" s="50">
        <f>manu_rank!S25/171</f>
        <v>5.8479532163742687E-3</v>
      </c>
    </row>
    <row r="26" spans="1:19" ht="18" customHeight="1" x14ac:dyDescent="0.25">
      <c r="A26" s="5">
        <v>44562</v>
      </c>
      <c r="B26" s="50">
        <f>manu_rank!B26/171</f>
        <v>0.10526315789473684</v>
      </c>
      <c r="C26" s="50">
        <f>manu_rank!C26/171</f>
        <v>4.0935672514619881E-2</v>
      </c>
      <c r="D26" s="50">
        <f>manu_rank!D26/171</f>
        <v>4.6783625730994149E-2</v>
      </c>
      <c r="E26" s="50">
        <f>manu_rank!E26/171</f>
        <v>7.6023391812865493E-2</v>
      </c>
      <c r="F26" s="50">
        <f>manu_rank!F26/171</f>
        <v>5.2631578947368418E-2</v>
      </c>
      <c r="G26" s="50">
        <f>manu_rank!G26/171</f>
        <v>7.0175438596491224E-2</v>
      </c>
      <c r="H26" s="50">
        <f>manu_rank!H26/171</f>
        <v>9.9415204678362568E-2</v>
      </c>
      <c r="I26" s="50">
        <f>manu_rank!I26/171</f>
        <v>8.1871345029239762E-2</v>
      </c>
      <c r="J26" s="50">
        <f>manu_rank!J26/171</f>
        <v>9.3567251461988299E-2</v>
      </c>
      <c r="K26" s="50">
        <f>manu_rank!K26/171</f>
        <v>8.771929824561403E-2</v>
      </c>
      <c r="L26" s="50">
        <f>manu_rank!L26/171</f>
        <v>5.8479532163742687E-3</v>
      </c>
      <c r="M26" s="50">
        <f>manu_rank!M26/171</f>
        <v>3.5087719298245612E-2</v>
      </c>
      <c r="N26" s="50">
        <f>manu_rank!N26/171</f>
        <v>2.9239766081871343E-2</v>
      </c>
      <c r="O26" s="50">
        <f>manu_rank!O26/171</f>
        <v>5.8479532163742687E-2</v>
      </c>
      <c r="P26" s="50">
        <f>manu_rank!P26/171</f>
        <v>1.7543859649122806E-2</v>
      </c>
      <c r="Q26" s="50">
        <f>manu_rank!Q26/171</f>
        <v>1.7543859649122806E-2</v>
      </c>
      <c r="R26" s="50">
        <f>manu_rank!R26/171</f>
        <v>6.4327485380116955E-2</v>
      </c>
      <c r="S26" s="50">
        <f>manu_rank!S26/171</f>
        <v>1.7543859649122806E-2</v>
      </c>
    </row>
    <row r="27" spans="1:19" ht="18" customHeight="1" x14ac:dyDescent="0.25">
      <c r="A27" s="5">
        <v>44593</v>
      </c>
      <c r="B27" s="50">
        <f>manu_rank!B27/171</f>
        <v>0.10526315789473684</v>
      </c>
      <c r="C27" s="50">
        <f>manu_rank!C27/171</f>
        <v>2.3391812865497075E-2</v>
      </c>
      <c r="D27" s="50">
        <f>manu_rank!D27/171</f>
        <v>5.8479532163742687E-2</v>
      </c>
      <c r="E27" s="50">
        <f>manu_rank!E27/171</f>
        <v>6.4327485380116955E-2</v>
      </c>
      <c r="F27" s="50">
        <f>manu_rank!F27/171</f>
        <v>4.0935672514619881E-2</v>
      </c>
      <c r="G27" s="50">
        <f>manu_rank!G27/171</f>
        <v>3.5087719298245612E-2</v>
      </c>
      <c r="H27" s="50">
        <f>manu_rank!H27/171</f>
        <v>5.2631578947368418E-2</v>
      </c>
      <c r="I27" s="50">
        <f>manu_rank!I27/171</f>
        <v>8.1871345029239762E-2</v>
      </c>
      <c r="J27" s="50">
        <f>manu_rank!J27/171</f>
        <v>7.6023391812865493E-2</v>
      </c>
      <c r="K27" s="50">
        <f>manu_rank!K27/171</f>
        <v>2.9239766081871343E-2</v>
      </c>
      <c r="L27" s="50">
        <f>manu_rank!L27/171</f>
        <v>9.3567251461988299E-2</v>
      </c>
      <c r="M27" s="50">
        <f>manu_rank!M27/171</f>
        <v>1.7543859649122806E-2</v>
      </c>
      <c r="N27" s="50">
        <f>manu_rank!N27/171</f>
        <v>4.6783625730994149E-2</v>
      </c>
      <c r="O27" s="50">
        <f>manu_rank!O27/171</f>
        <v>7.0175438596491224E-2</v>
      </c>
      <c r="P27" s="50">
        <f>manu_rank!P27/171</f>
        <v>1.1695906432748537E-2</v>
      </c>
      <c r="Q27" s="50">
        <f>manu_rank!Q27/171</f>
        <v>9.9415204678362568E-2</v>
      </c>
      <c r="R27" s="50">
        <f>manu_rank!R27/171</f>
        <v>8.771929824561403E-2</v>
      </c>
      <c r="S27" s="50">
        <f>manu_rank!S27/171</f>
        <v>5.8479532163742687E-3</v>
      </c>
    </row>
    <row r="28" spans="1:19" ht="18" customHeight="1" x14ac:dyDescent="0.25">
      <c r="A28" s="5">
        <v>44621</v>
      </c>
      <c r="B28" s="50">
        <f>manu_rank!B28/171</f>
        <v>0.10526315789473684</v>
      </c>
      <c r="C28" s="50">
        <f>manu_rank!C28/171</f>
        <v>4.6783625730994149E-2</v>
      </c>
      <c r="D28" s="50">
        <f>manu_rank!D28/171</f>
        <v>4.0935672514619881E-2</v>
      </c>
      <c r="E28" s="50">
        <f>manu_rank!E28/171</f>
        <v>8.771929824561403E-2</v>
      </c>
      <c r="F28" s="50">
        <f>manu_rank!F28/171</f>
        <v>5.8479532163742687E-2</v>
      </c>
      <c r="G28" s="50">
        <f>manu_rank!G28/171</f>
        <v>9.3567251461988299E-2</v>
      </c>
      <c r="H28" s="50">
        <f>manu_rank!H28/171</f>
        <v>9.9415204678362568E-2</v>
      </c>
      <c r="I28" s="50">
        <f>manu_rank!I28/171</f>
        <v>7.6023391812865493E-2</v>
      </c>
      <c r="J28" s="50">
        <f>manu_rank!J28/171</f>
        <v>8.1871345029239762E-2</v>
      </c>
      <c r="K28" s="50">
        <f>manu_rank!K28/171</f>
        <v>3.5087719298245612E-2</v>
      </c>
      <c r="L28" s="50">
        <f>manu_rank!L28/171</f>
        <v>5.2631578947368418E-2</v>
      </c>
      <c r="M28" s="50">
        <f>manu_rank!M28/171</f>
        <v>1.1695906432748537E-2</v>
      </c>
      <c r="N28" s="50">
        <f>manu_rank!N28/171</f>
        <v>2.3391812865497075E-2</v>
      </c>
      <c r="O28" s="50">
        <f>manu_rank!O28/171</f>
        <v>2.9239766081871343E-2</v>
      </c>
      <c r="P28" s="50">
        <f>manu_rank!P28/171</f>
        <v>1.7543859649122806E-2</v>
      </c>
      <c r="Q28" s="50">
        <f>manu_rank!Q28/171</f>
        <v>7.0175438596491224E-2</v>
      </c>
      <c r="R28" s="50">
        <f>manu_rank!R28/171</f>
        <v>6.4327485380116955E-2</v>
      </c>
      <c r="S28" s="50">
        <f>manu_rank!S28/171</f>
        <v>5.8479532163742687E-3</v>
      </c>
    </row>
    <row r="29" spans="1:19" ht="18" customHeight="1" x14ac:dyDescent="0.25">
      <c r="A29" s="5">
        <v>44652</v>
      </c>
      <c r="B29" s="50">
        <f>manu_rank!B29/171</f>
        <v>0.10526315789473684</v>
      </c>
      <c r="C29" s="50">
        <f>manu_rank!C29/171</f>
        <v>3.5087719298245612E-2</v>
      </c>
      <c r="D29" s="50">
        <f>manu_rank!D29/171</f>
        <v>8.1871345029239762E-2</v>
      </c>
      <c r="E29" s="50">
        <f>manu_rank!E29/171</f>
        <v>5.8479532163742687E-2</v>
      </c>
      <c r="F29" s="50">
        <f>manu_rank!F29/171</f>
        <v>2.3391812865497075E-2</v>
      </c>
      <c r="G29" s="50">
        <f>manu_rank!G29/171</f>
        <v>7.6023391812865493E-2</v>
      </c>
      <c r="H29" s="50">
        <f>manu_rank!H29/171</f>
        <v>4.0935672514619881E-2</v>
      </c>
      <c r="I29" s="50">
        <f>manu_rank!I29/171</f>
        <v>9.9415204678362568E-2</v>
      </c>
      <c r="J29" s="50">
        <f>manu_rank!J29/171</f>
        <v>1.7543859649122806E-2</v>
      </c>
      <c r="K29" s="50">
        <f>manu_rank!K29/171</f>
        <v>8.771929824561403E-2</v>
      </c>
      <c r="L29" s="50">
        <f>manu_rank!L29/171</f>
        <v>5.2631578947368418E-2</v>
      </c>
      <c r="M29" s="50">
        <f>manu_rank!M29/171</f>
        <v>5.8479532163742687E-3</v>
      </c>
      <c r="N29" s="50">
        <f>manu_rank!N29/171</f>
        <v>9.3567251461988299E-2</v>
      </c>
      <c r="O29" s="50">
        <f>manu_rank!O29/171</f>
        <v>4.6783625730994149E-2</v>
      </c>
      <c r="P29" s="50">
        <f>manu_rank!P29/171</f>
        <v>6.4327485380116955E-2</v>
      </c>
      <c r="Q29" s="50">
        <f>manu_rank!Q29/171</f>
        <v>2.9239766081871343E-2</v>
      </c>
      <c r="R29" s="50">
        <f>manu_rank!R29/171</f>
        <v>7.0175438596491224E-2</v>
      </c>
      <c r="S29" s="50">
        <f>manu_rank!S29/171</f>
        <v>1.1695906432748537E-2</v>
      </c>
    </row>
    <row r="30" spans="1:19" ht="18" customHeight="1" x14ac:dyDescent="0.25">
      <c r="A30" s="5">
        <v>44682</v>
      </c>
      <c r="B30" s="50">
        <f>manu_rank!B30/171</f>
        <v>0.10526315789473684</v>
      </c>
      <c r="C30" s="50">
        <f>manu_rank!C30/171</f>
        <v>4.0935672514619881E-2</v>
      </c>
      <c r="D30" s="50">
        <f>manu_rank!D30/171</f>
        <v>8.1871345029239762E-2</v>
      </c>
      <c r="E30" s="50">
        <f>manu_rank!E30/171</f>
        <v>2.3391812865497075E-2</v>
      </c>
      <c r="F30" s="50">
        <f>manu_rank!F30/171</f>
        <v>4.6783625730994149E-2</v>
      </c>
      <c r="G30" s="50">
        <f>manu_rank!G30/171</f>
        <v>7.6023391812865493E-2</v>
      </c>
      <c r="H30" s="50">
        <f>manu_rank!H30/171</f>
        <v>5.8479532163742687E-3</v>
      </c>
      <c r="I30" s="50">
        <f>manu_rank!I30/171</f>
        <v>9.3567251461988299E-2</v>
      </c>
      <c r="J30" s="50">
        <f>manu_rank!J30/171</f>
        <v>3.5087719298245612E-2</v>
      </c>
      <c r="K30" s="50">
        <f>manu_rank!K30/171</f>
        <v>8.771929824561403E-2</v>
      </c>
      <c r="L30" s="50">
        <f>manu_rank!L30/171</f>
        <v>6.4327485380116955E-2</v>
      </c>
      <c r="M30" s="50">
        <f>manu_rank!M30/171</f>
        <v>5.8479532163742687E-2</v>
      </c>
      <c r="N30" s="50">
        <f>manu_rank!N30/171</f>
        <v>5.2631578947368418E-2</v>
      </c>
      <c r="O30" s="50">
        <f>manu_rank!O30/171</f>
        <v>2.9239766081871343E-2</v>
      </c>
      <c r="P30" s="50">
        <f>manu_rank!P30/171</f>
        <v>9.9415204678362568E-2</v>
      </c>
      <c r="Q30" s="50">
        <f>manu_rank!Q30/171</f>
        <v>1.4619883040935672E-2</v>
      </c>
      <c r="R30" s="50">
        <f>manu_rank!R30/171</f>
        <v>7.0175438596491224E-2</v>
      </c>
      <c r="S30" s="50">
        <f>manu_rank!S30/171</f>
        <v>1.4619883040935672E-2</v>
      </c>
    </row>
    <row r="31" spans="1:19" ht="18" customHeight="1" x14ac:dyDescent="0.25">
      <c r="A31" s="5">
        <v>44713</v>
      </c>
      <c r="B31" s="50">
        <f>manu_rank!B31/171</f>
        <v>0.10526315789473684</v>
      </c>
      <c r="C31" s="50">
        <f>manu_rank!C31/171</f>
        <v>2.3391812865497075E-2</v>
      </c>
      <c r="D31" s="50">
        <f>manu_rank!D31/171</f>
        <v>8.771929824561403E-2</v>
      </c>
      <c r="E31" s="50">
        <f>manu_rank!E31/171</f>
        <v>7.6023391812865493E-2</v>
      </c>
      <c r="F31" s="50">
        <f>manu_rank!F31/171</f>
        <v>4.6783625730994149E-2</v>
      </c>
      <c r="G31" s="50">
        <f>manu_rank!G31/171</f>
        <v>2.9239766081871343E-2</v>
      </c>
      <c r="H31" s="50">
        <f>manu_rank!H31/171</f>
        <v>1.7543859649122806E-2</v>
      </c>
      <c r="I31" s="50">
        <f>manu_rank!I31/171</f>
        <v>8.1871345029239762E-2</v>
      </c>
      <c r="J31" s="50">
        <f>manu_rank!J31/171</f>
        <v>4.0935672514619881E-2</v>
      </c>
      <c r="K31" s="50">
        <f>manu_rank!K31/171</f>
        <v>6.4327485380116955E-2</v>
      </c>
      <c r="L31" s="50">
        <f>manu_rank!L31/171</f>
        <v>5.8479532163742687E-3</v>
      </c>
      <c r="M31" s="50">
        <f>manu_rank!M31/171</f>
        <v>3.5087719298245612E-2</v>
      </c>
      <c r="N31" s="50">
        <f>manu_rank!N31/171</f>
        <v>5.8479532163742687E-2</v>
      </c>
      <c r="O31" s="50">
        <f>manu_rank!O31/171</f>
        <v>7.0175438596491224E-2</v>
      </c>
      <c r="P31" s="50">
        <f>manu_rank!P31/171</f>
        <v>9.3567251461988299E-2</v>
      </c>
      <c r="Q31" s="50">
        <f>manu_rank!Q31/171</f>
        <v>9.9415204678362568E-2</v>
      </c>
      <c r="R31" s="50">
        <f>manu_rank!R31/171</f>
        <v>5.2631578947368418E-2</v>
      </c>
      <c r="S31" s="50">
        <f>manu_rank!S31/171</f>
        <v>1.1695906432748537E-2</v>
      </c>
    </row>
    <row r="32" spans="1:19" ht="18" customHeight="1" x14ac:dyDescent="0.25">
      <c r="A32" s="5">
        <v>44743</v>
      </c>
      <c r="B32" s="50">
        <f>manu_rank!B32/171</f>
        <v>0.10526315789473684</v>
      </c>
      <c r="C32" s="50">
        <f>manu_rank!C32/171</f>
        <v>4.0935672514619881E-2</v>
      </c>
      <c r="D32" s="50">
        <f>manu_rank!D32/171</f>
        <v>8.1871345029239762E-2</v>
      </c>
      <c r="E32" s="50">
        <f>manu_rank!E32/171</f>
        <v>4.6783625730994149E-2</v>
      </c>
      <c r="F32" s="50">
        <f>manu_rank!F32/171</f>
        <v>2.9239766081871343E-2</v>
      </c>
      <c r="G32" s="50">
        <f>manu_rank!G32/171</f>
        <v>3.5087719298245612E-2</v>
      </c>
      <c r="H32" s="50">
        <f>manu_rank!H32/171</f>
        <v>1.1695906432748537E-2</v>
      </c>
      <c r="I32" s="50">
        <f>manu_rank!I32/171</f>
        <v>7.0175438596491224E-2</v>
      </c>
      <c r="J32" s="50">
        <f>manu_rank!J32/171</f>
        <v>2.3391812865497075E-2</v>
      </c>
      <c r="K32" s="50">
        <f>manu_rank!K32/171</f>
        <v>9.9415204678362568E-2</v>
      </c>
      <c r="L32" s="50">
        <f>manu_rank!L32/171</f>
        <v>1.7543859649122806E-2</v>
      </c>
      <c r="M32" s="50">
        <f>manu_rank!M32/171</f>
        <v>9.3567251461988299E-2</v>
      </c>
      <c r="N32" s="50">
        <f>manu_rank!N32/171</f>
        <v>5.2631578947368418E-2</v>
      </c>
      <c r="O32" s="50">
        <f>manu_rank!O32/171</f>
        <v>5.8479532163742687E-2</v>
      </c>
      <c r="P32" s="50">
        <f>manu_rank!P32/171</f>
        <v>8.771929824561403E-2</v>
      </c>
      <c r="Q32" s="50">
        <f>manu_rank!Q32/171</f>
        <v>6.4327485380116955E-2</v>
      </c>
      <c r="R32" s="50">
        <f>manu_rank!R32/171</f>
        <v>7.6023391812865493E-2</v>
      </c>
      <c r="S32" s="50">
        <f>manu_rank!S32/171</f>
        <v>5.8479532163742687E-3</v>
      </c>
    </row>
    <row r="33" spans="1:19" ht="18" customHeight="1" x14ac:dyDescent="0.25">
      <c r="A33" s="5">
        <v>44774</v>
      </c>
      <c r="B33" s="50">
        <f>manu_rank!B33/171</f>
        <v>1.1695906432748537E-2</v>
      </c>
      <c r="C33" s="50">
        <f>manu_rank!C33/171</f>
        <v>2.9239766081871343E-2</v>
      </c>
      <c r="D33" s="50">
        <f>manu_rank!D33/171</f>
        <v>8.771929824561403E-2</v>
      </c>
      <c r="E33" s="50">
        <f>manu_rank!E33/171</f>
        <v>4.0935672514619881E-2</v>
      </c>
      <c r="F33" s="50">
        <f>manu_rank!F33/171</f>
        <v>3.5087719298245612E-2</v>
      </c>
      <c r="G33" s="50">
        <f>manu_rank!G33/171</f>
        <v>5.2631578947368418E-2</v>
      </c>
      <c r="H33" s="50">
        <f>manu_rank!H33/171</f>
        <v>1.7543859649122806E-2</v>
      </c>
      <c r="I33" s="50">
        <f>manu_rank!I33/171</f>
        <v>6.4327485380116955E-2</v>
      </c>
      <c r="J33" s="50">
        <f>manu_rank!J33/171</f>
        <v>5.8479532163742687E-2</v>
      </c>
      <c r="K33" s="50">
        <f>manu_rank!K33/171</f>
        <v>0.10526315789473684</v>
      </c>
      <c r="L33" s="50">
        <f>manu_rank!L33/171</f>
        <v>2.3391812865497075E-2</v>
      </c>
      <c r="M33" s="50">
        <f>manu_rank!M33/171</f>
        <v>9.9415204678362568E-2</v>
      </c>
      <c r="N33" s="50">
        <f>manu_rank!N33/171</f>
        <v>7.6023391812865493E-2</v>
      </c>
      <c r="O33" s="50">
        <f>manu_rank!O33/171</f>
        <v>7.0175438596491224E-2</v>
      </c>
      <c r="P33" s="50">
        <f>manu_rank!P33/171</f>
        <v>8.1871345029239762E-2</v>
      </c>
      <c r="Q33" s="50">
        <f>manu_rank!Q33/171</f>
        <v>4.6783625730994149E-2</v>
      </c>
      <c r="R33" s="50">
        <f>manu_rank!R33/171</f>
        <v>9.3567251461988299E-2</v>
      </c>
      <c r="S33" s="50">
        <f>manu_rank!S33/171</f>
        <v>5.8479532163742687E-3</v>
      </c>
    </row>
    <row r="34" spans="1:19" ht="18" customHeight="1" x14ac:dyDescent="0.25">
      <c r="A34" s="5">
        <v>44805</v>
      </c>
      <c r="B34" s="50">
        <f>manu_rank!B34/171</f>
        <v>8.1871345029239762E-2</v>
      </c>
      <c r="C34" s="50">
        <f>manu_rank!C34/171</f>
        <v>3.5087719298245612E-2</v>
      </c>
      <c r="D34" s="50">
        <f>manu_rank!D34/171</f>
        <v>6.4327485380116955E-2</v>
      </c>
      <c r="E34" s="50">
        <f>manu_rank!E34/171</f>
        <v>5.8479532163742687E-2</v>
      </c>
      <c r="F34" s="50">
        <f>manu_rank!F34/171</f>
        <v>4.0935672514619881E-2</v>
      </c>
      <c r="G34" s="50">
        <f>manu_rank!G34/171</f>
        <v>7.0175438596491224E-2</v>
      </c>
      <c r="H34" s="50">
        <f>manu_rank!H34/171</f>
        <v>5.8479532163742687E-3</v>
      </c>
      <c r="I34" s="50">
        <f>manu_rank!I34/171</f>
        <v>9.9415204678362568E-2</v>
      </c>
      <c r="J34" s="50">
        <f>manu_rank!J34/171</f>
        <v>8.771929824561403E-2</v>
      </c>
      <c r="K34" s="50">
        <f>manu_rank!K34/171</f>
        <v>0.10526315789473684</v>
      </c>
      <c r="L34" s="50">
        <f>manu_rank!L34/171</f>
        <v>2.9239766081871343E-2</v>
      </c>
      <c r="M34" s="50">
        <f>manu_rank!M34/171</f>
        <v>4.9707602339181284E-2</v>
      </c>
      <c r="N34" s="50">
        <f>manu_rank!N34/171</f>
        <v>9.3567251461988299E-2</v>
      </c>
      <c r="O34" s="50">
        <f>manu_rank!O34/171</f>
        <v>4.9707602339181284E-2</v>
      </c>
      <c r="P34" s="50">
        <f>manu_rank!P34/171</f>
        <v>2.3391812865497075E-2</v>
      </c>
      <c r="Q34" s="50">
        <f>manu_rank!Q34/171</f>
        <v>1.1695906432748537E-2</v>
      </c>
      <c r="R34" s="50">
        <f>manu_rank!R34/171</f>
        <v>7.6023391812865493E-2</v>
      </c>
      <c r="S34" s="50">
        <f>manu_rank!S34/171</f>
        <v>1.7543859649122806E-2</v>
      </c>
    </row>
    <row r="35" spans="1:19" ht="18" customHeight="1" x14ac:dyDescent="0.25">
      <c r="A35" s="5">
        <v>44835</v>
      </c>
      <c r="B35" s="50">
        <f>manu_rank!B35/171</f>
        <v>0.10526315789473684</v>
      </c>
      <c r="C35" s="50">
        <f>manu_rank!C35/171</f>
        <v>4.0935672514619881E-2</v>
      </c>
      <c r="D35" s="50">
        <f>manu_rank!D35/171</f>
        <v>5.2631578947368418E-2</v>
      </c>
      <c r="E35" s="50">
        <f>manu_rank!E35/171</f>
        <v>6.4327485380116955E-2</v>
      </c>
      <c r="F35" s="50">
        <f>manu_rank!F35/171</f>
        <v>3.5087719298245612E-2</v>
      </c>
      <c r="G35" s="50">
        <f>manu_rank!G35/171</f>
        <v>5.8479532163742687E-2</v>
      </c>
      <c r="H35" s="50">
        <f>manu_rank!H35/171</f>
        <v>5.8479532163742687E-3</v>
      </c>
      <c r="I35" s="50">
        <f>manu_rank!I35/171</f>
        <v>9.3567251461988299E-2</v>
      </c>
      <c r="J35" s="50">
        <f>manu_rank!J35/171</f>
        <v>7.6023391812865493E-2</v>
      </c>
      <c r="K35" s="50">
        <f>manu_rank!K35/171</f>
        <v>9.9415204678362568E-2</v>
      </c>
      <c r="L35" s="50">
        <f>manu_rank!L35/171</f>
        <v>1.7543859649122806E-2</v>
      </c>
      <c r="M35" s="50">
        <f>manu_rank!M35/171</f>
        <v>8.771929824561403E-2</v>
      </c>
      <c r="N35" s="50">
        <f>manu_rank!N35/171</f>
        <v>7.0175438596491224E-2</v>
      </c>
      <c r="O35" s="50">
        <f>manu_rank!O35/171</f>
        <v>4.6783625730994149E-2</v>
      </c>
      <c r="P35" s="50">
        <f>manu_rank!P35/171</f>
        <v>2.9239766081871343E-2</v>
      </c>
      <c r="Q35" s="50">
        <f>manu_rank!Q35/171</f>
        <v>2.3391812865497075E-2</v>
      </c>
      <c r="R35" s="50">
        <f>manu_rank!R35/171</f>
        <v>8.1871345029239762E-2</v>
      </c>
      <c r="S35" s="50">
        <f>manu_rank!S35/171</f>
        <v>1.1695906432748537E-2</v>
      </c>
    </row>
    <row r="36" spans="1:19" ht="18" customHeight="1" x14ac:dyDescent="0.25">
      <c r="A36" s="5">
        <v>44866</v>
      </c>
      <c r="B36" s="50">
        <f>manu_rank!B36/171</f>
        <v>0.10526315789473684</v>
      </c>
      <c r="C36" s="50">
        <f>manu_rank!C36/171</f>
        <v>4.0935672514619881E-2</v>
      </c>
      <c r="D36" s="50">
        <f>manu_rank!D36/171</f>
        <v>5.2631578947368418E-2</v>
      </c>
      <c r="E36" s="50">
        <f>manu_rank!E36/171</f>
        <v>7.0175438596491224E-2</v>
      </c>
      <c r="F36" s="50">
        <f>manu_rank!F36/171</f>
        <v>2.9239766081871343E-2</v>
      </c>
      <c r="G36" s="50">
        <f>manu_rank!G36/171</f>
        <v>5.8479532163742687E-2</v>
      </c>
      <c r="H36" s="50">
        <f>manu_rank!H36/171</f>
        <v>3.5087719298245612E-2</v>
      </c>
      <c r="I36" s="50">
        <f>manu_rank!I36/171</f>
        <v>6.4327485380116955E-2</v>
      </c>
      <c r="J36" s="50">
        <f>manu_rank!J36/171</f>
        <v>8.771929824561403E-2</v>
      </c>
      <c r="K36" s="50">
        <f>manu_rank!K36/171</f>
        <v>9.9415204678362568E-2</v>
      </c>
      <c r="L36" s="50">
        <f>manu_rank!L36/171</f>
        <v>1.7543859649122806E-2</v>
      </c>
      <c r="M36" s="50">
        <f>manu_rank!M36/171</f>
        <v>8.1871345029239762E-2</v>
      </c>
      <c r="N36" s="50">
        <f>manu_rank!N36/171</f>
        <v>4.6783625730994149E-2</v>
      </c>
      <c r="O36" s="50">
        <f>manu_rank!O36/171</f>
        <v>9.3567251461988299E-2</v>
      </c>
      <c r="P36" s="50">
        <f>manu_rank!P36/171</f>
        <v>5.8479532163742687E-3</v>
      </c>
      <c r="Q36" s="50">
        <f>manu_rank!Q36/171</f>
        <v>2.3391812865497075E-2</v>
      </c>
      <c r="R36" s="50">
        <f>manu_rank!R36/171</f>
        <v>7.6023391812865493E-2</v>
      </c>
      <c r="S36" s="50">
        <f>manu_rank!S36/171</f>
        <v>1.1695906432748537E-2</v>
      </c>
    </row>
    <row r="37" spans="1:19" ht="18" customHeight="1" x14ac:dyDescent="0.25">
      <c r="A37" s="5">
        <v>44896</v>
      </c>
      <c r="B37" s="50">
        <f>manu_rank!B37/171</f>
        <v>4.6783625730994149E-2</v>
      </c>
      <c r="C37" s="50">
        <f>manu_rank!C37/171</f>
        <v>1.7543859649122806E-2</v>
      </c>
      <c r="D37" s="50">
        <f>manu_rank!D37/171</f>
        <v>5.2631578947368418E-2</v>
      </c>
      <c r="E37" s="50">
        <f>manu_rank!E37/171</f>
        <v>3.5087719298245612E-2</v>
      </c>
      <c r="F37" s="50">
        <f>manu_rank!F37/171</f>
        <v>1.1695906432748537E-2</v>
      </c>
      <c r="G37" s="50">
        <f>manu_rank!G37/171</f>
        <v>6.4327485380116955E-2</v>
      </c>
      <c r="H37" s="50">
        <f>manu_rank!H37/171</f>
        <v>4.0935672514619881E-2</v>
      </c>
      <c r="I37" s="50">
        <f>manu_rank!I37/171</f>
        <v>5.8479532163742687E-2</v>
      </c>
      <c r="J37" s="50">
        <f>manu_rank!J37/171</f>
        <v>7.6023391812865493E-2</v>
      </c>
      <c r="K37" s="50">
        <f>manu_rank!K37/171</f>
        <v>8.771929824561403E-2</v>
      </c>
      <c r="L37" s="50">
        <f>manu_rank!L37/171</f>
        <v>2.3391812865497075E-2</v>
      </c>
      <c r="M37" s="50">
        <f>manu_rank!M37/171</f>
        <v>9.9415204678362568E-2</v>
      </c>
      <c r="N37" s="50">
        <f>manu_rank!N37/171</f>
        <v>2.9239766081871343E-2</v>
      </c>
      <c r="O37" s="50">
        <f>manu_rank!O37/171</f>
        <v>0.10526315789473684</v>
      </c>
      <c r="P37" s="50">
        <f>manu_rank!P37/171</f>
        <v>8.771929824561403E-2</v>
      </c>
      <c r="Q37" s="50">
        <f>manu_rank!Q37/171</f>
        <v>8.771929824561403E-2</v>
      </c>
      <c r="R37" s="50">
        <f>manu_rank!R37/171</f>
        <v>7.0175438596491224E-2</v>
      </c>
      <c r="S37" s="50">
        <f>manu_rank!S37/171</f>
        <v>5.8479532163742687E-3</v>
      </c>
    </row>
    <row r="38" spans="1:19" ht="18" customHeight="1" x14ac:dyDescent="0.25">
      <c r="A38" s="5">
        <v>44927</v>
      </c>
      <c r="B38" s="50">
        <f>manu_rank!B38/171</f>
        <v>2.9239766081871343E-2</v>
      </c>
      <c r="C38" s="50">
        <f>manu_rank!C38/171</f>
        <v>6.4327485380116955E-2</v>
      </c>
      <c r="D38" s="50">
        <f>manu_rank!D38/171</f>
        <v>8.771929824561403E-2</v>
      </c>
      <c r="E38" s="50">
        <f>manu_rank!E38/171</f>
        <v>4.0935672514619881E-2</v>
      </c>
      <c r="F38" s="50">
        <f>manu_rank!F38/171</f>
        <v>5.8479532163742687E-2</v>
      </c>
      <c r="G38" s="50">
        <f>manu_rank!G38/171</f>
        <v>7.6023391812865493E-2</v>
      </c>
      <c r="H38" s="50">
        <f>manu_rank!H38/171</f>
        <v>2.3391812865497075E-2</v>
      </c>
      <c r="I38" s="50">
        <f>manu_rank!I38/171</f>
        <v>7.0175438596491224E-2</v>
      </c>
      <c r="J38" s="50">
        <f>manu_rank!J38/171</f>
        <v>0.10526315789473684</v>
      </c>
      <c r="K38" s="50">
        <f>manu_rank!K38/171</f>
        <v>5.2631578947368418E-2</v>
      </c>
      <c r="L38" s="50">
        <f>manu_rank!L38/171</f>
        <v>1.7543859649122806E-2</v>
      </c>
      <c r="M38" s="50">
        <f>manu_rank!M38/171</f>
        <v>8.1871345029239762E-2</v>
      </c>
      <c r="N38" s="50">
        <f>manu_rank!N38/171</f>
        <v>3.5087719298245612E-2</v>
      </c>
      <c r="O38" s="50">
        <f>manu_rank!O38/171</f>
        <v>4.6783625730994149E-2</v>
      </c>
      <c r="P38" s="50">
        <f>manu_rank!P38/171</f>
        <v>1.1695906432748537E-2</v>
      </c>
      <c r="Q38" s="50">
        <f>manu_rank!Q38/171</f>
        <v>9.3567251461988299E-2</v>
      </c>
      <c r="R38" s="50">
        <f>manu_rank!R38/171</f>
        <v>9.9415204678362568E-2</v>
      </c>
      <c r="S38" s="50">
        <f>manu_rank!S38/171</f>
        <v>5.8479532163742687E-3</v>
      </c>
    </row>
    <row r="39" spans="1:19" ht="18" customHeight="1" x14ac:dyDescent="0.25">
      <c r="A39" s="5">
        <v>44958</v>
      </c>
      <c r="B39" s="50">
        <f>manu_rank!B39/171</f>
        <v>0.10526315789473684</v>
      </c>
      <c r="C39" s="50">
        <f>manu_rank!C39/171</f>
        <v>5.2631578947368418E-2</v>
      </c>
      <c r="D39" s="50">
        <f>manu_rank!D39/171</f>
        <v>6.4327485380116955E-2</v>
      </c>
      <c r="E39" s="50">
        <f>manu_rank!E39/171</f>
        <v>8.771929824561403E-2</v>
      </c>
      <c r="F39" s="50">
        <f>manu_rank!F39/171</f>
        <v>7.0175438596491224E-2</v>
      </c>
      <c r="G39" s="50">
        <f>manu_rank!G39/171</f>
        <v>4.6783625730994149E-2</v>
      </c>
      <c r="H39" s="50">
        <f>manu_rank!H39/171</f>
        <v>2.9239766081871343E-2</v>
      </c>
      <c r="I39" s="50">
        <f>manu_rank!I39/171</f>
        <v>7.6023391812865493E-2</v>
      </c>
      <c r="J39" s="50">
        <f>manu_rank!J39/171</f>
        <v>8.1871345029239762E-2</v>
      </c>
      <c r="K39" s="50">
        <f>manu_rank!K39/171</f>
        <v>3.5087719298245612E-2</v>
      </c>
      <c r="L39" s="50">
        <f>manu_rank!L39/171</f>
        <v>1.1695906432748537E-2</v>
      </c>
      <c r="M39" s="50">
        <f>manu_rank!M39/171</f>
        <v>9.3567251461988299E-2</v>
      </c>
      <c r="N39" s="50">
        <f>manu_rank!N39/171</f>
        <v>4.0935672514619881E-2</v>
      </c>
      <c r="O39" s="50">
        <f>manu_rank!O39/171</f>
        <v>5.8479532163742687E-2</v>
      </c>
      <c r="P39" s="50">
        <f>manu_rank!P39/171</f>
        <v>5.8479532163742687E-3</v>
      </c>
      <c r="Q39" s="50">
        <f>manu_rank!Q39/171</f>
        <v>2.3391812865497075E-2</v>
      </c>
      <c r="R39" s="50">
        <f>manu_rank!R39/171</f>
        <v>9.9415204678362568E-2</v>
      </c>
      <c r="S39" s="50">
        <f>manu_rank!S39/171</f>
        <v>1.7543859649122806E-2</v>
      </c>
    </row>
    <row r="40" spans="1:19" ht="18" customHeight="1" x14ac:dyDescent="0.25">
      <c r="A40" s="5">
        <v>44986</v>
      </c>
      <c r="B40" s="50">
        <f>manu_rank!B40/171</f>
        <v>4.6783625730994149E-2</v>
      </c>
      <c r="C40" s="50">
        <f>manu_rank!C40/171</f>
        <v>5.2631578947368418E-2</v>
      </c>
      <c r="D40" s="50">
        <f>manu_rank!D40/171</f>
        <v>5.8479532163742687E-2</v>
      </c>
      <c r="E40" s="50">
        <f>manu_rank!E40/171</f>
        <v>6.4327485380116955E-2</v>
      </c>
      <c r="F40" s="50">
        <f>manu_rank!F40/171</f>
        <v>9.3567251461988299E-2</v>
      </c>
      <c r="G40" s="50">
        <f>manu_rank!G40/171</f>
        <v>4.0935672514619881E-2</v>
      </c>
      <c r="H40" s="50">
        <f>manu_rank!H40/171</f>
        <v>5.8479532163742687E-3</v>
      </c>
      <c r="I40" s="50">
        <f>manu_rank!I40/171</f>
        <v>7.6023391812865493E-2</v>
      </c>
      <c r="J40" s="50">
        <f>manu_rank!J40/171</f>
        <v>9.9415204678362568E-2</v>
      </c>
      <c r="K40" s="50">
        <f>manu_rank!K40/171</f>
        <v>1.1695906432748537E-2</v>
      </c>
      <c r="L40" s="50">
        <f>manu_rank!L40/171</f>
        <v>2.9239766081871343E-2</v>
      </c>
      <c r="M40" s="50">
        <f>manu_rank!M40/171</f>
        <v>8.771929824561403E-2</v>
      </c>
      <c r="N40" s="50">
        <f>manu_rank!N40/171</f>
        <v>2.3391812865497075E-2</v>
      </c>
      <c r="O40" s="50">
        <f>manu_rank!O40/171</f>
        <v>8.1871345029239762E-2</v>
      </c>
      <c r="P40" s="50">
        <f>manu_rank!P40/171</f>
        <v>0.10526315789473684</v>
      </c>
      <c r="Q40" s="50">
        <f>manu_rank!Q40/171</f>
        <v>1.7543859649122806E-2</v>
      </c>
      <c r="R40" s="50">
        <f>manu_rank!R40/171</f>
        <v>7.0175438596491224E-2</v>
      </c>
      <c r="S40" s="50">
        <f>manu_rank!S40/171</f>
        <v>3.5087719298245612E-2</v>
      </c>
    </row>
    <row r="41" spans="1:19" ht="18" customHeight="1" x14ac:dyDescent="0.25">
      <c r="A41" s="5">
        <v>45017</v>
      </c>
      <c r="B41" s="50">
        <f>manu_rank!B41/171</f>
        <v>9.9415204678362568E-2</v>
      </c>
      <c r="C41" s="50">
        <f>manu_rank!C41/171</f>
        <v>3.5087719298245612E-2</v>
      </c>
      <c r="D41" s="50">
        <f>manu_rank!D41/171</f>
        <v>5.2631578947368418E-2</v>
      </c>
      <c r="E41" s="50">
        <f>manu_rank!E41/171</f>
        <v>2.3391812865497075E-2</v>
      </c>
      <c r="F41" s="50">
        <f>manu_rank!F41/171</f>
        <v>8.771929824561403E-2</v>
      </c>
      <c r="G41" s="50">
        <f>manu_rank!G41/171</f>
        <v>5.8479532163742687E-2</v>
      </c>
      <c r="H41" s="50">
        <f>manu_rank!H41/171</f>
        <v>5.8479532163742687E-3</v>
      </c>
      <c r="I41" s="50">
        <f>manu_rank!I41/171</f>
        <v>4.0935672514619881E-2</v>
      </c>
      <c r="J41" s="50">
        <f>manu_rank!J41/171</f>
        <v>6.4327485380116955E-2</v>
      </c>
      <c r="K41" s="50">
        <f>manu_rank!K41/171</f>
        <v>1.7543859649122806E-2</v>
      </c>
      <c r="L41" s="50">
        <f>manu_rank!L41/171</f>
        <v>7.3099415204678359E-2</v>
      </c>
      <c r="M41" s="50">
        <f>manu_rank!M41/171</f>
        <v>9.3567251461988299E-2</v>
      </c>
      <c r="N41" s="50">
        <f>manu_rank!N41/171</f>
        <v>2.9239766081871343E-2</v>
      </c>
      <c r="O41" s="50">
        <f>manu_rank!O41/171</f>
        <v>4.6783625730994149E-2</v>
      </c>
      <c r="P41" s="50">
        <f>manu_rank!P41/171</f>
        <v>0.10526315789473684</v>
      </c>
      <c r="Q41" s="50">
        <f>manu_rank!Q41/171</f>
        <v>7.3099415204678359E-2</v>
      </c>
      <c r="R41" s="50">
        <f>manu_rank!R41/171</f>
        <v>8.1871345029239762E-2</v>
      </c>
      <c r="S41" s="50">
        <f>manu_rank!S41/171</f>
        <v>1.1695906432748537E-2</v>
      </c>
    </row>
    <row r="42" spans="1:19" ht="18" customHeight="1" x14ac:dyDescent="0.25">
      <c r="A42" s="5">
        <v>45047</v>
      </c>
      <c r="B42" s="50">
        <f>manu_rank!B42/171</f>
        <v>1.7543859649122806E-2</v>
      </c>
      <c r="C42" s="50">
        <f>manu_rank!C42/171</f>
        <v>4.6783625730994149E-2</v>
      </c>
      <c r="D42" s="50">
        <f>manu_rank!D42/171</f>
        <v>5.8479532163742687E-2</v>
      </c>
      <c r="E42" s="50">
        <f>manu_rank!E42/171</f>
        <v>6.4327485380116955E-2</v>
      </c>
      <c r="F42" s="50">
        <f>manu_rank!F42/171</f>
        <v>8.771929824561403E-2</v>
      </c>
      <c r="G42" s="50">
        <f>manu_rank!G42/171</f>
        <v>5.2631578947368418E-2</v>
      </c>
      <c r="H42" s="50">
        <f>manu_rank!H42/171</f>
        <v>9.9415204678362568E-2</v>
      </c>
      <c r="I42" s="50">
        <f>manu_rank!I42/171</f>
        <v>7.6023391812865493E-2</v>
      </c>
      <c r="J42" s="50">
        <f>manu_rank!J42/171</f>
        <v>8.1871345029239762E-2</v>
      </c>
      <c r="K42" s="50">
        <f>manu_rank!K42/171</f>
        <v>0.10526315789473684</v>
      </c>
      <c r="L42" s="50">
        <f>manu_rank!L42/171</f>
        <v>2.9239766081871343E-2</v>
      </c>
      <c r="M42" s="50">
        <f>manu_rank!M42/171</f>
        <v>4.0935672514619881E-2</v>
      </c>
      <c r="N42" s="50">
        <f>manu_rank!N42/171</f>
        <v>7.0175438596491224E-2</v>
      </c>
      <c r="O42" s="50">
        <f>manu_rank!O42/171</f>
        <v>1.1695906432748537E-2</v>
      </c>
      <c r="P42" s="50">
        <f>manu_rank!P42/171</f>
        <v>3.5087719298245612E-2</v>
      </c>
      <c r="Q42" s="50">
        <f>manu_rank!Q42/171</f>
        <v>2.3391812865497075E-2</v>
      </c>
      <c r="R42" s="50">
        <f>manu_rank!R42/171</f>
        <v>9.3567251461988299E-2</v>
      </c>
      <c r="S42" s="50">
        <f>manu_rank!S42/171</f>
        <v>5.8479532163742687E-3</v>
      </c>
    </row>
    <row r="43" spans="1:19" ht="18" customHeight="1" x14ac:dyDescent="0.25">
      <c r="A43" s="5">
        <v>45078</v>
      </c>
      <c r="B43" s="50">
        <f>manu_rank!B43/171</f>
        <v>7.6023391812865493E-2</v>
      </c>
      <c r="C43" s="50">
        <f>manu_rank!C43/171</f>
        <v>2.3391812865497075E-2</v>
      </c>
      <c r="D43" s="50">
        <f>manu_rank!D43/171</f>
        <v>4.0935672514619881E-2</v>
      </c>
      <c r="E43" s="50">
        <f>manu_rank!E43/171</f>
        <v>3.5087719298245612E-2</v>
      </c>
      <c r="F43" s="50">
        <f>manu_rank!F43/171</f>
        <v>5.2631578947368418E-2</v>
      </c>
      <c r="G43" s="50">
        <f>manu_rank!G43/171</f>
        <v>5.8479532163742687E-2</v>
      </c>
      <c r="H43" s="50">
        <f>manu_rank!H43/171</f>
        <v>7.6023391812865493E-2</v>
      </c>
      <c r="I43" s="50">
        <f>manu_rank!I43/171</f>
        <v>6.4327485380116955E-2</v>
      </c>
      <c r="J43" s="50">
        <f>manu_rank!J43/171</f>
        <v>2.9239766081871343E-2</v>
      </c>
      <c r="K43" s="50">
        <f>manu_rank!K43/171</f>
        <v>9.9415204678362568E-2</v>
      </c>
      <c r="L43" s="50">
        <f>manu_rank!L43/171</f>
        <v>4.6783625730994149E-2</v>
      </c>
      <c r="M43" s="50">
        <f>manu_rank!M43/171</f>
        <v>7.6023391812865493E-2</v>
      </c>
      <c r="N43" s="50">
        <f>manu_rank!N43/171</f>
        <v>5.8479532163742687E-3</v>
      </c>
      <c r="O43" s="50">
        <f>manu_rank!O43/171</f>
        <v>9.3567251461988299E-2</v>
      </c>
      <c r="P43" s="50">
        <f>manu_rank!P43/171</f>
        <v>0.10526315789473684</v>
      </c>
      <c r="Q43" s="50">
        <f>manu_rank!Q43/171</f>
        <v>1.7543859649122806E-2</v>
      </c>
      <c r="R43" s="50">
        <f>manu_rank!R43/171</f>
        <v>8.771929824561403E-2</v>
      </c>
      <c r="S43" s="50">
        <f>manu_rank!S43/171</f>
        <v>1.1695906432748537E-2</v>
      </c>
    </row>
    <row r="44" spans="1:19" ht="18" customHeight="1" x14ac:dyDescent="0.25">
      <c r="A44" s="5">
        <v>45108</v>
      </c>
      <c r="B44" s="50">
        <f>manu_rank!B44/171</f>
        <v>5.8479532163742687E-3</v>
      </c>
      <c r="C44" s="50">
        <f>manu_rank!C44/171</f>
        <v>4.0935672514619881E-2</v>
      </c>
      <c r="D44" s="50">
        <f>manu_rank!D44/171</f>
        <v>3.5087719298245612E-2</v>
      </c>
      <c r="E44" s="50">
        <f>manu_rank!E44/171</f>
        <v>5.8479532163742687E-2</v>
      </c>
      <c r="F44" s="50">
        <f>manu_rank!F44/171</f>
        <v>7.6023391812865493E-2</v>
      </c>
      <c r="G44" s="50">
        <f>manu_rank!G44/171</f>
        <v>5.2631578947368418E-2</v>
      </c>
      <c r="H44" s="50">
        <f>manu_rank!H44/171</f>
        <v>9.9415204678362568E-2</v>
      </c>
      <c r="I44" s="50">
        <f>manu_rank!I44/171</f>
        <v>9.3567251461988299E-2</v>
      </c>
      <c r="J44" s="50">
        <f>manu_rank!J44/171</f>
        <v>7.0175438596491224E-2</v>
      </c>
      <c r="K44" s="50">
        <f>manu_rank!K44/171</f>
        <v>8.771929824561403E-2</v>
      </c>
      <c r="L44" s="50">
        <f>manu_rank!L44/171</f>
        <v>1.7543859649122806E-2</v>
      </c>
      <c r="M44" s="50">
        <f>manu_rank!M44/171</f>
        <v>0.10526315789473684</v>
      </c>
      <c r="N44" s="50">
        <f>manu_rank!N44/171</f>
        <v>1.1695906432748537E-2</v>
      </c>
      <c r="O44" s="50">
        <f>manu_rank!O44/171</f>
        <v>4.6783625730994149E-2</v>
      </c>
      <c r="P44" s="50">
        <f>manu_rank!P44/171</f>
        <v>6.4327485380116955E-2</v>
      </c>
      <c r="Q44" s="50">
        <f>manu_rank!Q44/171</f>
        <v>2.3391812865497075E-2</v>
      </c>
      <c r="R44" s="50">
        <f>manu_rank!R44/171</f>
        <v>8.1871345029239762E-2</v>
      </c>
      <c r="S44" s="50">
        <f>manu_rank!S44/171</f>
        <v>2.9239766081871343E-2</v>
      </c>
    </row>
    <row r="45" spans="1:19" ht="18" customHeight="1" x14ac:dyDescent="0.25">
      <c r="A45" s="5">
        <v>45139</v>
      </c>
      <c r="B45" s="50">
        <f>manu_rank!B45/171</f>
        <v>5.8479532163742687E-3</v>
      </c>
      <c r="C45" s="50">
        <f>manu_rank!C45/171</f>
        <v>4.6783625730994149E-2</v>
      </c>
      <c r="D45" s="50">
        <f>manu_rank!D45/171</f>
        <v>5.2631578947368418E-2</v>
      </c>
      <c r="E45" s="50">
        <f>manu_rank!E45/171</f>
        <v>4.0935672514619881E-2</v>
      </c>
      <c r="F45" s="50">
        <f>manu_rank!F45/171</f>
        <v>2.9239766081871343E-2</v>
      </c>
      <c r="G45" s="50">
        <f>manu_rank!G45/171</f>
        <v>9.3567251461988299E-2</v>
      </c>
      <c r="H45" s="50">
        <f>manu_rank!H45/171</f>
        <v>1.1695906432748537E-2</v>
      </c>
      <c r="I45" s="50">
        <f>manu_rank!I45/171</f>
        <v>7.6023391812865493E-2</v>
      </c>
      <c r="J45" s="50">
        <f>manu_rank!J45/171</f>
        <v>8.1871345029239762E-2</v>
      </c>
      <c r="K45" s="50">
        <f>manu_rank!K45/171</f>
        <v>7.0175438596491224E-2</v>
      </c>
      <c r="L45" s="50">
        <f>manu_rank!L45/171</f>
        <v>5.8479532163742687E-2</v>
      </c>
      <c r="M45" s="50">
        <f>manu_rank!M45/171</f>
        <v>8.771929824561403E-2</v>
      </c>
      <c r="N45" s="50">
        <f>manu_rank!N45/171</f>
        <v>1.7543859649122806E-2</v>
      </c>
      <c r="O45" s="50">
        <f>manu_rank!O45/171</f>
        <v>2.3391812865497075E-2</v>
      </c>
      <c r="P45" s="50">
        <f>manu_rank!P45/171</f>
        <v>0.10526315789473684</v>
      </c>
      <c r="Q45" s="50">
        <f>manu_rank!Q45/171</f>
        <v>3.5087719298245612E-2</v>
      </c>
      <c r="R45" s="50">
        <f>manu_rank!R45/171</f>
        <v>9.9415204678362568E-2</v>
      </c>
      <c r="S45" s="50">
        <f>manu_rank!S45/171</f>
        <v>6.4327485380116955E-2</v>
      </c>
    </row>
    <row r="46" spans="1:19" ht="18" customHeight="1" x14ac:dyDescent="0.25">
      <c r="A46" s="5">
        <v>45170</v>
      </c>
      <c r="B46" s="50">
        <f>manu_rank!B46/171</f>
        <v>7.3099415204678359E-2</v>
      </c>
      <c r="C46" s="50">
        <f>manu_rank!C46/171</f>
        <v>5.8479532163742687E-2</v>
      </c>
      <c r="D46" s="50">
        <f>manu_rank!D46/171</f>
        <v>4.0935672514619881E-2</v>
      </c>
      <c r="E46" s="50">
        <f>manu_rank!E46/171</f>
        <v>5.2631578947368418E-2</v>
      </c>
      <c r="F46" s="50">
        <f>manu_rank!F46/171</f>
        <v>2.9239766081871343E-2</v>
      </c>
      <c r="G46" s="50">
        <f>manu_rank!G46/171</f>
        <v>9.9415204678362568E-2</v>
      </c>
      <c r="H46" s="50">
        <f>manu_rank!H46/171</f>
        <v>1.1695906432748537E-2</v>
      </c>
      <c r="I46" s="50">
        <f>manu_rank!I46/171</f>
        <v>4.6783625730994149E-2</v>
      </c>
      <c r="J46" s="50">
        <f>manu_rank!J46/171</f>
        <v>7.3099415204678359E-2</v>
      </c>
      <c r="K46" s="50">
        <f>manu_rank!K46/171</f>
        <v>0.10526315789473684</v>
      </c>
      <c r="L46" s="50">
        <f>manu_rank!L46/171</f>
        <v>2.3391812865497075E-2</v>
      </c>
      <c r="M46" s="50">
        <f>manu_rank!M46/171</f>
        <v>8.1871345029239762E-2</v>
      </c>
      <c r="N46" s="50">
        <f>manu_rank!N46/171</f>
        <v>1.7543859649122806E-2</v>
      </c>
      <c r="O46" s="50">
        <f>manu_rank!O46/171</f>
        <v>8.771929824561403E-2</v>
      </c>
      <c r="P46" s="50">
        <f>manu_rank!P46/171</f>
        <v>5.8479532163742687E-3</v>
      </c>
      <c r="Q46" s="50">
        <f>manu_rank!Q46/171</f>
        <v>9.3567251461988299E-2</v>
      </c>
      <c r="R46" s="50">
        <f>manu_rank!R46/171</f>
        <v>6.4327485380116955E-2</v>
      </c>
      <c r="S46" s="50">
        <f>manu_rank!S46/171</f>
        <v>3.5087719298245612E-2</v>
      </c>
    </row>
    <row r="47" spans="1:19" ht="18" customHeight="1" x14ac:dyDescent="0.25">
      <c r="A47" s="5">
        <v>45200</v>
      </c>
      <c r="B47" s="50">
        <f>manu_rank!B47/171</f>
        <v>8.771929824561403E-2</v>
      </c>
      <c r="C47" s="50">
        <f>manu_rank!C47/171</f>
        <v>7.0175438596491224E-2</v>
      </c>
      <c r="D47" s="50">
        <f>manu_rank!D47/171</f>
        <v>4.0935672514619881E-2</v>
      </c>
      <c r="E47" s="50">
        <f>manu_rank!E47/171</f>
        <v>1.7543859649122806E-2</v>
      </c>
      <c r="F47" s="50">
        <f>manu_rank!F47/171</f>
        <v>2.9239766081871343E-2</v>
      </c>
      <c r="G47" s="50">
        <f>manu_rank!G47/171</f>
        <v>0.10526315789473684</v>
      </c>
      <c r="H47" s="50">
        <f>manu_rank!H47/171</f>
        <v>4.6783625730994149E-2</v>
      </c>
      <c r="I47" s="50">
        <f>manu_rank!I47/171</f>
        <v>2.3391812865497075E-2</v>
      </c>
      <c r="J47" s="50">
        <f>manu_rank!J47/171</f>
        <v>5.8479532163742687E-2</v>
      </c>
      <c r="K47" s="50">
        <f>manu_rank!K47/171</f>
        <v>8.771929824561403E-2</v>
      </c>
      <c r="L47" s="50">
        <f>manu_rank!L47/171</f>
        <v>5.2631578947368418E-2</v>
      </c>
      <c r="M47" s="50">
        <f>manu_rank!M47/171</f>
        <v>8.771929824561403E-2</v>
      </c>
      <c r="N47" s="50">
        <f>manu_rank!N47/171</f>
        <v>9.9415204678362568E-2</v>
      </c>
      <c r="O47" s="50">
        <f>manu_rank!O47/171</f>
        <v>6.4327485380116955E-2</v>
      </c>
      <c r="P47" s="50">
        <f>manu_rank!P47/171</f>
        <v>5.8479532163742687E-3</v>
      </c>
      <c r="Q47" s="50">
        <f>manu_rank!Q47/171</f>
        <v>1.1695906432748537E-2</v>
      </c>
      <c r="R47" s="50">
        <f>manu_rank!R47/171</f>
        <v>7.6023391812865493E-2</v>
      </c>
      <c r="S47" s="50">
        <f>manu_rank!S47/171</f>
        <v>3.5087719298245612E-2</v>
      </c>
    </row>
    <row r="48" spans="1:19" ht="18" customHeight="1" x14ac:dyDescent="0.25">
      <c r="A48" s="5">
        <v>45231</v>
      </c>
      <c r="B48" s="50">
        <f>manu_rank!B48/171</f>
        <v>2.9239766081871343E-2</v>
      </c>
      <c r="C48" s="50">
        <f>manu_rank!C48/171</f>
        <v>6.4327485380116955E-2</v>
      </c>
      <c r="D48" s="50">
        <f>manu_rank!D48/171</f>
        <v>2.3391812865497075E-2</v>
      </c>
      <c r="E48" s="50">
        <f>manu_rank!E48/171</f>
        <v>1.7543859649122806E-2</v>
      </c>
      <c r="F48" s="50">
        <f>manu_rank!F48/171</f>
        <v>7.0175438596491224E-2</v>
      </c>
      <c r="G48" s="50">
        <f>manu_rank!G48/171</f>
        <v>0.10526315789473684</v>
      </c>
      <c r="H48" s="50">
        <f>manu_rank!H48/171</f>
        <v>5.2631578947368418E-2</v>
      </c>
      <c r="I48" s="50">
        <f>manu_rank!I48/171</f>
        <v>4.0935672514619881E-2</v>
      </c>
      <c r="J48" s="50">
        <f>manu_rank!J48/171</f>
        <v>5.8479532163742687E-2</v>
      </c>
      <c r="K48" s="50">
        <f>manu_rank!K48/171</f>
        <v>9.9415204678362568E-2</v>
      </c>
      <c r="L48" s="50">
        <f>manu_rank!L48/171</f>
        <v>5.8479532163742687E-3</v>
      </c>
      <c r="M48" s="50">
        <f>manu_rank!M48/171</f>
        <v>8.771929824561403E-2</v>
      </c>
      <c r="N48" s="50">
        <f>manu_rank!N48/171</f>
        <v>8.1871345029239762E-2</v>
      </c>
      <c r="O48" s="50">
        <f>manu_rank!O48/171</f>
        <v>4.6783625730994149E-2</v>
      </c>
      <c r="P48" s="50">
        <f>manu_rank!P48/171</f>
        <v>1.1695906432748537E-2</v>
      </c>
      <c r="Q48" s="50">
        <f>manu_rank!Q48/171</f>
        <v>3.5087719298245612E-2</v>
      </c>
      <c r="R48" s="50">
        <f>manu_rank!R48/171</f>
        <v>9.3567251461988299E-2</v>
      </c>
      <c r="S48" s="50">
        <f>manu_rank!S48/171</f>
        <v>7.6023391812865493E-2</v>
      </c>
    </row>
    <row r="49" spans="1:19" ht="18" customHeight="1" x14ac:dyDescent="0.25">
      <c r="A49" s="5">
        <v>45261</v>
      </c>
      <c r="B49" s="50">
        <f>manu_rank!B49/171</f>
        <v>1.1695906432748537E-2</v>
      </c>
      <c r="C49" s="50">
        <f>manu_rank!C49/171</f>
        <v>9.3567251461988299E-2</v>
      </c>
      <c r="D49" s="50">
        <f>manu_rank!D49/171</f>
        <v>6.4327485380116955E-2</v>
      </c>
      <c r="E49" s="50">
        <f>manu_rank!E49/171</f>
        <v>8.1871345029239762E-2</v>
      </c>
      <c r="F49" s="50">
        <f>manu_rank!F49/171</f>
        <v>5.8479532163742687E-2</v>
      </c>
      <c r="G49" s="50">
        <f>manu_rank!G49/171</f>
        <v>9.9415204678362568E-2</v>
      </c>
      <c r="H49" s="50">
        <f>manu_rank!H49/171</f>
        <v>7.6023391812865493E-2</v>
      </c>
      <c r="I49" s="50">
        <f>manu_rank!I49/171</f>
        <v>2.3391812865497075E-2</v>
      </c>
      <c r="J49" s="50">
        <f>manu_rank!J49/171</f>
        <v>7.0175438596491224E-2</v>
      </c>
      <c r="K49" s="50">
        <f>manu_rank!K49/171</f>
        <v>2.9239766081871343E-2</v>
      </c>
      <c r="L49" s="50">
        <f>manu_rank!L49/171</f>
        <v>4.6783625730994149E-2</v>
      </c>
      <c r="M49" s="50">
        <f>manu_rank!M49/171</f>
        <v>4.0935672514619881E-2</v>
      </c>
      <c r="N49" s="50">
        <f>manu_rank!N49/171</f>
        <v>1.7543859649122806E-2</v>
      </c>
      <c r="O49" s="50">
        <f>manu_rank!O49/171</f>
        <v>0.10526315789473684</v>
      </c>
      <c r="P49" s="50">
        <f>manu_rank!P49/171</f>
        <v>5.8479532163742687E-3</v>
      </c>
      <c r="Q49" s="50">
        <f>manu_rank!Q49/171</f>
        <v>3.5087719298245612E-2</v>
      </c>
      <c r="R49" s="50">
        <f>manu_rank!R49/171</f>
        <v>8.771929824561403E-2</v>
      </c>
      <c r="S49" s="50">
        <f>manu_rank!S49/171</f>
        <v>5.2631578947368418E-2</v>
      </c>
    </row>
    <row r="50" spans="1:19" ht="18" customHeight="1" x14ac:dyDescent="0.25">
      <c r="A50" s="5">
        <v>45292</v>
      </c>
      <c r="B50" s="50">
        <f>manu_rank!B50/171</f>
        <v>0.10526315789473684</v>
      </c>
      <c r="C50" s="50">
        <f>manu_rank!C50/171</f>
        <v>8.771929824561403E-2</v>
      </c>
      <c r="D50" s="50">
        <f>manu_rank!D50/171</f>
        <v>3.5087719298245612E-2</v>
      </c>
      <c r="E50" s="50">
        <f>manu_rank!E50/171</f>
        <v>5.8479532163742687E-2</v>
      </c>
      <c r="F50" s="50">
        <f>manu_rank!F50/171</f>
        <v>4.0935672514619881E-2</v>
      </c>
      <c r="G50" s="50">
        <f>manu_rank!G50/171</f>
        <v>5.2631578947368418E-2</v>
      </c>
      <c r="H50" s="50">
        <f>manu_rank!H50/171</f>
        <v>2.9239766081871343E-2</v>
      </c>
      <c r="I50" s="50">
        <f>manu_rank!I50/171</f>
        <v>1.1695906432748537E-2</v>
      </c>
      <c r="J50" s="50">
        <f>manu_rank!J50/171</f>
        <v>7.0175438596491224E-2</v>
      </c>
      <c r="K50" s="50">
        <f>manu_rank!K50/171</f>
        <v>2.3391812865497075E-2</v>
      </c>
      <c r="L50" s="50">
        <f>manu_rank!L50/171</f>
        <v>6.4327485380116955E-2</v>
      </c>
      <c r="M50" s="50">
        <f>manu_rank!M50/171</f>
        <v>4.6783625730994149E-2</v>
      </c>
      <c r="N50" s="50">
        <f>manu_rank!N50/171</f>
        <v>1.7543859649122806E-2</v>
      </c>
      <c r="O50" s="50">
        <f>manu_rank!O50/171</f>
        <v>7.6023391812865493E-2</v>
      </c>
      <c r="P50" s="50">
        <f>manu_rank!P50/171</f>
        <v>8.1871345029239762E-2</v>
      </c>
      <c r="Q50" s="50">
        <f>manu_rank!Q50/171</f>
        <v>9.9415204678362568E-2</v>
      </c>
      <c r="R50" s="50">
        <f>manu_rank!R50/171</f>
        <v>9.3567251461988299E-2</v>
      </c>
      <c r="S50" s="50">
        <f>manu_rank!S50/171</f>
        <v>5.8479532163742687E-3</v>
      </c>
    </row>
    <row r="51" spans="1:19" ht="18" customHeight="1" x14ac:dyDescent="0.25">
      <c r="A51" s="5">
        <v>45323</v>
      </c>
      <c r="B51" s="50">
        <f>manu_rank!B51/171</f>
        <v>0.10526315789473684</v>
      </c>
      <c r="C51" s="50">
        <f>manu_rank!C51/171</f>
        <v>7.6023391812865493E-2</v>
      </c>
      <c r="D51" s="50">
        <f>manu_rank!D51/171</f>
        <v>2.3391812865497075E-2</v>
      </c>
      <c r="E51" s="50">
        <f>manu_rank!E51/171</f>
        <v>4.0935672514619881E-2</v>
      </c>
      <c r="F51" s="50">
        <f>manu_rank!F51/171</f>
        <v>8.1871345029239762E-2</v>
      </c>
      <c r="G51" s="50">
        <f>manu_rank!G51/171</f>
        <v>2.9239766081871343E-2</v>
      </c>
      <c r="H51" s="50">
        <f>manu_rank!H51/171</f>
        <v>5.8479532163742687E-3</v>
      </c>
      <c r="I51" s="50">
        <f>manu_rank!I51/171</f>
        <v>1.1695906432748537E-2</v>
      </c>
      <c r="J51" s="50">
        <f>manu_rank!J51/171</f>
        <v>7.0175438596491224E-2</v>
      </c>
      <c r="K51" s="50">
        <f>manu_rank!K51/171</f>
        <v>9.9415204678362568E-2</v>
      </c>
      <c r="L51" s="50">
        <f>manu_rank!L51/171</f>
        <v>3.5087719298245612E-2</v>
      </c>
      <c r="M51" s="50">
        <f>manu_rank!M51/171</f>
        <v>5.2631578947368418E-2</v>
      </c>
      <c r="N51" s="50">
        <f>manu_rank!N51/171</f>
        <v>8.771929824561403E-2</v>
      </c>
      <c r="O51" s="50">
        <f>manu_rank!O51/171</f>
        <v>9.3567251461988299E-2</v>
      </c>
      <c r="P51" s="50">
        <f>manu_rank!P51/171</f>
        <v>5.2631578947368418E-2</v>
      </c>
      <c r="Q51" s="50">
        <f>manu_rank!Q51/171</f>
        <v>5.2631578947368418E-2</v>
      </c>
      <c r="R51" s="50">
        <f>manu_rank!R51/171</f>
        <v>6.4327485380116955E-2</v>
      </c>
      <c r="S51" s="50">
        <f>manu_rank!S51/171</f>
        <v>1.7543859649122806E-2</v>
      </c>
    </row>
    <row r="52" spans="1:19" ht="18" customHeight="1" x14ac:dyDescent="0.25">
      <c r="A52" s="5">
        <v>45352</v>
      </c>
      <c r="B52" s="50">
        <f>manu_rank!B52/171</f>
        <v>4.6783625730994149E-2</v>
      </c>
      <c r="C52" s="50">
        <f>manu_rank!C52/171</f>
        <v>6.4327485380116955E-2</v>
      </c>
      <c r="D52" s="50">
        <f>manu_rank!D52/171</f>
        <v>2.9239766081871343E-2</v>
      </c>
      <c r="E52" s="50">
        <f>manu_rank!E52/171</f>
        <v>1.7543859649122806E-2</v>
      </c>
      <c r="F52" s="50">
        <f>manu_rank!F52/171</f>
        <v>7.0175438596491224E-2</v>
      </c>
      <c r="G52" s="50">
        <f>manu_rank!G52/171</f>
        <v>7.6023391812865493E-2</v>
      </c>
      <c r="H52" s="50">
        <f>manu_rank!H52/171</f>
        <v>5.8479532163742687E-3</v>
      </c>
      <c r="I52" s="50">
        <f>manu_rank!I52/171</f>
        <v>2.3391812865497075E-2</v>
      </c>
      <c r="J52" s="50">
        <f>manu_rank!J52/171</f>
        <v>3.5087719298245612E-2</v>
      </c>
      <c r="K52" s="50">
        <f>manu_rank!K52/171</f>
        <v>9.9415204678362568E-2</v>
      </c>
      <c r="L52" s="50">
        <f>manu_rank!L52/171</f>
        <v>9.3567251461988299E-2</v>
      </c>
      <c r="M52" s="50">
        <f>manu_rank!M52/171</f>
        <v>8.771929824561403E-2</v>
      </c>
      <c r="N52" s="50">
        <f>manu_rank!N52/171</f>
        <v>1.1695906432748537E-2</v>
      </c>
      <c r="O52" s="50">
        <f>manu_rank!O52/171</f>
        <v>8.1871345029239762E-2</v>
      </c>
      <c r="P52" s="50">
        <f>manu_rank!P52/171</f>
        <v>4.6783625730994149E-2</v>
      </c>
      <c r="Q52" s="50">
        <f>manu_rank!Q52/171</f>
        <v>0.10526315789473684</v>
      </c>
      <c r="R52" s="50">
        <f>manu_rank!R52/171</f>
        <v>5.8479532163742687E-2</v>
      </c>
      <c r="S52" s="50">
        <f>manu_rank!S52/171</f>
        <v>4.6783625730994149E-2</v>
      </c>
    </row>
    <row r="53" spans="1:19" ht="18" customHeight="1" x14ac:dyDescent="0.25">
      <c r="A53" s="5">
        <v>45383</v>
      </c>
      <c r="B53" s="50">
        <f>manu_rank!B53/171</f>
        <v>4.9707602339181284E-2</v>
      </c>
      <c r="C53" s="50">
        <f>manu_rank!C53/171</f>
        <v>6.4327485380116955E-2</v>
      </c>
      <c r="D53" s="50">
        <f>manu_rank!D53/171</f>
        <v>4.9707602339181284E-2</v>
      </c>
      <c r="E53" s="50">
        <f>manu_rank!E53/171</f>
        <v>8.1871345029239762E-2</v>
      </c>
      <c r="F53" s="50">
        <f>manu_rank!F53/171</f>
        <v>3.5087719298245612E-2</v>
      </c>
      <c r="G53" s="50">
        <f>manu_rank!G53/171</f>
        <v>2.9239766081871343E-2</v>
      </c>
      <c r="H53" s="50">
        <f>manu_rank!H53/171</f>
        <v>1.7543859649122806E-2</v>
      </c>
      <c r="I53" s="50">
        <f>manu_rank!I53/171</f>
        <v>1.1695906432748537E-2</v>
      </c>
      <c r="J53" s="50">
        <f>manu_rank!J53/171</f>
        <v>5.8479532163742687E-3</v>
      </c>
      <c r="K53" s="50">
        <f>manu_rank!K53/171</f>
        <v>0.10526315789473684</v>
      </c>
      <c r="L53" s="50">
        <f>manu_rank!L53/171</f>
        <v>4.0935672514619881E-2</v>
      </c>
      <c r="M53" s="50">
        <f>manu_rank!M53/171</f>
        <v>7.6023391812865493E-2</v>
      </c>
      <c r="N53" s="50">
        <f>manu_rank!N53/171</f>
        <v>5.8479532163742687E-2</v>
      </c>
      <c r="O53" s="50">
        <f>manu_rank!O53/171</f>
        <v>9.3567251461988299E-2</v>
      </c>
      <c r="P53" s="50">
        <f>manu_rank!P53/171</f>
        <v>9.9415204678362568E-2</v>
      </c>
      <c r="Q53" s="50">
        <f>manu_rank!Q53/171</f>
        <v>8.771929824561403E-2</v>
      </c>
      <c r="R53" s="50">
        <f>manu_rank!R53/171</f>
        <v>7.0175438596491224E-2</v>
      </c>
      <c r="S53" s="50">
        <f>manu_rank!S53/171</f>
        <v>2.3391812865497075E-2</v>
      </c>
    </row>
    <row r="54" spans="1:19" ht="18" customHeight="1" x14ac:dyDescent="0.25">
      <c r="A54" s="5">
        <v>45413</v>
      </c>
      <c r="B54" s="50">
        <f>manu_rank!B54/171</f>
        <v>5.5555555555555552E-2</v>
      </c>
      <c r="C54" s="50">
        <f>manu_rank!C54/171</f>
        <v>7.0175438596491224E-2</v>
      </c>
      <c r="D54" s="50">
        <f>manu_rank!D54/171</f>
        <v>2.3391812865497075E-2</v>
      </c>
      <c r="E54" s="50">
        <f>manu_rank!E54/171</f>
        <v>5.5555555555555552E-2</v>
      </c>
      <c r="F54" s="50">
        <f>manu_rank!F54/171</f>
        <v>7.6023391812865493E-2</v>
      </c>
      <c r="G54" s="50">
        <f>manu_rank!G54/171</f>
        <v>4.0935672514619881E-2</v>
      </c>
      <c r="H54" s="50">
        <f>manu_rank!H54/171</f>
        <v>2.9239766081871343E-2</v>
      </c>
      <c r="I54" s="50">
        <f>manu_rank!I54/171</f>
        <v>1.7543859649122806E-2</v>
      </c>
      <c r="J54" s="50">
        <f>manu_rank!J54/171</f>
        <v>5.5555555555555552E-2</v>
      </c>
      <c r="K54" s="50">
        <f>manu_rank!K54/171</f>
        <v>5.5555555555555552E-2</v>
      </c>
      <c r="L54" s="50">
        <f>manu_rank!L54/171</f>
        <v>9.3567251461988299E-2</v>
      </c>
      <c r="M54" s="50">
        <f>manu_rank!M54/171</f>
        <v>9.9415204678362568E-2</v>
      </c>
      <c r="N54" s="50">
        <f>manu_rank!N54/171</f>
        <v>1.1695906432748537E-2</v>
      </c>
      <c r="O54" s="50">
        <f>manu_rank!O54/171</f>
        <v>8.1871345029239762E-2</v>
      </c>
      <c r="P54" s="50">
        <f>manu_rank!P54/171</f>
        <v>0.10526315789473684</v>
      </c>
      <c r="Q54" s="50">
        <f>manu_rank!Q54/171</f>
        <v>8.771929824561403E-2</v>
      </c>
      <c r="R54" s="50">
        <f>manu_rank!R54/171</f>
        <v>3.5087719298245612E-2</v>
      </c>
      <c r="S54" s="50">
        <f>manu_rank!S54/171</f>
        <v>5.8479532163742687E-3</v>
      </c>
    </row>
    <row r="55" spans="1:19" ht="18" customHeight="1" x14ac:dyDescent="0.25">
      <c r="A55" s="5">
        <v>45444</v>
      </c>
      <c r="B55" s="50">
        <f>manu_rank!B55/171</f>
        <v>5.8479532163742687E-2</v>
      </c>
      <c r="C55" s="50">
        <f>manu_rank!C55/171</f>
        <v>7.6023391812865493E-2</v>
      </c>
      <c r="D55" s="50">
        <f>manu_rank!D55/171</f>
        <v>5.2631578947368418E-2</v>
      </c>
      <c r="E55" s="50">
        <f>manu_rank!E55/171</f>
        <v>4.6783625730994149E-2</v>
      </c>
      <c r="F55" s="50">
        <f>manu_rank!F55/171</f>
        <v>1.7543859649122806E-2</v>
      </c>
      <c r="G55" s="50">
        <f>manu_rank!G55/171</f>
        <v>4.0935672514619881E-2</v>
      </c>
      <c r="H55" s="50">
        <f>manu_rank!H55/171</f>
        <v>8.771929824561403E-2</v>
      </c>
      <c r="I55" s="50">
        <f>manu_rank!I55/171</f>
        <v>1.1695906432748537E-2</v>
      </c>
      <c r="J55" s="50">
        <f>manu_rank!J55/171</f>
        <v>7.0175438596491224E-2</v>
      </c>
      <c r="K55" s="50">
        <f>manu_rank!K55/171</f>
        <v>6.4327485380116955E-2</v>
      </c>
      <c r="L55" s="50">
        <f>manu_rank!L55/171</f>
        <v>8.1871345029239762E-2</v>
      </c>
      <c r="M55" s="50">
        <f>manu_rank!M55/171</f>
        <v>9.9415204678362568E-2</v>
      </c>
      <c r="N55" s="50">
        <f>manu_rank!N55/171</f>
        <v>3.5087719298245612E-2</v>
      </c>
      <c r="O55" s="50">
        <f>manu_rank!O55/171</f>
        <v>9.3567251461988299E-2</v>
      </c>
      <c r="P55" s="50">
        <f>manu_rank!P55/171</f>
        <v>0.10526315789473684</v>
      </c>
      <c r="Q55" s="50">
        <f>manu_rank!Q55/171</f>
        <v>5.8479532163742687E-3</v>
      </c>
      <c r="R55" s="50">
        <f>manu_rank!R55/171</f>
        <v>2.9239766081871343E-2</v>
      </c>
      <c r="S55" s="50">
        <f>manu_rank!S55/171</f>
        <v>2.3391812865497075E-2</v>
      </c>
    </row>
    <row r="56" spans="1:19" ht="18" customHeight="1" x14ac:dyDescent="0.25">
      <c r="A56" s="5">
        <v>45474</v>
      </c>
      <c r="B56" s="50">
        <f>manu_rank!B56/171</f>
        <v>7.3099415204678359E-2</v>
      </c>
      <c r="C56" s="50">
        <f>manu_rank!C56/171</f>
        <v>5.8479532163742687E-2</v>
      </c>
      <c r="D56" s="50">
        <f>manu_rank!D56/171</f>
        <v>6.4327485380116955E-2</v>
      </c>
      <c r="E56" s="50">
        <f>manu_rank!E56/171</f>
        <v>2.3391812865497075E-2</v>
      </c>
      <c r="F56" s="50">
        <f>manu_rank!F56/171</f>
        <v>3.5087719298245612E-2</v>
      </c>
      <c r="G56" s="50">
        <f>manu_rank!G56/171</f>
        <v>4.0935672514619881E-2</v>
      </c>
      <c r="H56" s="50">
        <f>manu_rank!H56/171</f>
        <v>8.771929824561403E-2</v>
      </c>
      <c r="I56" s="50">
        <f>manu_rank!I56/171</f>
        <v>1.7543859649122806E-2</v>
      </c>
      <c r="J56" s="50">
        <f>manu_rank!J56/171</f>
        <v>9.3567251461988299E-2</v>
      </c>
      <c r="K56" s="50">
        <f>manu_rank!K56/171</f>
        <v>8.1871345029239762E-2</v>
      </c>
      <c r="L56" s="50">
        <f>manu_rank!L56/171</f>
        <v>5.2631578947368418E-2</v>
      </c>
      <c r="M56" s="50">
        <f>manu_rank!M56/171</f>
        <v>9.9415204678362568E-2</v>
      </c>
      <c r="N56" s="50">
        <f>manu_rank!N56/171</f>
        <v>1.1695906432748537E-2</v>
      </c>
      <c r="O56" s="50">
        <f>manu_rank!O56/171</f>
        <v>5.8479532163742687E-3</v>
      </c>
      <c r="P56" s="50">
        <f>manu_rank!P56/171</f>
        <v>0.10526315789473684</v>
      </c>
      <c r="Q56" s="50">
        <f>manu_rank!Q56/171</f>
        <v>7.3099415204678359E-2</v>
      </c>
      <c r="R56" s="50">
        <f>manu_rank!R56/171</f>
        <v>2.9239766081871343E-2</v>
      </c>
      <c r="S56" s="50">
        <f>manu_rank!S56/171</f>
        <v>4.6783625730994149E-2</v>
      </c>
    </row>
    <row r="57" spans="1:19" ht="18" customHeight="1" x14ac:dyDescent="0.25">
      <c r="A57" s="5">
        <v>45505</v>
      </c>
      <c r="B57" s="50">
        <f>manu_rank!B57/171</f>
        <v>7.6023391812865493E-2</v>
      </c>
      <c r="C57" s="50">
        <f>manu_rank!C57/171</f>
        <v>6.4327485380116955E-2</v>
      </c>
      <c r="D57" s="50">
        <f>manu_rank!D57/171</f>
        <v>8.1871345029239762E-2</v>
      </c>
      <c r="E57" s="50">
        <f>manu_rank!E57/171</f>
        <v>2.9239766081871343E-2</v>
      </c>
      <c r="F57" s="50">
        <f>manu_rank!F57/171</f>
        <v>3.5087719298245612E-2</v>
      </c>
      <c r="G57" s="50">
        <f>manu_rank!G57/171</f>
        <v>8.771929824561403E-2</v>
      </c>
      <c r="H57" s="50">
        <f>manu_rank!H57/171</f>
        <v>9.3567251461988299E-2</v>
      </c>
      <c r="I57" s="50">
        <f>manu_rank!I57/171</f>
        <v>5.2631578947368418E-2</v>
      </c>
      <c r="J57" s="50">
        <f>manu_rank!J57/171</f>
        <v>7.0175438596491224E-2</v>
      </c>
      <c r="K57" s="50">
        <f>manu_rank!K57/171</f>
        <v>1.7543859649122806E-2</v>
      </c>
      <c r="L57" s="50">
        <f>manu_rank!L57/171</f>
        <v>5.8479532163742687E-2</v>
      </c>
      <c r="M57" s="50">
        <f>manu_rank!M57/171</f>
        <v>9.9415204678362568E-2</v>
      </c>
      <c r="N57" s="50">
        <f>manu_rank!N57/171</f>
        <v>2.3391812865497075E-2</v>
      </c>
      <c r="O57" s="50">
        <f>manu_rank!O57/171</f>
        <v>0.10526315789473684</v>
      </c>
      <c r="P57" s="50">
        <f>manu_rank!P57/171</f>
        <v>1.1695906432748537E-2</v>
      </c>
      <c r="Q57" s="50">
        <f>manu_rank!Q57/171</f>
        <v>5.8479532163742687E-3</v>
      </c>
      <c r="R57" s="50">
        <f>manu_rank!R57/171</f>
        <v>4.0935672514619881E-2</v>
      </c>
      <c r="S57" s="50">
        <f>manu_rank!S57/171</f>
        <v>4.6783625730994149E-2</v>
      </c>
    </row>
    <row r="58" spans="1:19" ht="18" customHeight="1" x14ac:dyDescent="0.25">
      <c r="A58" s="5">
        <v>45536</v>
      </c>
      <c r="B58" s="50">
        <f>manu_rank!B58/171</f>
        <v>2.3391812865497075E-2</v>
      </c>
      <c r="C58" s="50">
        <f>manu_rank!C58/171</f>
        <v>6.4327485380116955E-2</v>
      </c>
      <c r="D58" s="50">
        <f>manu_rank!D58/171</f>
        <v>7.6023391812865493E-2</v>
      </c>
      <c r="E58" s="50">
        <f>manu_rank!E58/171</f>
        <v>4.6783625730994149E-2</v>
      </c>
      <c r="F58" s="50">
        <f>manu_rank!F58/171</f>
        <v>7.0175438596491224E-2</v>
      </c>
      <c r="G58" s="50">
        <f>manu_rank!G58/171</f>
        <v>9.9415204678362568E-2</v>
      </c>
      <c r="H58" s="50">
        <f>manu_rank!H58/171</f>
        <v>8.771929824561403E-2</v>
      </c>
      <c r="I58" s="50">
        <f>manu_rank!I58/171</f>
        <v>5.8479532163742687E-2</v>
      </c>
      <c r="J58" s="50">
        <f>manu_rank!J58/171</f>
        <v>8.1871345029239762E-2</v>
      </c>
      <c r="K58" s="50">
        <f>manu_rank!K58/171</f>
        <v>4.0935672514619881E-2</v>
      </c>
      <c r="L58" s="50">
        <f>manu_rank!L58/171</f>
        <v>5.2631578947368418E-2</v>
      </c>
      <c r="M58" s="50">
        <f>manu_rank!M58/171</f>
        <v>0.10526315789473684</v>
      </c>
      <c r="N58" s="50">
        <f>manu_rank!N58/171</f>
        <v>1.1695906432748537E-2</v>
      </c>
      <c r="O58" s="50">
        <f>manu_rank!O58/171</f>
        <v>2.9239766081871343E-2</v>
      </c>
      <c r="P58" s="50">
        <f>manu_rank!P58/171</f>
        <v>5.8479532163742687E-3</v>
      </c>
      <c r="Q58" s="50">
        <f>manu_rank!Q58/171</f>
        <v>9.3567251461988299E-2</v>
      </c>
      <c r="R58" s="50">
        <f>manu_rank!R58/171</f>
        <v>3.5087719298245612E-2</v>
      </c>
      <c r="S58" s="50">
        <f>manu_rank!S58/171</f>
        <v>1.7543859649122806E-2</v>
      </c>
    </row>
    <row r="59" spans="1:19" ht="18" customHeight="1" x14ac:dyDescent="0.25">
      <c r="A59" s="5">
        <v>45566</v>
      </c>
      <c r="B59" s="50">
        <f>manu_rank!B59/171</f>
        <v>0.10526315789473684</v>
      </c>
      <c r="C59" s="50">
        <f>manu_rank!C59/171</f>
        <v>2.3391812865497075E-2</v>
      </c>
      <c r="D59" s="50">
        <f>manu_rank!D59/171</f>
        <v>8.771929824561403E-2</v>
      </c>
      <c r="E59" s="50">
        <f>manu_rank!E59/171</f>
        <v>2.9239766081871343E-2</v>
      </c>
      <c r="F59" s="50">
        <f>manu_rank!F59/171</f>
        <v>5.8479532163742687E-2</v>
      </c>
      <c r="G59" s="50">
        <f>manu_rank!G59/171</f>
        <v>9.9415204678362568E-2</v>
      </c>
      <c r="H59" s="50">
        <f>manu_rank!H59/171</f>
        <v>7.3099415204678359E-2</v>
      </c>
      <c r="I59" s="50">
        <f>manu_rank!I59/171</f>
        <v>3.5087719298245612E-2</v>
      </c>
      <c r="J59" s="50">
        <f>manu_rank!J59/171</f>
        <v>8.1871345029239762E-2</v>
      </c>
      <c r="K59" s="50">
        <f>manu_rank!K59/171</f>
        <v>4.6783625730994149E-2</v>
      </c>
      <c r="L59" s="50">
        <f>manu_rank!L59/171</f>
        <v>6.4327485380116955E-2</v>
      </c>
      <c r="M59" s="50">
        <f>manu_rank!M59/171</f>
        <v>9.3567251461988299E-2</v>
      </c>
      <c r="N59" s="50">
        <f>manu_rank!N59/171</f>
        <v>5.2631578947368418E-2</v>
      </c>
      <c r="O59" s="50">
        <f>manu_rank!O59/171</f>
        <v>4.0935672514619881E-2</v>
      </c>
      <c r="P59" s="50">
        <f>manu_rank!P59/171</f>
        <v>1.1695906432748537E-2</v>
      </c>
      <c r="Q59" s="50">
        <f>manu_rank!Q59/171</f>
        <v>5.8479532163742687E-3</v>
      </c>
      <c r="R59" s="50">
        <f>manu_rank!R59/171</f>
        <v>1.7543859649122806E-2</v>
      </c>
      <c r="S59" s="50">
        <f>manu_rank!S59/171</f>
        <v>7.3099415204678359E-2</v>
      </c>
    </row>
    <row r="60" spans="1:19" ht="18" customHeight="1" x14ac:dyDescent="0.25">
      <c r="A60" s="5">
        <v>45597</v>
      </c>
      <c r="B60" s="50">
        <f>manu_rank!B60/171</f>
        <v>7.8947368421052627E-2</v>
      </c>
      <c r="C60" s="50">
        <f>manu_rank!C60/171</f>
        <v>1.7543859649122806E-2</v>
      </c>
      <c r="D60" s="50">
        <f>manu_rank!D60/171</f>
        <v>9.9415204678362568E-2</v>
      </c>
      <c r="E60" s="50">
        <f>manu_rank!E60/171</f>
        <v>9.3567251461988299E-2</v>
      </c>
      <c r="F60" s="50">
        <f>manu_rank!F60/171</f>
        <v>3.5087719298245612E-2</v>
      </c>
      <c r="G60" s="50">
        <f>manu_rank!G60/171</f>
        <v>0.10526315789473684</v>
      </c>
      <c r="H60" s="50">
        <f>manu_rank!H60/171</f>
        <v>4.0935672514619881E-2</v>
      </c>
      <c r="I60" s="50">
        <f>manu_rank!I60/171</f>
        <v>4.6783625730994149E-2</v>
      </c>
      <c r="J60" s="50">
        <f>manu_rank!J60/171</f>
        <v>5.8479532163742687E-2</v>
      </c>
      <c r="K60" s="50">
        <f>manu_rank!K60/171</f>
        <v>5.2631578947368418E-2</v>
      </c>
      <c r="L60" s="50">
        <f>manu_rank!L60/171</f>
        <v>2.3391812865497075E-2</v>
      </c>
      <c r="M60" s="50">
        <f>manu_rank!M60/171</f>
        <v>7.8947368421052627E-2</v>
      </c>
      <c r="N60" s="50">
        <f>manu_rank!N60/171</f>
        <v>1.1695906432748537E-2</v>
      </c>
      <c r="O60" s="50">
        <f>manu_rank!O60/171</f>
        <v>6.4327485380116955E-2</v>
      </c>
      <c r="P60" s="50">
        <f>manu_rank!P60/171</f>
        <v>5.8479532163742687E-3</v>
      </c>
      <c r="Q60" s="50">
        <f>manu_rank!Q60/171</f>
        <v>7.8947368421052627E-2</v>
      </c>
      <c r="R60" s="50">
        <f>manu_rank!R60/171</f>
        <v>2.9239766081871343E-2</v>
      </c>
      <c r="S60" s="50">
        <f>manu_rank!S60/171</f>
        <v>7.8947368421052627E-2</v>
      </c>
    </row>
    <row r="61" spans="1:19" ht="18" customHeight="1" x14ac:dyDescent="0.25">
      <c r="A61" s="5">
        <v>45627</v>
      </c>
      <c r="B61" s="50">
        <f>manu_rank!B61/171</f>
        <v>5.5555555555555552E-2</v>
      </c>
      <c r="C61" s="50">
        <f>manu_rank!C61/171</f>
        <v>2.9239766081871343E-2</v>
      </c>
      <c r="D61" s="50">
        <f>manu_rank!D61/171</f>
        <v>5.5555555555555552E-2</v>
      </c>
      <c r="E61" s="50">
        <f>manu_rank!E61/171</f>
        <v>9.9415204678362568E-2</v>
      </c>
      <c r="F61" s="50">
        <f>manu_rank!F61/171</f>
        <v>1.1695906432748537E-2</v>
      </c>
      <c r="G61" s="50">
        <f>manu_rank!G61/171</f>
        <v>5.5555555555555552E-2</v>
      </c>
      <c r="H61" s="50">
        <f>manu_rank!H61/171</f>
        <v>8.771929824561403E-2</v>
      </c>
      <c r="I61" s="50">
        <f>manu_rank!I61/171</f>
        <v>2.3391812865497075E-2</v>
      </c>
      <c r="J61" s="50">
        <f>manu_rank!J61/171</f>
        <v>7.6023391812865493E-2</v>
      </c>
      <c r="K61" s="50">
        <f>manu_rank!K61/171</f>
        <v>4.0935672514619881E-2</v>
      </c>
      <c r="L61" s="50">
        <f>manu_rank!L61/171</f>
        <v>8.1871345029239762E-2</v>
      </c>
      <c r="M61" s="50">
        <f>manu_rank!M61/171</f>
        <v>5.5555555555555552E-2</v>
      </c>
      <c r="N61" s="50">
        <f>manu_rank!N61/171</f>
        <v>7.0175438596491224E-2</v>
      </c>
      <c r="O61" s="50">
        <f>manu_rank!O61/171</f>
        <v>0.10526315789473684</v>
      </c>
      <c r="P61" s="50">
        <f>manu_rank!P61/171</f>
        <v>1.7543859649122806E-2</v>
      </c>
      <c r="Q61" s="50">
        <f>manu_rank!Q61/171</f>
        <v>5.8479532163742687E-3</v>
      </c>
      <c r="R61" s="50">
        <f>manu_rank!R61/171</f>
        <v>3.5087719298245612E-2</v>
      </c>
      <c r="S61" s="50">
        <f>manu_rank!S61/171</f>
        <v>9.3567251461988299E-2</v>
      </c>
    </row>
    <row r="62" spans="1:19" ht="18" customHeight="1" x14ac:dyDescent="0.25">
      <c r="A62" s="5">
        <v>45658</v>
      </c>
      <c r="B62" s="50">
        <f>manu_rank!B62/171</f>
        <v>5.5555555555555552E-2</v>
      </c>
      <c r="C62" s="50">
        <f>manu_rank!C62/171</f>
        <v>8.771929824561403E-2</v>
      </c>
      <c r="D62" s="50">
        <f>manu_rank!D62/171</f>
        <v>3.5087719298245612E-2</v>
      </c>
      <c r="E62" s="50">
        <f>manu_rank!E62/171</f>
        <v>6.4327485380116955E-2</v>
      </c>
      <c r="F62" s="50">
        <f>manu_rank!F62/171</f>
        <v>2.3391812865497075E-2</v>
      </c>
      <c r="G62" s="50">
        <f>manu_rank!G62/171</f>
        <v>4.6783625730994149E-2</v>
      </c>
      <c r="H62" s="50">
        <f>manu_rank!H62/171</f>
        <v>2.9239766081871343E-2</v>
      </c>
      <c r="I62" s="50">
        <f>manu_rank!I62/171</f>
        <v>8.1871345029239762E-2</v>
      </c>
      <c r="J62" s="50">
        <f>manu_rank!J62/171</f>
        <v>1.1695906432748537E-2</v>
      </c>
      <c r="K62" s="50">
        <f>manu_rank!K62/171</f>
        <v>5.8479532163742687E-3</v>
      </c>
      <c r="L62" s="50">
        <f>manu_rank!L62/171</f>
        <v>4.0935672514619881E-2</v>
      </c>
      <c r="M62" s="50">
        <f>manu_rank!M62/171</f>
        <v>9.3567251461988299E-2</v>
      </c>
      <c r="N62" s="50">
        <f>manu_rank!N62/171</f>
        <v>7.0175438596491224E-2</v>
      </c>
      <c r="O62" s="50">
        <f>manu_rank!O62/171</f>
        <v>9.9415204678362568E-2</v>
      </c>
      <c r="P62" s="50">
        <f>manu_rank!P62/171</f>
        <v>5.5555555555555552E-2</v>
      </c>
      <c r="Q62" s="50">
        <f>manu_rank!Q62/171</f>
        <v>0.10526315789473684</v>
      </c>
      <c r="R62" s="50">
        <f>manu_rank!R62/171</f>
        <v>7.6023391812865493E-2</v>
      </c>
      <c r="S62" s="50">
        <f>manu_rank!S62/171</f>
        <v>1.7543859649122806E-2</v>
      </c>
    </row>
    <row r="63" spans="1:19" ht="18" customHeight="1" x14ac:dyDescent="0.25">
      <c r="A63" s="5">
        <v>45689</v>
      </c>
      <c r="B63" s="50">
        <f>manu_rank!B63/171</f>
        <v>4.0935672514619881E-2</v>
      </c>
      <c r="C63" s="50">
        <f>manu_rank!C63/171</f>
        <v>7.0175438596491224E-2</v>
      </c>
      <c r="D63" s="50">
        <f>manu_rank!D63/171</f>
        <v>2.3391812865497075E-2</v>
      </c>
      <c r="E63" s="50">
        <f>manu_rank!E63/171</f>
        <v>7.6023391812865493E-2</v>
      </c>
      <c r="F63" s="50">
        <f>manu_rank!F63/171</f>
        <v>5.8479532163742687E-2</v>
      </c>
      <c r="G63" s="50">
        <f>manu_rank!G63/171</f>
        <v>8.1871345029239762E-2</v>
      </c>
      <c r="H63" s="50">
        <f>manu_rank!H63/171</f>
        <v>5.8479532163742687E-3</v>
      </c>
      <c r="I63" s="50">
        <f>manu_rank!I63/171</f>
        <v>2.9239766081871343E-2</v>
      </c>
      <c r="J63" s="50">
        <f>manu_rank!J63/171</f>
        <v>9.9415204678362568E-2</v>
      </c>
      <c r="K63" s="50">
        <f>manu_rank!K63/171</f>
        <v>1.7543859649122806E-2</v>
      </c>
      <c r="L63" s="50">
        <f>manu_rank!L63/171</f>
        <v>4.0935672514619881E-2</v>
      </c>
      <c r="M63" s="50">
        <f>manu_rank!M63/171</f>
        <v>0.10526315789473684</v>
      </c>
      <c r="N63" s="50">
        <f>manu_rank!N63/171</f>
        <v>6.4327485380116955E-2</v>
      </c>
      <c r="O63" s="50">
        <f>manu_rank!O63/171</f>
        <v>9.3567251461988299E-2</v>
      </c>
      <c r="P63" s="50">
        <f>manu_rank!P63/171</f>
        <v>4.0935672514619881E-2</v>
      </c>
      <c r="Q63" s="50">
        <f>manu_rank!Q63/171</f>
        <v>1.1695906432748537E-2</v>
      </c>
      <c r="R63" s="50">
        <f>manu_rank!R63/171</f>
        <v>5.2631578947368418E-2</v>
      </c>
      <c r="S63" s="50">
        <f>manu_rank!S63/171</f>
        <v>8.771929824561403E-2</v>
      </c>
    </row>
    <row r="64" spans="1:19" ht="18" customHeight="1" x14ac:dyDescent="0.25">
      <c r="A64" s="5">
        <v>45717</v>
      </c>
      <c r="B64" s="50">
        <f>manu_rank!B64/171</f>
        <v>4.9707602339181284E-2</v>
      </c>
      <c r="C64" s="50">
        <f>manu_rank!C64/171</f>
        <v>2.9239766081871343E-2</v>
      </c>
      <c r="D64" s="50">
        <f>manu_rank!D64/171</f>
        <v>8.1871345029239762E-2</v>
      </c>
      <c r="E64" s="50">
        <f>manu_rank!E64/171</f>
        <v>6.4327485380116955E-2</v>
      </c>
      <c r="F64" s="50">
        <f>manu_rank!F64/171</f>
        <v>9.3567251461988299E-2</v>
      </c>
      <c r="G64" s="50">
        <f>manu_rank!G64/171</f>
        <v>3.5087719298245612E-2</v>
      </c>
      <c r="H64" s="50">
        <f>manu_rank!H64/171</f>
        <v>2.3391812865497075E-2</v>
      </c>
      <c r="I64" s="50">
        <f>manu_rank!I64/171</f>
        <v>4.0935672514619881E-2</v>
      </c>
      <c r="J64" s="50">
        <f>manu_rank!J64/171</f>
        <v>5.8479532163742687E-2</v>
      </c>
      <c r="K64" s="50">
        <f>manu_rank!K64/171</f>
        <v>7.6023391812865493E-2</v>
      </c>
      <c r="L64" s="50">
        <f>manu_rank!L64/171</f>
        <v>1.1695906432748537E-2</v>
      </c>
      <c r="M64" s="50">
        <f>manu_rank!M64/171</f>
        <v>9.9415204678362568E-2</v>
      </c>
      <c r="N64" s="50">
        <f>manu_rank!N64/171</f>
        <v>1.7543859649122806E-2</v>
      </c>
      <c r="O64" s="50">
        <f>manu_rank!O64/171</f>
        <v>8.771929824561403E-2</v>
      </c>
      <c r="P64" s="50">
        <f>manu_rank!P64/171</f>
        <v>4.9707602339181284E-2</v>
      </c>
      <c r="Q64" s="50">
        <f>manu_rank!Q64/171</f>
        <v>0.10526315789473684</v>
      </c>
      <c r="R64" s="50">
        <f>manu_rank!R64/171</f>
        <v>7.0175438596491224E-2</v>
      </c>
      <c r="S64" s="50">
        <f>manu_rank!S64/171</f>
        <v>5.8479532163742687E-3</v>
      </c>
    </row>
    <row r="65" spans="1:19" ht="18" customHeight="1" x14ac:dyDescent="0.25">
      <c r="A65" s="5">
        <v>45748</v>
      </c>
      <c r="B65" s="50">
        <f>manu_rank!B65/171</f>
        <v>0.10526315789473684</v>
      </c>
      <c r="C65" s="50">
        <f>manu_rank!C65/171</f>
        <v>5.2631578947368418E-2</v>
      </c>
      <c r="D65" s="50">
        <f>manu_rank!D65/171</f>
        <v>7.6023391812865493E-2</v>
      </c>
      <c r="E65" s="50">
        <f>manu_rank!E65/171</f>
        <v>8.771929824561403E-2</v>
      </c>
      <c r="F65" s="50">
        <f>manu_rank!F65/171</f>
        <v>3.5087719298245612E-2</v>
      </c>
      <c r="G65" s="50">
        <f>manu_rank!G65/171</f>
        <v>2.3391812865497075E-2</v>
      </c>
      <c r="H65" s="50">
        <f>manu_rank!H65/171</f>
        <v>1.1695906432748537E-2</v>
      </c>
      <c r="I65" s="50">
        <f>manu_rank!I65/171</f>
        <v>5.8479532163742687E-2</v>
      </c>
      <c r="J65" s="50">
        <f>manu_rank!J65/171</f>
        <v>6.4327485380116955E-2</v>
      </c>
      <c r="K65" s="50">
        <f>manu_rank!K65/171</f>
        <v>7.0175438596491224E-2</v>
      </c>
      <c r="L65" s="50">
        <f>manu_rank!L65/171</f>
        <v>1.7543859649122806E-2</v>
      </c>
      <c r="M65" s="50">
        <f>manu_rank!M65/171</f>
        <v>9.9415204678362568E-2</v>
      </c>
      <c r="N65" s="50">
        <f>manu_rank!N65/171</f>
        <v>9.3567251461988299E-2</v>
      </c>
      <c r="O65" s="50">
        <f>manu_rank!O65/171</f>
        <v>4.6783625730994149E-2</v>
      </c>
      <c r="P65" s="50">
        <f>manu_rank!P65/171</f>
        <v>4.0935672514619881E-2</v>
      </c>
      <c r="Q65" s="50">
        <f>manu_rank!Q65/171</f>
        <v>8.1871345029239762E-2</v>
      </c>
      <c r="R65" s="50">
        <f>manu_rank!R65/171</f>
        <v>2.9239766081871343E-2</v>
      </c>
      <c r="S65" s="50">
        <f>manu_rank!S65/171</f>
        <v>5.8479532163742687E-3</v>
      </c>
    </row>
    <row r="66" spans="1:19" ht="18" customHeight="1" x14ac:dyDescent="0.25">
      <c r="A66" s="5">
        <v>45778</v>
      </c>
      <c r="B66" s="50">
        <f>manu_rank!B66/171</f>
        <v>5.5555555555555552E-2</v>
      </c>
      <c r="C66" s="50">
        <f>manu_rank!C66/171</f>
        <v>3.5087719298245612E-2</v>
      </c>
      <c r="D66" s="50">
        <f>manu_rank!D66/171</f>
        <v>5.5555555555555552E-2</v>
      </c>
      <c r="E66" s="50">
        <f>manu_rank!E66/171</f>
        <v>8.1871345029239762E-2</v>
      </c>
      <c r="F66" s="50">
        <f>manu_rank!F66/171</f>
        <v>7.6023391812865493E-2</v>
      </c>
      <c r="G66" s="50">
        <f>manu_rank!G66/171</f>
        <v>2.3391812865497075E-2</v>
      </c>
      <c r="H66" s="50">
        <f>manu_rank!H66/171</f>
        <v>8.771929824561403E-2</v>
      </c>
      <c r="I66" s="50">
        <f>manu_rank!I66/171</f>
        <v>7.0175438596491224E-2</v>
      </c>
      <c r="J66" s="50">
        <f>manu_rank!J66/171</f>
        <v>5.5555555555555552E-2</v>
      </c>
      <c r="K66" s="50">
        <f>manu_rank!K66/171</f>
        <v>9.9415204678362568E-2</v>
      </c>
      <c r="L66" s="50">
        <f>manu_rank!L66/171</f>
        <v>5.8479532163742687E-3</v>
      </c>
      <c r="M66" s="50">
        <f>manu_rank!M66/171</f>
        <v>9.3567251461988299E-2</v>
      </c>
      <c r="N66" s="50">
        <f>manu_rank!N66/171</f>
        <v>0.10526315789473684</v>
      </c>
      <c r="O66" s="50">
        <f>manu_rank!O66/171</f>
        <v>4.0935672514619881E-2</v>
      </c>
      <c r="P66" s="50">
        <f>manu_rank!P66/171</f>
        <v>1.7543859649122806E-2</v>
      </c>
      <c r="Q66" s="50">
        <f>manu_rank!Q66/171</f>
        <v>5.5555555555555552E-2</v>
      </c>
      <c r="R66" s="50">
        <f>manu_rank!R66/171</f>
        <v>2.9239766081871343E-2</v>
      </c>
      <c r="S66" s="50">
        <f>manu_rank!S66/171</f>
        <v>1.1695906432748537E-2</v>
      </c>
    </row>
    <row r="67" spans="1:19" ht="18" customHeight="1" x14ac:dyDescent="0.25">
      <c r="A67" s="5">
        <v>45809</v>
      </c>
      <c r="B67" s="50">
        <f>manu_rank!B67/171</f>
        <v>0.10526315789473684</v>
      </c>
      <c r="C67" s="50">
        <f>manu_rank!C67/171</f>
        <v>2.3391812865497075E-2</v>
      </c>
      <c r="D67" s="50">
        <f>manu_rank!D67/171</f>
        <v>7.6023391812865493E-2</v>
      </c>
      <c r="E67" s="50">
        <f>manu_rank!E67/171</f>
        <v>5.8479532163742687E-2</v>
      </c>
      <c r="F67" s="50">
        <f>manu_rank!F67/171</f>
        <v>3.5087719298245612E-2</v>
      </c>
      <c r="G67" s="50">
        <f>manu_rank!G67/171</f>
        <v>6.4327485380116955E-2</v>
      </c>
      <c r="H67" s="50">
        <f>manu_rank!H67/171</f>
        <v>8.1871345029239762E-2</v>
      </c>
      <c r="I67" s="50">
        <f>manu_rank!I67/171</f>
        <v>7.0175438596491224E-2</v>
      </c>
      <c r="J67" s="50">
        <f>manu_rank!J67/171</f>
        <v>8.771929824561403E-2</v>
      </c>
      <c r="K67" s="50">
        <f>manu_rank!K67/171</f>
        <v>9.3567251461988299E-2</v>
      </c>
      <c r="L67" s="50">
        <f>manu_rank!L67/171</f>
        <v>1.7543859649122806E-2</v>
      </c>
      <c r="M67" s="50">
        <f>manu_rank!M67/171</f>
        <v>9.9415204678362568E-2</v>
      </c>
      <c r="N67" s="50">
        <f>manu_rank!N67/171</f>
        <v>4.6783625730994149E-2</v>
      </c>
      <c r="O67" s="50">
        <f>manu_rank!O67/171</f>
        <v>4.6783625730994149E-2</v>
      </c>
      <c r="P67" s="50">
        <f>manu_rank!P67/171</f>
        <v>4.6783625730994149E-2</v>
      </c>
      <c r="Q67" s="50">
        <f>manu_rank!Q67/171</f>
        <v>5.8479532163742687E-3</v>
      </c>
      <c r="R67" s="50">
        <f>manu_rank!R67/171</f>
        <v>2.9239766081871343E-2</v>
      </c>
      <c r="S67" s="50">
        <f>manu_rank!S67/171</f>
        <v>1.1695906432748537E-2</v>
      </c>
    </row>
    <row r="68" spans="1:19" ht="18" customHeight="1" x14ac:dyDescent="0.25">
      <c r="A68" s="5">
        <v>45839</v>
      </c>
      <c r="B68" s="50">
        <f>manu_rank!B68/171</f>
        <v>0.10526315789473684</v>
      </c>
      <c r="C68" s="50">
        <f>manu_rank!C68/171</f>
        <v>1.7543859649122806E-2</v>
      </c>
      <c r="D68" s="50">
        <f>manu_rank!D68/171</f>
        <v>4.0935672514619881E-2</v>
      </c>
      <c r="E68" s="50">
        <f>manu_rank!E68/171</f>
        <v>5.2631578947368418E-2</v>
      </c>
      <c r="F68" s="50">
        <f>manu_rank!F68/171</f>
        <v>3.5087719298245612E-2</v>
      </c>
      <c r="G68" s="50">
        <f>manu_rank!G68/171</f>
        <v>5.8479532163742687E-2</v>
      </c>
      <c r="H68" s="50">
        <f>manu_rank!H68/171</f>
        <v>7.6023391812865493E-2</v>
      </c>
      <c r="I68" s="50">
        <f>manu_rank!I68/171</f>
        <v>2.3391812865497075E-2</v>
      </c>
      <c r="J68" s="50">
        <f>manu_rank!J68/171</f>
        <v>8.1871345029239762E-2</v>
      </c>
      <c r="K68" s="50">
        <f>manu_rank!K68/171</f>
        <v>9.3567251461988299E-2</v>
      </c>
      <c r="L68" s="50">
        <f>manu_rank!L68/171</f>
        <v>1.1695906432748537E-2</v>
      </c>
      <c r="M68" s="50">
        <f>manu_rank!M68/171</f>
        <v>6.4327485380116955E-2</v>
      </c>
      <c r="N68" s="50">
        <f>manu_rank!N68/171</f>
        <v>9.9415204678362568E-2</v>
      </c>
      <c r="O68" s="50">
        <f>manu_rank!O68/171</f>
        <v>7.0175438596491224E-2</v>
      </c>
      <c r="P68" s="50">
        <f>manu_rank!P68/171</f>
        <v>5.8479532163742687E-3</v>
      </c>
      <c r="Q68" s="50">
        <f>manu_rank!Q68/171</f>
        <v>8.771929824561403E-2</v>
      </c>
      <c r="R68" s="50">
        <f>manu_rank!R68/171</f>
        <v>4.6783625730994149E-2</v>
      </c>
      <c r="S68" s="50">
        <f>manu_rank!S68/171</f>
        <v>2.9239766081871343E-2</v>
      </c>
    </row>
    <row r="69" spans="1:19" ht="18" customHeight="1" x14ac:dyDescent="0.25">
      <c r="A69" s="5">
        <v>45870</v>
      </c>
      <c r="B69" s="50">
        <f>manu_rank!B69/171</f>
        <v>9.9415204678362568E-2</v>
      </c>
      <c r="C69" s="50">
        <f>manu_rank!C69/171</f>
        <v>5.2631578947368418E-2</v>
      </c>
      <c r="D69" s="50">
        <f>manu_rank!D69/171</f>
        <v>4.6783625730994149E-2</v>
      </c>
      <c r="E69" s="50">
        <f>manu_rank!E69/171</f>
        <v>4.0935672514619881E-2</v>
      </c>
      <c r="F69" s="50">
        <f>manu_rank!F69/171</f>
        <v>5.8479532163742687E-2</v>
      </c>
      <c r="G69" s="50">
        <f>manu_rank!G69/171</f>
        <v>8.771929824561403E-2</v>
      </c>
      <c r="H69" s="50">
        <f>manu_rank!H69/171</f>
        <v>2.9239766081871343E-2</v>
      </c>
      <c r="I69" s="50">
        <f>manu_rank!I69/171</f>
        <v>3.5087719298245612E-2</v>
      </c>
      <c r="J69" s="50">
        <f>manu_rank!J69/171</f>
        <v>7.6023391812865493E-2</v>
      </c>
      <c r="K69" s="50">
        <f>manu_rank!K69/171</f>
        <v>9.3567251461988299E-2</v>
      </c>
      <c r="L69" s="50">
        <f>manu_rank!L69/171</f>
        <v>5.8479532163742687E-3</v>
      </c>
      <c r="M69" s="50">
        <f>manu_rank!M69/171</f>
        <v>8.1871345029239762E-2</v>
      </c>
      <c r="N69" s="50">
        <f>manu_rank!N69/171</f>
        <v>1.7543859649122806E-2</v>
      </c>
      <c r="O69" s="50">
        <f>manu_rank!O69/171</f>
        <v>7.0175438596491224E-2</v>
      </c>
      <c r="P69" s="50">
        <f>manu_rank!P69/171</f>
        <v>6.4327485380116955E-2</v>
      </c>
      <c r="Q69" s="50">
        <f>manu_rank!Q69/171</f>
        <v>0.10526315789473684</v>
      </c>
      <c r="R69" s="50">
        <f>manu_rank!R69/171</f>
        <v>2.3391812865497075E-2</v>
      </c>
      <c r="S69" s="50">
        <f>manu_rank!S69/171</f>
        <v>1.1695906432748537E-2</v>
      </c>
    </row>
    <row r="70" spans="1:19" ht="18" customHeight="1" x14ac:dyDescent="0.25">
      <c r="A70" s="5">
        <v>45901</v>
      </c>
      <c r="B70" s="50">
        <f>manu_rank!B70/171</f>
        <v>1.1695906432748537E-2</v>
      </c>
      <c r="C70" s="50">
        <f>manu_rank!C70/171</f>
        <v>3.5087719298245612E-2</v>
      </c>
      <c r="D70" s="50">
        <f>manu_rank!D70/171</f>
        <v>6.4327485380116955E-2</v>
      </c>
      <c r="E70" s="50">
        <f>manu_rank!E70/171</f>
        <v>4.0935672514619881E-2</v>
      </c>
      <c r="F70" s="50">
        <f>manu_rank!F70/171</f>
        <v>8.771929824561403E-2</v>
      </c>
      <c r="G70" s="50">
        <f>manu_rank!G70/171</f>
        <v>7.3099415204678359E-2</v>
      </c>
      <c r="H70" s="50">
        <f>manu_rank!H70/171</f>
        <v>2.9239766081871343E-2</v>
      </c>
      <c r="I70" s="50">
        <f>manu_rank!I70/171</f>
        <v>5.8479532163742687E-2</v>
      </c>
      <c r="J70" s="50">
        <f>manu_rank!J70/171</f>
        <v>8.1871345029239762E-2</v>
      </c>
      <c r="K70" s="50">
        <f>manu_rank!K70/171</f>
        <v>5.2631578947368418E-2</v>
      </c>
      <c r="L70" s="50">
        <f>manu_rank!L70/171</f>
        <v>2.3391812865497075E-2</v>
      </c>
      <c r="M70" s="50">
        <f>manu_rank!M70/171</f>
        <v>0.10526315789473684</v>
      </c>
      <c r="N70" s="50">
        <f>manu_rank!N70/171</f>
        <v>1.7543859649122806E-2</v>
      </c>
      <c r="O70" s="50">
        <f>manu_rank!O70/171</f>
        <v>9.9415204678362568E-2</v>
      </c>
      <c r="P70" s="50">
        <f>manu_rank!P70/171</f>
        <v>7.3099415204678359E-2</v>
      </c>
      <c r="Q70" s="50">
        <f>manu_rank!Q70/171</f>
        <v>9.3567251461988299E-2</v>
      </c>
      <c r="R70" s="50">
        <f>manu_rank!R70/171</f>
        <v>4.6783625730994149E-2</v>
      </c>
      <c r="S70" s="50">
        <f>manu_rank!S70/171</f>
        <v>5.8479532163742687E-3</v>
      </c>
    </row>
    <row r="71" spans="1:19" ht="18" customHeight="1" x14ac:dyDescent="0.25">
      <c r="A71" s="5">
        <v>45931</v>
      </c>
      <c r="B71" s="50">
        <f>manu_rank!B71/171</f>
        <v>1.1695906432748537E-2</v>
      </c>
      <c r="C71" s="50">
        <f>manu_rank!C71/171</f>
        <v>5.2631578947368418E-2</v>
      </c>
      <c r="D71" s="50">
        <f>manu_rank!D71/171</f>
        <v>7.0175438596491224E-2</v>
      </c>
      <c r="E71" s="50">
        <f>manu_rank!E71/171</f>
        <v>4.6783625730994149E-2</v>
      </c>
      <c r="F71" s="50">
        <f>manu_rank!F71/171</f>
        <v>8.1871345029239762E-2</v>
      </c>
      <c r="G71" s="50">
        <f>manu_rank!G71/171</f>
        <v>9.9415204678362568E-2</v>
      </c>
      <c r="H71" s="50">
        <f>manu_rank!H71/171</f>
        <v>1.7543859649122806E-2</v>
      </c>
      <c r="I71" s="50">
        <f>manu_rank!I71/171</f>
        <v>5.8479532163742687E-2</v>
      </c>
      <c r="J71" s="50">
        <f>manu_rank!J71/171</f>
        <v>6.4327485380116955E-2</v>
      </c>
      <c r="K71" s="50">
        <f>manu_rank!K71/171</f>
        <v>7.6023391812865493E-2</v>
      </c>
      <c r="L71" s="50">
        <f>manu_rank!L71/171</f>
        <v>2.3391812865497075E-2</v>
      </c>
      <c r="M71" s="50">
        <f>manu_rank!M71/171</f>
        <v>4.0935672514619881E-2</v>
      </c>
      <c r="N71" s="50">
        <f>manu_rank!N71/171</f>
        <v>8.771929824561403E-2</v>
      </c>
      <c r="O71" s="50">
        <f>manu_rank!O71/171</f>
        <v>0.10526315789473684</v>
      </c>
      <c r="P71" s="50">
        <f>manu_rank!P71/171</f>
        <v>2.9239766081871343E-2</v>
      </c>
      <c r="Q71" s="50">
        <f>manu_rank!Q71/171</f>
        <v>5.8479532163742687E-3</v>
      </c>
      <c r="R71" s="50">
        <f>manu_rank!R71/171</f>
        <v>9.3567251461988299E-2</v>
      </c>
      <c r="S71" s="50">
        <f>manu_rank!S71/171</f>
        <v>3.5087719298245612E-2</v>
      </c>
    </row>
    <row r="72" spans="1:19" ht="18" customHeight="1" x14ac:dyDescent="0.25"/>
    <row r="73" spans="1:19" ht="18" customHeight="1" x14ac:dyDescent="0.25"/>
    <row r="74" spans="1:19" ht="18" customHeight="1" x14ac:dyDescent="0.25"/>
    <row r="75" spans="1:19" ht="18" customHeight="1" x14ac:dyDescent="0.25"/>
    <row r="76" spans="1:19" ht="18" customHeight="1" x14ac:dyDescent="0.25"/>
    <row r="77" spans="1:19" ht="18" customHeight="1" x14ac:dyDescent="0.25"/>
    <row r="78" spans="1:19" ht="18" customHeight="1" x14ac:dyDescent="0.25"/>
    <row r="79" spans="1:19" ht="18" customHeight="1" x14ac:dyDescent="0.25"/>
    <row r="80" spans="1:19"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row r="99" ht="18" customHeight="1" x14ac:dyDescent="0.25"/>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A7AB-4460-4CDD-80DA-5CC00AA0145C}">
  <sheetPr>
    <tabColor rgb="FFFF0000"/>
  </sheetPr>
  <dimension ref="A1:S98"/>
  <sheetViews>
    <sheetView showGridLines="0" workbookViewId="0">
      <pane xSplit="1" ySplit="1" topLeftCell="B65" activePane="bottomRight" state="frozen"/>
      <selection pane="topRight" activeCell="C1" sqref="C1"/>
      <selection pane="bottomLeft" activeCell="A3" sqref="A3"/>
      <selection pane="bottomRight" activeCell="B71" sqref="B71:S71"/>
    </sheetView>
  </sheetViews>
  <sheetFormatPr defaultRowHeight="15" x14ac:dyDescent="0.25"/>
  <cols>
    <col min="1" max="16384" width="9.140625" style="1"/>
  </cols>
  <sheetData>
    <row r="1" spans="1:19" ht="75.75" customHeight="1" x14ac:dyDescent="0.25">
      <c r="A1" s="3" t="s">
        <v>0</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row>
    <row r="2" spans="1:19" ht="18" customHeight="1" x14ac:dyDescent="0.25">
      <c r="A2" s="5">
        <v>43831</v>
      </c>
      <c r="B2" s="4">
        <v>-3</v>
      </c>
      <c r="C2" s="4">
        <v>3</v>
      </c>
      <c r="D2" s="4">
        <v>6</v>
      </c>
      <c r="E2" s="4">
        <v>-2</v>
      </c>
      <c r="F2" s="4">
        <v>2</v>
      </c>
      <c r="G2" s="4">
        <v>5</v>
      </c>
      <c r="H2" s="4">
        <v>9</v>
      </c>
      <c r="I2" s="4">
        <v>1</v>
      </c>
      <c r="J2" s="4">
        <v>7</v>
      </c>
      <c r="K2" s="4">
        <v>0</v>
      </c>
      <c r="L2" s="4">
        <v>0</v>
      </c>
      <c r="M2" s="4">
        <v>0</v>
      </c>
      <c r="N2" s="4">
        <v>4</v>
      </c>
      <c r="O2" s="4">
        <v>8</v>
      </c>
      <c r="P2" s="4">
        <v>-5</v>
      </c>
      <c r="Q2" s="4">
        <v>-4</v>
      </c>
      <c r="R2" s="4">
        <v>-1</v>
      </c>
      <c r="S2" s="4">
        <v>10</v>
      </c>
    </row>
    <row r="3" spans="1:19" ht="18" customHeight="1" x14ac:dyDescent="0.25">
      <c r="A3" s="5">
        <v>43862</v>
      </c>
      <c r="B3" s="4">
        <v>12</v>
      </c>
      <c r="C3" s="4">
        <v>1</v>
      </c>
      <c r="D3" s="4">
        <v>7</v>
      </c>
      <c r="E3" s="4">
        <v>11</v>
      </c>
      <c r="F3" s="4">
        <v>4</v>
      </c>
      <c r="G3" s="4">
        <v>2</v>
      </c>
      <c r="H3" s="4">
        <v>8</v>
      </c>
      <c r="I3" s="4">
        <v>3</v>
      </c>
      <c r="J3" s="4">
        <v>6</v>
      </c>
      <c r="K3" s="4">
        <v>5</v>
      </c>
      <c r="L3" s="4">
        <v>15</v>
      </c>
      <c r="M3" s="4">
        <v>-2</v>
      </c>
      <c r="N3" s="4">
        <v>10</v>
      </c>
      <c r="O3" s="4">
        <v>13</v>
      </c>
      <c r="P3" s="4">
        <v>14</v>
      </c>
      <c r="Q3" s="4">
        <v>9</v>
      </c>
      <c r="R3" s="4">
        <v>-1</v>
      </c>
      <c r="S3" s="4">
        <v>16</v>
      </c>
    </row>
    <row r="4" spans="1:19" ht="18" customHeight="1" x14ac:dyDescent="0.25">
      <c r="A4" s="5">
        <v>43891</v>
      </c>
      <c r="B4" s="4">
        <v>7</v>
      </c>
      <c r="C4" s="4">
        <v>2</v>
      </c>
      <c r="D4" s="4">
        <v>1</v>
      </c>
      <c r="E4" s="4">
        <v>5</v>
      </c>
      <c r="F4" s="4">
        <v>-2</v>
      </c>
      <c r="G4" s="4">
        <v>6</v>
      </c>
      <c r="H4" s="4">
        <v>-4</v>
      </c>
      <c r="I4" s="4">
        <v>-1</v>
      </c>
      <c r="J4" s="4">
        <v>-3</v>
      </c>
      <c r="K4" s="4">
        <v>-5</v>
      </c>
      <c r="L4" s="4">
        <v>3</v>
      </c>
      <c r="M4" s="4">
        <v>-9</v>
      </c>
      <c r="N4" s="4">
        <v>4</v>
      </c>
      <c r="O4" s="4">
        <v>-7</v>
      </c>
      <c r="P4" s="4">
        <v>8</v>
      </c>
      <c r="Q4" s="4">
        <v>-6</v>
      </c>
      <c r="R4" s="4">
        <v>-8</v>
      </c>
      <c r="S4" s="4">
        <v>9</v>
      </c>
    </row>
    <row r="5" spans="1:19" ht="18" customHeight="1" x14ac:dyDescent="0.25">
      <c r="A5" s="5">
        <v>43922</v>
      </c>
      <c r="B5" s="4">
        <v>0</v>
      </c>
      <c r="C5" s="4">
        <v>-1</v>
      </c>
      <c r="D5" s="4">
        <v>-4</v>
      </c>
      <c r="E5" s="4">
        <v>-7</v>
      </c>
      <c r="F5" s="4">
        <v>-9</v>
      </c>
      <c r="G5" s="4">
        <v>2</v>
      </c>
      <c r="H5" s="4">
        <v>-10</v>
      </c>
      <c r="I5" s="4">
        <v>-8</v>
      </c>
      <c r="J5" s="4">
        <v>-5</v>
      </c>
      <c r="K5" s="4">
        <v>-13</v>
      </c>
      <c r="L5" s="4">
        <v>1</v>
      </c>
      <c r="M5" s="4">
        <v>-11</v>
      </c>
      <c r="N5" s="4">
        <v>-6</v>
      </c>
      <c r="O5" s="4">
        <v>-2</v>
      </c>
      <c r="P5" s="4">
        <v>-14</v>
      </c>
      <c r="Q5" s="4">
        <v>-15</v>
      </c>
      <c r="R5" s="4">
        <v>-12</v>
      </c>
      <c r="S5" s="4">
        <v>-3</v>
      </c>
    </row>
    <row r="6" spans="1:19" ht="18" customHeight="1" x14ac:dyDescent="0.25">
      <c r="A6" s="5">
        <v>43952</v>
      </c>
      <c r="B6" s="4">
        <v>0</v>
      </c>
      <c r="C6" s="4">
        <v>-3</v>
      </c>
      <c r="D6" s="4">
        <v>-6</v>
      </c>
      <c r="E6" s="4">
        <v>-1</v>
      </c>
      <c r="F6" s="4">
        <v>-9</v>
      </c>
      <c r="G6" s="4">
        <v>2</v>
      </c>
      <c r="H6" s="4">
        <v>0</v>
      </c>
      <c r="I6" s="4">
        <v>-4</v>
      </c>
      <c r="J6" s="4">
        <v>-8</v>
      </c>
      <c r="K6" s="4">
        <v>3</v>
      </c>
      <c r="L6" s="4">
        <v>1</v>
      </c>
      <c r="M6" s="4">
        <v>-7</v>
      </c>
      <c r="N6" s="4">
        <v>-5</v>
      </c>
      <c r="O6" s="4">
        <v>-10</v>
      </c>
      <c r="P6" s="4">
        <v>-12</v>
      </c>
      <c r="Q6" s="4">
        <v>4</v>
      </c>
      <c r="R6" s="4">
        <v>-11</v>
      </c>
      <c r="S6" s="4">
        <v>-2</v>
      </c>
    </row>
    <row r="7" spans="1:19" ht="18" customHeight="1" x14ac:dyDescent="0.25">
      <c r="A7" s="5">
        <v>43983</v>
      </c>
      <c r="B7" s="4">
        <v>0</v>
      </c>
      <c r="C7" s="4">
        <v>6</v>
      </c>
      <c r="D7" s="4">
        <v>1</v>
      </c>
      <c r="E7" s="4">
        <v>4</v>
      </c>
      <c r="F7" s="4">
        <v>-2</v>
      </c>
      <c r="G7" s="4">
        <v>7</v>
      </c>
      <c r="H7" s="4">
        <v>5</v>
      </c>
      <c r="I7" s="4">
        <v>2</v>
      </c>
      <c r="J7" s="4">
        <v>3</v>
      </c>
      <c r="K7" s="4">
        <v>0</v>
      </c>
      <c r="L7" s="4">
        <v>0</v>
      </c>
      <c r="M7" s="4">
        <v>0</v>
      </c>
      <c r="N7" s="4">
        <v>10</v>
      </c>
      <c r="O7" s="4">
        <v>0</v>
      </c>
      <c r="P7" s="4">
        <v>8</v>
      </c>
      <c r="Q7" s="4">
        <v>11</v>
      </c>
      <c r="R7" s="4">
        <v>-1</v>
      </c>
      <c r="S7" s="4">
        <v>9</v>
      </c>
    </row>
    <row r="8" spans="1:19" ht="18" customHeight="1" x14ac:dyDescent="0.25">
      <c r="A8" s="5">
        <v>44013</v>
      </c>
      <c r="B8" s="4">
        <v>0</v>
      </c>
      <c r="C8" s="4">
        <v>9</v>
      </c>
      <c r="D8" s="4">
        <v>2</v>
      </c>
      <c r="E8" s="4">
        <v>8</v>
      </c>
      <c r="F8" s="4">
        <v>6</v>
      </c>
      <c r="G8" s="4">
        <v>7</v>
      </c>
      <c r="H8" s="4">
        <v>12</v>
      </c>
      <c r="I8" s="4">
        <v>1</v>
      </c>
      <c r="J8" s="4">
        <v>4</v>
      </c>
      <c r="K8" s="4">
        <v>0</v>
      </c>
      <c r="L8" s="4">
        <v>-1</v>
      </c>
      <c r="M8" s="4">
        <v>5</v>
      </c>
      <c r="N8" s="4">
        <v>10</v>
      </c>
      <c r="O8" s="4">
        <v>11</v>
      </c>
      <c r="P8" s="4">
        <v>0</v>
      </c>
      <c r="Q8" s="4">
        <v>-2</v>
      </c>
      <c r="R8" s="4">
        <v>3</v>
      </c>
      <c r="S8" s="4">
        <v>13</v>
      </c>
    </row>
    <row r="9" spans="1:19" ht="18" customHeight="1" x14ac:dyDescent="0.25">
      <c r="A9" s="5">
        <v>44044</v>
      </c>
      <c r="B9" s="4">
        <v>0</v>
      </c>
      <c r="C9" s="4">
        <v>11</v>
      </c>
      <c r="D9" s="4">
        <v>12</v>
      </c>
      <c r="E9" s="4">
        <v>1</v>
      </c>
      <c r="F9" s="4">
        <v>5</v>
      </c>
      <c r="G9" s="4">
        <v>7</v>
      </c>
      <c r="H9" s="4">
        <v>4</v>
      </c>
      <c r="I9" s="4">
        <v>9</v>
      </c>
      <c r="J9" s="4">
        <v>3</v>
      </c>
      <c r="K9" s="4">
        <v>10</v>
      </c>
      <c r="L9" s="4">
        <v>8</v>
      </c>
      <c r="M9" s="4">
        <v>6</v>
      </c>
      <c r="N9" s="4">
        <v>14</v>
      </c>
      <c r="O9" s="4">
        <v>15</v>
      </c>
      <c r="P9" s="4">
        <v>-1</v>
      </c>
      <c r="Q9" s="4">
        <v>0</v>
      </c>
      <c r="R9" s="4">
        <v>2</v>
      </c>
      <c r="S9" s="4">
        <v>13</v>
      </c>
    </row>
    <row r="10" spans="1:19" ht="18" customHeight="1" x14ac:dyDescent="0.25">
      <c r="A10" s="5">
        <v>44094</v>
      </c>
      <c r="B10" s="4">
        <v>-3</v>
      </c>
      <c r="C10" s="4">
        <v>2</v>
      </c>
      <c r="D10" s="4">
        <v>0</v>
      </c>
      <c r="E10" s="4">
        <v>11</v>
      </c>
      <c r="F10" s="4">
        <v>5</v>
      </c>
      <c r="G10" s="4">
        <v>6</v>
      </c>
      <c r="H10" s="4">
        <v>9</v>
      </c>
      <c r="I10" s="4">
        <v>3</v>
      </c>
      <c r="J10" s="4">
        <v>-1</v>
      </c>
      <c r="K10" s="4">
        <v>4</v>
      </c>
      <c r="L10" s="4">
        <v>8</v>
      </c>
      <c r="M10" s="4">
        <v>0</v>
      </c>
      <c r="N10" s="4">
        <v>10</v>
      </c>
      <c r="O10" s="4">
        <v>0</v>
      </c>
      <c r="P10" s="4">
        <v>7</v>
      </c>
      <c r="Q10" s="4">
        <v>-2</v>
      </c>
      <c r="R10" s="4">
        <v>1</v>
      </c>
      <c r="S10" s="4">
        <v>12</v>
      </c>
    </row>
    <row r="11" spans="1:19" ht="18" customHeight="1" x14ac:dyDescent="0.25">
      <c r="A11" s="5">
        <v>44105</v>
      </c>
      <c r="B11" s="4">
        <v>16</v>
      </c>
      <c r="C11" s="4">
        <v>5</v>
      </c>
      <c r="D11" s="4">
        <v>9</v>
      </c>
      <c r="E11" s="4">
        <v>11</v>
      </c>
      <c r="F11" s="4">
        <v>12</v>
      </c>
      <c r="G11" s="4">
        <v>7</v>
      </c>
      <c r="H11" s="4">
        <v>10</v>
      </c>
      <c r="I11" s="4">
        <v>6</v>
      </c>
      <c r="J11" s="4">
        <v>1</v>
      </c>
      <c r="K11" s="4">
        <v>2</v>
      </c>
      <c r="L11" s="4">
        <v>8</v>
      </c>
      <c r="M11" s="4">
        <v>4</v>
      </c>
      <c r="N11" s="4">
        <v>14</v>
      </c>
      <c r="O11" s="4">
        <v>13</v>
      </c>
      <c r="P11" s="4">
        <v>0</v>
      </c>
      <c r="Q11" s="4">
        <v>-1</v>
      </c>
      <c r="R11" s="4">
        <v>3</v>
      </c>
      <c r="S11" s="4">
        <v>15</v>
      </c>
    </row>
    <row r="12" spans="1:19" ht="18" customHeight="1" x14ac:dyDescent="0.25">
      <c r="A12" s="5">
        <v>44136</v>
      </c>
      <c r="B12" s="4">
        <v>15</v>
      </c>
      <c r="C12" s="4">
        <v>7</v>
      </c>
      <c r="D12" s="4">
        <v>5</v>
      </c>
      <c r="E12" s="4">
        <v>11</v>
      </c>
      <c r="F12" s="4">
        <v>10</v>
      </c>
      <c r="G12" s="4">
        <v>3</v>
      </c>
      <c r="H12" s="4">
        <v>0</v>
      </c>
      <c r="I12" s="4">
        <v>6</v>
      </c>
      <c r="J12" s="4">
        <v>4</v>
      </c>
      <c r="K12" s="4">
        <v>8</v>
      </c>
      <c r="L12" s="4">
        <v>9</v>
      </c>
      <c r="M12" s="4">
        <v>-1</v>
      </c>
      <c r="N12" s="4">
        <v>14</v>
      </c>
      <c r="O12" s="4">
        <v>2</v>
      </c>
      <c r="P12" s="4">
        <v>-2</v>
      </c>
      <c r="Q12" s="4">
        <v>13</v>
      </c>
      <c r="R12" s="4">
        <v>1</v>
      </c>
      <c r="S12" s="4">
        <v>12</v>
      </c>
    </row>
    <row r="13" spans="1:19" ht="18" customHeight="1" x14ac:dyDescent="0.25">
      <c r="A13" s="5">
        <v>44166</v>
      </c>
      <c r="B13" s="4">
        <v>13</v>
      </c>
      <c r="C13" s="4">
        <v>3</v>
      </c>
      <c r="D13" s="4">
        <v>8</v>
      </c>
      <c r="E13" s="4">
        <v>2</v>
      </c>
      <c r="F13" s="4">
        <v>7</v>
      </c>
      <c r="G13" s="4">
        <v>1</v>
      </c>
      <c r="H13" s="4">
        <v>11</v>
      </c>
      <c r="I13" s="4">
        <v>9</v>
      </c>
      <c r="J13" s="4">
        <v>-1</v>
      </c>
      <c r="K13" s="4">
        <v>-3</v>
      </c>
      <c r="L13" s="4">
        <v>0</v>
      </c>
      <c r="M13" s="4">
        <v>10</v>
      </c>
      <c r="N13" s="4">
        <v>5</v>
      </c>
      <c r="O13" s="4">
        <v>4</v>
      </c>
      <c r="P13" s="4">
        <v>0</v>
      </c>
      <c r="Q13" s="4">
        <v>-2</v>
      </c>
      <c r="R13" s="4">
        <v>6</v>
      </c>
      <c r="S13" s="4">
        <v>12</v>
      </c>
    </row>
    <row r="14" spans="1:19" ht="18" customHeight="1" x14ac:dyDescent="0.25">
      <c r="A14" s="5">
        <v>44197</v>
      </c>
      <c r="B14" s="4">
        <v>0</v>
      </c>
      <c r="C14" s="4">
        <v>5</v>
      </c>
      <c r="D14" s="4">
        <v>1</v>
      </c>
      <c r="E14" s="4">
        <v>12</v>
      </c>
      <c r="F14" s="4">
        <v>6</v>
      </c>
      <c r="G14" s="4">
        <v>4</v>
      </c>
      <c r="H14" s="4">
        <v>2</v>
      </c>
      <c r="I14" s="4">
        <v>11</v>
      </c>
      <c r="J14" s="4">
        <v>3</v>
      </c>
      <c r="K14" s="4">
        <v>0</v>
      </c>
      <c r="L14" s="4">
        <v>7</v>
      </c>
      <c r="M14" s="4">
        <v>0</v>
      </c>
      <c r="N14" s="4">
        <v>10</v>
      </c>
      <c r="O14" s="4">
        <v>13</v>
      </c>
      <c r="P14" s="4">
        <v>-2</v>
      </c>
      <c r="Q14" s="4">
        <v>-1</v>
      </c>
      <c r="R14" s="4">
        <v>9</v>
      </c>
      <c r="S14" s="4">
        <v>8</v>
      </c>
    </row>
    <row r="15" spans="1:19" ht="18" customHeight="1" x14ac:dyDescent="0.25">
      <c r="A15" s="5">
        <v>44228</v>
      </c>
      <c r="B15" s="4">
        <v>0</v>
      </c>
      <c r="C15" s="4">
        <v>7</v>
      </c>
      <c r="D15" s="4">
        <v>3</v>
      </c>
      <c r="E15" s="4">
        <v>9</v>
      </c>
      <c r="F15" s="4">
        <v>5</v>
      </c>
      <c r="G15" s="4">
        <v>2</v>
      </c>
      <c r="H15" s="4">
        <v>0</v>
      </c>
      <c r="I15" s="4">
        <v>6</v>
      </c>
      <c r="J15" s="4">
        <v>-1</v>
      </c>
      <c r="K15" s="4">
        <v>0</v>
      </c>
      <c r="L15" s="4">
        <v>13</v>
      </c>
      <c r="M15" s="4">
        <v>0</v>
      </c>
      <c r="N15" s="4">
        <v>1</v>
      </c>
      <c r="O15" s="4">
        <v>11</v>
      </c>
      <c r="P15" s="4">
        <v>4</v>
      </c>
      <c r="Q15" s="4">
        <v>10</v>
      </c>
      <c r="R15" s="4">
        <v>8</v>
      </c>
      <c r="S15" s="4">
        <v>12</v>
      </c>
    </row>
    <row r="16" spans="1:19" ht="18" customHeight="1" x14ac:dyDescent="0.25">
      <c r="A16" s="5">
        <v>44256</v>
      </c>
      <c r="B16" s="4">
        <v>15</v>
      </c>
      <c r="C16" s="4">
        <v>3</v>
      </c>
      <c r="D16" s="4">
        <v>7</v>
      </c>
      <c r="E16" s="4">
        <v>14</v>
      </c>
      <c r="F16" s="4">
        <v>8</v>
      </c>
      <c r="G16" s="4">
        <v>6</v>
      </c>
      <c r="H16" s="4">
        <v>10</v>
      </c>
      <c r="I16" s="4">
        <v>9</v>
      </c>
      <c r="J16" s="4">
        <v>1</v>
      </c>
      <c r="K16" s="4">
        <v>11</v>
      </c>
      <c r="L16" s="4">
        <v>12</v>
      </c>
      <c r="M16" s="4">
        <v>0</v>
      </c>
      <c r="N16" s="4">
        <v>2</v>
      </c>
      <c r="O16" s="4">
        <v>5</v>
      </c>
      <c r="P16" s="4">
        <v>0</v>
      </c>
      <c r="Q16" s="4">
        <v>13</v>
      </c>
      <c r="R16" s="4">
        <v>4</v>
      </c>
      <c r="S16" s="4">
        <v>-1</v>
      </c>
    </row>
    <row r="17" spans="1:19" ht="18" customHeight="1" x14ac:dyDescent="0.25">
      <c r="A17" s="5">
        <v>44287</v>
      </c>
      <c r="B17" s="4">
        <v>0</v>
      </c>
      <c r="C17" s="4">
        <v>9</v>
      </c>
      <c r="D17" s="4">
        <v>2</v>
      </c>
      <c r="E17" s="4">
        <v>16</v>
      </c>
      <c r="F17" s="4">
        <v>14</v>
      </c>
      <c r="G17" s="4">
        <v>6</v>
      </c>
      <c r="H17" s="4">
        <v>8</v>
      </c>
      <c r="I17" s="4">
        <v>10</v>
      </c>
      <c r="J17" s="4">
        <v>7</v>
      </c>
      <c r="K17" s="4">
        <v>11</v>
      </c>
      <c r="L17" s="4">
        <v>12</v>
      </c>
      <c r="M17" s="4">
        <v>1</v>
      </c>
      <c r="N17" s="4">
        <v>3</v>
      </c>
      <c r="O17" s="4">
        <v>13</v>
      </c>
      <c r="P17" s="4">
        <v>-1</v>
      </c>
      <c r="Q17" s="4">
        <v>15</v>
      </c>
      <c r="R17" s="4">
        <v>5</v>
      </c>
      <c r="S17" s="4">
        <v>4</v>
      </c>
    </row>
    <row r="18" spans="1:19" ht="18" customHeight="1" x14ac:dyDescent="0.25">
      <c r="A18" s="5">
        <v>44317</v>
      </c>
      <c r="B18" s="4">
        <v>0</v>
      </c>
      <c r="C18" s="4">
        <v>8</v>
      </c>
      <c r="D18" s="4">
        <v>11</v>
      </c>
      <c r="E18" s="4">
        <v>14</v>
      </c>
      <c r="F18" s="4">
        <v>6</v>
      </c>
      <c r="G18" s="4">
        <v>5</v>
      </c>
      <c r="H18" s="4">
        <v>15</v>
      </c>
      <c r="I18" s="4">
        <v>9</v>
      </c>
      <c r="J18" s="4">
        <v>1</v>
      </c>
      <c r="K18" s="4">
        <v>16</v>
      </c>
      <c r="L18" s="4">
        <v>13</v>
      </c>
      <c r="M18" s="4">
        <v>3</v>
      </c>
      <c r="N18" s="4">
        <v>10</v>
      </c>
      <c r="O18" s="4">
        <v>12</v>
      </c>
      <c r="P18" s="4">
        <v>-1</v>
      </c>
      <c r="Q18" s="4">
        <v>7</v>
      </c>
      <c r="R18" s="4">
        <v>2</v>
      </c>
      <c r="S18" s="4">
        <v>4</v>
      </c>
    </row>
    <row r="19" spans="1:19" ht="18" customHeight="1" x14ac:dyDescent="0.25">
      <c r="A19" s="5">
        <v>44348</v>
      </c>
      <c r="B19" s="4">
        <v>0</v>
      </c>
      <c r="C19" s="4">
        <v>8</v>
      </c>
      <c r="D19" s="4">
        <v>7</v>
      </c>
      <c r="E19" s="4">
        <v>10</v>
      </c>
      <c r="F19" s="4">
        <v>6</v>
      </c>
      <c r="G19" s="4">
        <v>1</v>
      </c>
      <c r="H19" s="4">
        <v>15</v>
      </c>
      <c r="I19" s="4">
        <v>9</v>
      </c>
      <c r="J19" s="4">
        <v>12</v>
      </c>
      <c r="K19" s="4">
        <v>11</v>
      </c>
      <c r="L19" s="4">
        <v>5</v>
      </c>
      <c r="M19" s="4">
        <v>3</v>
      </c>
      <c r="N19" s="4">
        <v>4</v>
      </c>
      <c r="O19" s="4">
        <v>2</v>
      </c>
      <c r="P19" s="4">
        <v>14</v>
      </c>
      <c r="Q19" s="4">
        <v>0</v>
      </c>
      <c r="R19" s="4">
        <v>13</v>
      </c>
      <c r="S19" s="4">
        <v>-1</v>
      </c>
    </row>
    <row r="20" spans="1:19" ht="18" customHeight="1" x14ac:dyDescent="0.25">
      <c r="A20" s="5">
        <v>44378</v>
      </c>
      <c r="B20" s="4">
        <v>0</v>
      </c>
      <c r="C20" s="4">
        <v>8</v>
      </c>
      <c r="D20" s="4">
        <v>14</v>
      </c>
      <c r="E20" s="4">
        <v>9</v>
      </c>
      <c r="F20" s="4">
        <v>5</v>
      </c>
      <c r="G20" s="4">
        <v>7</v>
      </c>
      <c r="H20" s="4">
        <v>15</v>
      </c>
      <c r="I20" s="4">
        <v>12</v>
      </c>
      <c r="J20" s="4">
        <v>11</v>
      </c>
      <c r="K20" s="4">
        <v>3</v>
      </c>
      <c r="L20" s="4">
        <v>10</v>
      </c>
      <c r="M20" s="4">
        <v>4</v>
      </c>
      <c r="N20" s="4">
        <v>2</v>
      </c>
      <c r="O20" s="4">
        <v>1</v>
      </c>
      <c r="P20" s="4">
        <v>13</v>
      </c>
      <c r="Q20" s="4">
        <v>-1</v>
      </c>
      <c r="R20" s="4">
        <v>6</v>
      </c>
      <c r="S20" s="4">
        <v>0</v>
      </c>
    </row>
    <row r="21" spans="1:19" ht="18" customHeight="1" x14ac:dyDescent="0.25">
      <c r="A21" s="5">
        <v>44409</v>
      </c>
      <c r="B21" s="4">
        <v>0</v>
      </c>
      <c r="C21" s="4">
        <v>5</v>
      </c>
      <c r="D21" s="4">
        <v>13</v>
      </c>
      <c r="E21" s="4">
        <v>1</v>
      </c>
      <c r="F21" s="4">
        <v>2</v>
      </c>
      <c r="G21" s="4">
        <v>9</v>
      </c>
      <c r="H21" s="4">
        <v>14</v>
      </c>
      <c r="I21" s="4">
        <v>11</v>
      </c>
      <c r="J21" s="4">
        <v>4</v>
      </c>
      <c r="K21" s="4">
        <v>-1</v>
      </c>
      <c r="L21" s="4">
        <v>10</v>
      </c>
      <c r="M21" s="4">
        <v>6</v>
      </c>
      <c r="N21" s="4">
        <v>7</v>
      </c>
      <c r="O21" s="4">
        <v>8</v>
      </c>
      <c r="P21" s="4">
        <v>12</v>
      </c>
      <c r="Q21" s="4">
        <v>0</v>
      </c>
      <c r="R21" s="4">
        <v>3</v>
      </c>
      <c r="S21" s="4">
        <v>0</v>
      </c>
    </row>
    <row r="22" spans="1:19" ht="18" customHeight="1" x14ac:dyDescent="0.25">
      <c r="A22" s="5">
        <v>44440</v>
      </c>
      <c r="B22" s="4">
        <v>0</v>
      </c>
      <c r="C22" s="4">
        <v>7</v>
      </c>
      <c r="D22" s="4">
        <v>9</v>
      </c>
      <c r="E22" s="4">
        <v>2</v>
      </c>
      <c r="F22" s="4">
        <v>1</v>
      </c>
      <c r="G22" s="4">
        <v>12</v>
      </c>
      <c r="H22" s="4">
        <v>11</v>
      </c>
      <c r="I22" s="4">
        <v>8</v>
      </c>
      <c r="J22" s="4">
        <v>6</v>
      </c>
      <c r="K22" s="4">
        <v>4</v>
      </c>
      <c r="L22" s="4">
        <v>5</v>
      </c>
      <c r="M22" s="4">
        <v>10</v>
      </c>
      <c r="N22" s="4">
        <v>0</v>
      </c>
      <c r="O22" s="4">
        <v>13</v>
      </c>
      <c r="P22" s="4">
        <v>-2</v>
      </c>
      <c r="Q22" s="4">
        <v>0</v>
      </c>
      <c r="R22" s="4">
        <v>3</v>
      </c>
      <c r="S22" s="4">
        <v>-1</v>
      </c>
    </row>
    <row r="23" spans="1:19" ht="18" customHeight="1" x14ac:dyDescent="0.25">
      <c r="A23" s="5">
        <v>44470</v>
      </c>
      <c r="B23" s="4">
        <v>14</v>
      </c>
      <c r="C23" s="4">
        <v>9</v>
      </c>
      <c r="D23" s="4">
        <v>4</v>
      </c>
      <c r="E23" s="4">
        <v>3</v>
      </c>
      <c r="F23" s="4">
        <v>2</v>
      </c>
      <c r="G23" s="4">
        <v>8</v>
      </c>
      <c r="H23" s="4">
        <v>13</v>
      </c>
      <c r="I23" s="4">
        <v>7</v>
      </c>
      <c r="J23" s="4">
        <v>5</v>
      </c>
      <c r="K23" s="4">
        <v>-2</v>
      </c>
      <c r="L23" s="4">
        <v>0</v>
      </c>
      <c r="M23" s="4">
        <v>6</v>
      </c>
      <c r="N23" s="4">
        <v>1</v>
      </c>
      <c r="O23" s="4">
        <v>10</v>
      </c>
      <c r="P23" s="4">
        <v>12</v>
      </c>
      <c r="Q23" s="4">
        <v>11</v>
      </c>
      <c r="R23" s="4">
        <v>1</v>
      </c>
      <c r="S23" s="4">
        <v>0</v>
      </c>
    </row>
    <row r="24" spans="1:19" ht="18" customHeight="1" x14ac:dyDescent="0.25">
      <c r="A24" s="5">
        <v>44501</v>
      </c>
      <c r="B24" s="4">
        <v>10</v>
      </c>
      <c r="C24" s="4">
        <v>1</v>
      </c>
      <c r="D24" s="4">
        <v>6</v>
      </c>
      <c r="E24" s="4">
        <v>4</v>
      </c>
      <c r="F24" s="4">
        <v>-1</v>
      </c>
      <c r="G24" s="4">
        <v>3</v>
      </c>
      <c r="H24" s="4">
        <v>8</v>
      </c>
      <c r="I24" s="4">
        <v>7</v>
      </c>
      <c r="J24" s="4">
        <v>5</v>
      </c>
      <c r="K24" s="4">
        <v>-3</v>
      </c>
      <c r="L24" s="4">
        <v>2</v>
      </c>
      <c r="M24" s="4">
        <v>0</v>
      </c>
      <c r="N24" s="4">
        <v>9</v>
      </c>
      <c r="O24" s="4">
        <v>-4</v>
      </c>
      <c r="P24" s="4">
        <v>-5</v>
      </c>
      <c r="Q24" s="4">
        <v>0</v>
      </c>
      <c r="R24" s="4">
        <v>-2</v>
      </c>
      <c r="S24" s="4">
        <v>0</v>
      </c>
    </row>
    <row r="25" spans="1:19" ht="18" customHeight="1" x14ac:dyDescent="0.25">
      <c r="A25" s="5">
        <v>44531</v>
      </c>
      <c r="B25" s="4">
        <v>0</v>
      </c>
      <c r="C25" s="4">
        <v>5</v>
      </c>
      <c r="D25" s="4">
        <v>1</v>
      </c>
      <c r="E25" s="4">
        <v>11</v>
      </c>
      <c r="F25" s="4">
        <v>4</v>
      </c>
      <c r="G25" s="4">
        <v>10</v>
      </c>
      <c r="H25" s="4">
        <v>12</v>
      </c>
      <c r="I25" s="4">
        <v>6</v>
      </c>
      <c r="J25" s="4">
        <v>9</v>
      </c>
      <c r="K25" s="4">
        <v>0</v>
      </c>
      <c r="L25" s="4">
        <v>-1</v>
      </c>
      <c r="M25" s="4">
        <v>8</v>
      </c>
      <c r="N25" s="4">
        <v>2</v>
      </c>
      <c r="O25" s="4">
        <v>7</v>
      </c>
      <c r="P25" s="4">
        <v>0</v>
      </c>
      <c r="Q25" s="4">
        <v>13</v>
      </c>
      <c r="R25" s="4">
        <v>3</v>
      </c>
      <c r="S25" s="4">
        <v>-2</v>
      </c>
    </row>
    <row r="26" spans="1:19" ht="18" customHeight="1" x14ac:dyDescent="0.25">
      <c r="A26" s="5">
        <v>44562</v>
      </c>
      <c r="B26" s="4">
        <v>11</v>
      </c>
      <c r="C26" s="4">
        <v>1</v>
      </c>
      <c r="D26" s="4">
        <v>6</v>
      </c>
      <c r="E26" s="4">
        <v>5</v>
      </c>
      <c r="F26" s="4">
        <v>8</v>
      </c>
      <c r="G26" s="4">
        <v>7</v>
      </c>
      <c r="H26" s="4">
        <v>10</v>
      </c>
      <c r="I26" s="4">
        <v>2</v>
      </c>
      <c r="J26" s="4">
        <v>0</v>
      </c>
      <c r="K26" s="4">
        <v>0</v>
      </c>
      <c r="L26" s="4">
        <v>0</v>
      </c>
      <c r="M26" s="4">
        <v>-1</v>
      </c>
      <c r="N26" s="4">
        <v>3</v>
      </c>
      <c r="O26" s="4">
        <v>9</v>
      </c>
      <c r="P26" s="4">
        <v>0</v>
      </c>
      <c r="Q26" s="4">
        <v>-2</v>
      </c>
      <c r="R26" s="4">
        <v>4</v>
      </c>
      <c r="S26" s="4">
        <v>0</v>
      </c>
    </row>
    <row r="27" spans="1:19" ht="18" customHeight="1" x14ac:dyDescent="0.25">
      <c r="A27" s="5">
        <v>44593</v>
      </c>
      <c r="B27" s="4">
        <v>13</v>
      </c>
      <c r="C27" s="4">
        <v>5</v>
      </c>
      <c r="D27" s="4">
        <v>9</v>
      </c>
      <c r="E27" s="4">
        <v>7</v>
      </c>
      <c r="F27" s="4">
        <v>2</v>
      </c>
      <c r="G27" s="4">
        <v>1</v>
      </c>
      <c r="H27" s="4">
        <v>0</v>
      </c>
      <c r="I27" s="4">
        <v>3</v>
      </c>
      <c r="J27" s="4">
        <v>8</v>
      </c>
      <c r="K27" s="4">
        <v>-1</v>
      </c>
      <c r="L27" s="4">
        <v>12</v>
      </c>
      <c r="M27" s="4">
        <v>6</v>
      </c>
      <c r="N27" s="4">
        <v>4</v>
      </c>
      <c r="O27" s="4">
        <v>0</v>
      </c>
      <c r="P27" s="4">
        <v>0</v>
      </c>
      <c r="Q27" s="4">
        <v>10</v>
      </c>
      <c r="R27" s="4">
        <v>11</v>
      </c>
      <c r="S27" s="4">
        <v>0</v>
      </c>
    </row>
    <row r="28" spans="1:19" ht="18" customHeight="1" x14ac:dyDescent="0.25">
      <c r="A28" s="5">
        <v>44621</v>
      </c>
      <c r="B28" s="4">
        <v>13</v>
      </c>
      <c r="C28" s="4">
        <v>6</v>
      </c>
      <c r="D28" s="4">
        <v>3</v>
      </c>
      <c r="E28" s="4">
        <v>9</v>
      </c>
      <c r="F28" s="4">
        <v>5</v>
      </c>
      <c r="G28" s="4">
        <v>12</v>
      </c>
      <c r="H28" s="4">
        <v>4</v>
      </c>
      <c r="I28" s="4">
        <v>1</v>
      </c>
      <c r="J28" s="4">
        <v>11</v>
      </c>
      <c r="K28" s="4">
        <v>0</v>
      </c>
      <c r="L28" s="4">
        <v>7</v>
      </c>
      <c r="M28" s="4">
        <v>-1</v>
      </c>
      <c r="N28" s="4">
        <v>2</v>
      </c>
      <c r="O28" s="4">
        <v>0</v>
      </c>
      <c r="P28" s="4">
        <v>0</v>
      </c>
      <c r="Q28" s="4">
        <v>10</v>
      </c>
      <c r="R28" s="4">
        <v>8</v>
      </c>
      <c r="S28" s="4">
        <v>0</v>
      </c>
    </row>
    <row r="29" spans="1:19" ht="18" customHeight="1" x14ac:dyDescent="0.25">
      <c r="A29" s="5">
        <v>44652</v>
      </c>
      <c r="B29" s="4">
        <v>0</v>
      </c>
      <c r="C29" s="4">
        <v>2</v>
      </c>
      <c r="D29" s="4">
        <v>10</v>
      </c>
      <c r="E29" s="4">
        <v>-1</v>
      </c>
      <c r="F29" s="4">
        <v>5</v>
      </c>
      <c r="G29" s="4">
        <v>8</v>
      </c>
      <c r="H29" s="4">
        <v>7</v>
      </c>
      <c r="I29" s="4">
        <v>4</v>
      </c>
      <c r="J29" s="4">
        <v>3</v>
      </c>
      <c r="K29" s="4">
        <v>0</v>
      </c>
      <c r="L29" s="4">
        <v>6</v>
      </c>
      <c r="M29" s="4">
        <v>0</v>
      </c>
      <c r="N29" s="4">
        <v>1</v>
      </c>
      <c r="O29" s="4">
        <v>-2</v>
      </c>
      <c r="P29" s="4">
        <v>11</v>
      </c>
      <c r="Q29" s="4">
        <v>-3</v>
      </c>
      <c r="R29" s="4">
        <v>9</v>
      </c>
      <c r="S29" s="4">
        <v>0</v>
      </c>
    </row>
    <row r="30" spans="1:19" ht="18" customHeight="1" x14ac:dyDescent="0.25">
      <c r="A30" s="5">
        <v>44682</v>
      </c>
      <c r="B30" s="4">
        <v>11</v>
      </c>
      <c r="C30" s="4">
        <v>3</v>
      </c>
      <c r="D30" s="4">
        <v>10</v>
      </c>
      <c r="E30" s="4">
        <v>0</v>
      </c>
      <c r="F30" s="4">
        <v>1</v>
      </c>
      <c r="G30" s="4">
        <v>8</v>
      </c>
      <c r="H30" s="4">
        <v>0</v>
      </c>
      <c r="I30" s="4">
        <v>6</v>
      </c>
      <c r="J30" s="4">
        <v>5</v>
      </c>
      <c r="K30" s="4">
        <v>0</v>
      </c>
      <c r="L30" s="4">
        <v>0</v>
      </c>
      <c r="M30" s="4">
        <v>7</v>
      </c>
      <c r="N30" s="4">
        <v>4</v>
      </c>
      <c r="O30" s="4">
        <v>9</v>
      </c>
      <c r="P30" s="4">
        <v>0</v>
      </c>
      <c r="Q30" s="4">
        <v>0</v>
      </c>
      <c r="R30" s="4">
        <v>2</v>
      </c>
      <c r="S30" s="4">
        <v>-1</v>
      </c>
    </row>
    <row r="31" spans="1:19" ht="18" customHeight="1" x14ac:dyDescent="0.25">
      <c r="A31" s="5">
        <v>44713</v>
      </c>
      <c r="B31" s="4">
        <v>7</v>
      </c>
      <c r="C31" s="4">
        <v>-2</v>
      </c>
      <c r="D31" s="4">
        <v>2</v>
      </c>
      <c r="E31" s="4">
        <v>-3</v>
      </c>
      <c r="F31" s="4">
        <v>0</v>
      </c>
      <c r="G31" s="4">
        <v>-1</v>
      </c>
      <c r="H31" s="4">
        <v>-6</v>
      </c>
      <c r="I31" s="4">
        <v>0</v>
      </c>
      <c r="J31" s="4">
        <v>1</v>
      </c>
      <c r="K31" s="4">
        <v>6</v>
      </c>
      <c r="L31" s="4">
        <v>-5</v>
      </c>
      <c r="M31" s="4">
        <v>5</v>
      </c>
      <c r="N31" s="4">
        <v>3</v>
      </c>
      <c r="O31" s="4">
        <v>4</v>
      </c>
      <c r="P31" s="4">
        <v>0</v>
      </c>
      <c r="Q31" s="4">
        <v>8</v>
      </c>
      <c r="R31" s="4">
        <v>-4</v>
      </c>
      <c r="S31" s="4">
        <v>-7</v>
      </c>
    </row>
    <row r="32" spans="1:19" ht="18" customHeight="1" x14ac:dyDescent="0.25">
      <c r="A32" s="5">
        <v>44743</v>
      </c>
      <c r="B32" s="4">
        <v>0</v>
      </c>
      <c r="C32" s="4">
        <v>-2</v>
      </c>
      <c r="D32" s="4">
        <v>1</v>
      </c>
      <c r="E32" s="4">
        <v>0</v>
      </c>
      <c r="F32" s="4">
        <v>-5</v>
      </c>
      <c r="G32" s="4">
        <v>0</v>
      </c>
      <c r="H32" s="4">
        <v>-6</v>
      </c>
      <c r="I32" s="4">
        <v>-1</v>
      </c>
      <c r="J32" s="4">
        <v>-4</v>
      </c>
      <c r="K32" s="4">
        <v>4</v>
      </c>
      <c r="L32" s="4">
        <v>0</v>
      </c>
      <c r="M32" s="4">
        <v>0</v>
      </c>
      <c r="N32" s="4">
        <v>-3</v>
      </c>
      <c r="O32" s="4">
        <v>2</v>
      </c>
      <c r="P32" s="4">
        <v>3</v>
      </c>
      <c r="Q32" s="4">
        <v>0</v>
      </c>
      <c r="R32" s="4">
        <v>0</v>
      </c>
      <c r="S32" s="4">
        <v>-7</v>
      </c>
    </row>
    <row r="33" spans="1:19" ht="18" customHeight="1" x14ac:dyDescent="0.25">
      <c r="A33" s="5">
        <v>44774</v>
      </c>
      <c r="B33" s="4">
        <v>0</v>
      </c>
      <c r="C33" s="4">
        <v>-5</v>
      </c>
      <c r="D33" s="4">
        <v>5</v>
      </c>
      <c r="E33" s="4">
        <v>-6</v>
      </c>
      <c r="F33" s="4">
        <v>-4</v>
      </c>
      <c r="G33" s="4">
        <v>-3</v>
      </c>
      <c r="H33" s="4">
        <v>-7</v>
      </c>
      <c r="I33" s="4">
        <v>-2</v>
      </c>
      <c r="J33" s="4">
        <v>-1</v>
      </c>
      <c r="K33" s="4">
        <v>4</v>
      </c>
      <c r="L33" s="4">
        <v>0</v>
      </c>
      <c r="M33" s="4">
        <v>0</v>
      </c>
      <c r="N33" s="4">
        <v>1</v>
      </c>
      <c r="O33" s="4">
        <v>2</v>
      </c>
      <c r="P33" s="4">
        <v>0</v>
      </c>
      <c r="Q33" s="4">
        <v>6</v>
      </c>
      <c r="R33" s="4">
        <v>3</v>
      </c>
      <c r="S33" s="4">
        <v>-8</v>
      </c>
    </row>
    <row r="34" spans="1:19" ht="18" customHeight="1" x14ac:dyDescent="0.25">
      <c r="A34" s="5">
        <v>44805</v>
      </c>
      <c r="B34" s="4">
        <v>-7</v>
      </c>
      <c r="C34" s="4">
        <v>-4</v>
      </c>
      <c r="D34" s="4">
        <v>2</v>
      </c>
      <c r="E34" s="4">
        <v>-3</v>
      </c>
      <c r="F34" s="4">
        <v>-5</v>
      </c>
      <c r="G34" s="4">
        <v>-1</v>
      </c>
      <c r="H34" s="4">
        <v>-11</v>
      </c>
      <c r="I34" s="4">
        <v>1</v>
      </c>
      <c r="J34" s="4">
        <v>3</v>
      </c>
      <c r="K34" s="4">
        <v>5</v>
      </c>
      <c r="L34" s="4">
        <v>-6</v>
      </c>
      <c r="M34" s="4">
        <v>0</v>
      </c>
      <c r="N34" s="4">
        <v>0</v>
      </c>
      <c r="O34" s="4">
        <v>-2</v>
      </c>
      <c r="P34" s="4">
        <v>-8</v>
      </c>
      <c r="Q34" s="4">
        <v>-9</v>
      </c>
      <c r="R34" s="4">
        <v>4</v>
      </c>
      <c r="S34" s="4">
        <v>-10</v>
      </c>
    </row>
    <row r="35" spans="1:19" ht="18" customHeight="1" x14ac:dyDescent="0.25">
      <c r="A35" s="5">
        <v>44835</v>
      </c>
      <c r="B35" s="4">
        <v>3</v>
      </c>
      <c r="C35" s="4">
        <v>-2</v>
      </c>
      <c r="D35" s="4">
        <v>0</v>
      </c>
      <c r="E35" s="4">
        <v>0</v>
      </c>
      <c r="F35" s="4">
        <v>-7</v>
      </c>
      <c r="G35" s="4">
        <v>-4</v>
      </c>
      <c r="H35" s="4">
        <v>-11</v>
      </c>
      <c r="I35" s="4">
        <v>0</v>
      </c>
      <c r="J35" s="4">
        <v>-1</v>
      </c>
      <c r="K35" s="4">
        <v>-5</v>
      </c>
      <c r="L35" s="4">
        <v>-9</v>
      </c>
      <c r="M35" s="4">
        <v>2</v>
      </c>
      <c r="N35" s="4">
        <v>1</v>
      </c>
      <c r="O35" s="4">
        <v>-6</v>
      </c>
      <c r="P35" s="4">
        <v>-10</v>
      </c>
      <c r="Q35" s="4">
        <v>-8</v>
      </c>
      <c r="R35" s="4">
        <v>-3</v>
      </c>
      <c r="S35" s="4">
        <v>-12</v>
      </c>
    </row>
    <row r="36" spans="1:19" ht="18" customHeight="1" x14ac:dyDescent="0.25">
      <c r="A36" s="5">
        <v>44866</v>
      </c>
      <c r="B36" s="4">
        <v>1</v>
      </c>
      <c r="C36" s="4">
        <v>-5</v>
      </c>
      <c r="D36" s="4">
        <v>-1</v>
      </c>
      <c r="E36" s="4">
        <v>-9</v>
      </c>
      <c r="F36" s="4">
        <v>-8</v>
      </c>
      <c r="G36" s="4">
        <v>-2</v>
      </c>
      <c r="H36" s="4">
        <v>0</v>
      </c>
      <c r="I36" s="4">
        <v>-7</v>
      </c>
      <c r="J36" s="4">
        <v>-3</v>
      </c>
      <c r="K36" s="4">
        <v>-10</v>
      </c>
      <c r="L36" s="4">
        <v>-12</v>
      </c>
      <c r="M36" s="4">
        <v>0</v>
      </c>
      <c r="N36" s="4">
        <v>-6</v>
      </c>
      <c r="O36" s="4">
        <v>-11</v>
      </c>
      <c r="P36" s="4">
        <v>-13</v>
      </c>
      <c r="Q36" s="4">
        <v>0</v>
      </c>
      <c r="R36" s="4">
        <v>-4</v>
      </c>
      <c r="S36" s="4">
        <v>-14</v>
      </c>
    </row>
    <row r="37" spans="1:19" ht="18" customHeight="1" x14ac:dyDescent="0.25">
      <c r="A37" s="5">
        <v>44896</v>
      </c>
      <c r="B37" s="4">
        <v>0</v>
      </c>
      <c r="C37" s="4">
        <v>-7</v>
      </c>
      <c r="D37" s="4">
        <v>-2</v>
      </c>
      <c r="E37" s="4">
        <v>-4</v>
      </c>
      <c r="F37" s="4">
        <v>-9</v>
      </c>
      <c r="G37" s="4">
        <v>-8</v>
      </c>
      <c r="H37" s="4">
        <v>-6</v>
      </c>
      <c r="I37" s="4">
        <v>-1</v>
      </c>
      <c r="J37" s="4">
        <v>-3</v>
      </c>
      <c r="K37" s="4">
        <v>-10</v>
      </c>
      <c r="L37" s="4">
        <v>0</v>
      </c>
      <c r="M37" s="4">
        <v>0</v>
      </c>
      <c r="N37" s="4">
        <v>-5</v>
      </c>
      <c r="O37" s="4">
        <v>2</v>
      </c>
      <c r="P37" s="4">
        <v>0</v>
      </c>
      <c r="Q37" s="4">
        <v>3</v>
      </c>
      <c r="R37" s="4">
        <v>1</v>
      </c>
      <c r="S37" s="4">
        <v>-11</v>
      </c>
    </row>
    <row r="38" spans="1:19" ht="18" customHeight="1" x14ac:dyDescent="0.25">
      <c r="A38" s="5">
        <v>44927</v>
      </c>
      <c r="B38" s="1">
        <v>-15</v>
      </c>
      <c r="C38" s="1">
        <v>-3</v>
      </c>
      <c r="D38" s="1">
        <v>-2</v>
      </c>
      <c r="E38" s="1">
        <v>-12</v>
      </c>
      <c r="F38" s="1">
        <v>-8</v>
      </c>
      <c r="G38" s="1">
        <v>-5</v>
      </c>
      <c r="H38" s="1">
        <v>-11</v>
      </c>
      <c r="I38" s="1">
        <v>-7</v>
      </c>
      <c r="J38" s="1">
        <v>-4</v>
      </c>
      <c r="K38" s="1">
        <v>-13</v>
      </c>
      <c r="L38" s="1">
        <v>-14</v>
      </c>
      <c r="M38" s="1">
        <v>-6</v>
      </c>
      <c r="N38" s="1">
        <v>-10</v>
      </c>
      <c r="O38" s="1">
        <v>-9</v>
      </c>
      <c r="P38" s="1">
        <v>0</v>
      </c>
      <c r="Q38" s="1">
        <v>-16</v>
      </c>
      <c r="R38" s="1">
        <v>-1</v>
      </c>
      <c r="S38" s="1">
        <v>-17</v>
      </c>
    </row>
    <row r="39" spans="1:19" ht="18" customHeight="1" x14ac:dyDescent="0.25">
      <c r="A39" s="5">
        <v>44958</v>
      </c>
      <c r="B39" s="1">
        <v>0</v>
      </c>
      <c r="C39" s="1">
        <v>0</v>
      </c>
      <c r="D39" s="1">
        <v>-1</v>
      </c>
      <c r="E39" s="1">
        <v>-2</v>
      </c>
      <c r="F39" s="1">
        <v>-3</v>
      </c>
      <c r="G39" s="1">
        <v>0</v>
      </c>
      <c r="H39" s="1">
        <v>-8</v>
      </c>
      <c r="I39" s="1">
        <v>-6</v>
      </c>
      <c r="J39" s="1">
        <v>1</v>
      </c>
      <c r="K39" s="1">
        <v>-11</v>
      </c>
      <c r="L39" s="1">
        <v>-12</v>
      </c>
      <c r="M39" s="1">
        <v>3</v>
      </c>
      <c r="N39" s="1">
        <v>-5</v>
      </c>
      <c r="O39" s="1">
        <v>-4</v>
      </c>
      <c r="P39" s="1">
        <v>-9</v>
      </c>
      <c r="Q39" s="1">
        <v>-10</v>
      </c>
      <c r="R39" s="1">
        <v>2</v>
      </c>
      <c r="S39" s="1">
        <v>-7</v>
      </c>
    </row>
    <row r="40" spans="1:19" ht="18" customHeight="1" x14ac:dyDescent="0.25">
      <c r="A40" s="5">
        <v>44986</v>
      </c>
      <c r="B40" s="1">
        <v>0</v>
      </c>
      <c r="C40" s="1">
        <v>-1</v>
      </c>
      <c r="D40" s="1">
        <v>-6</v>
      </c>
      <c r="E40" s="1">
        <v>-3</v>
      </c>
      <c r="F40" s="1">
        <v>1</v>
      </c>
      <c r="G40" s="1">
        <v>-5</v>
      </c>
      <c r="H40" s="1">
        <v>-9</v>
      </c>
      <c r="I40" s="1">
        <v>-2</v>
      </c>
      <c r="J40" s="1">
        <v>4</v>
      </c>
      <c r="K40" s="1">
        <v>-10</v>
      </c>
      <c r="L40" s="1">
        <v>-11</v>
      </c>
      <c r="M40" s="1">
        <v>2</v>
      </c>
      <c r="N40" s="1">
        <v>-7</v>
      </c>
      <c r="O40" s="1">
        <v>3</v>
      </c>
      <c r="P40" s="1">
        <v>5</v>
      </c>
      <c r="Q40" s="1">
        <v>-8</v>
      </c>
      <c r="R40" s="1">
        <v>-4</v>
      </c>
      <c r="S40" s="1">
        <v>0</v>
      </c>
    </row>
    <row r="41" spans="1:19" ht="18" customHeight="1" x14ac:dyDescent="0.25">
      <c r="A41" s="5">
        <v>45017</v>
      </c>
      <c r="B41" s="1">
        <v>0</v>
      </c>
      <c r="C41" s="1">
        <v>-4</v>
      </c>
      <c r="D41" s="1">
        <v>-3</v>
      </c>
      <c r="E41" s="1">
        <v>-5</v>
      </c>
      <c r="F41" s="1">
        <v>6</v>
      </c>
      <c r="G41" s="1">
        <v>0</v>
      </c>
      <c r="H41" s="1">
        <v>-6</v>
      </c>
      <c r="I41" s="1">
        <v>-2</v>
      </c>
      <c r="J41" s="1">
        <v>2</v>
      </c>
      <c r="K41" s="1">
        <v>5</v>
      </c>
      <c r="L41" s="1">
        <v>7</v>
      </c>
      <c r="M41" s="1">
        <v>4</v>
      </c>
      <c r="N41" s="1">
        <v>3</v>
      </c>
      <c r="O41" s="1">
        <v>-1</v>
      </c>
      <c r="P41" s="1">
        <v>8</v>
      </c>
      <c r="Q41" s="1">
        <v>0</v>
      </c>
      <c r="R41" s="1">
        <v>1</v>
      </c>
      <c r="S41" s="1">
        <v>0</v>
      </c>
    </row>
    <row r="42" spans="1:19" ht="18" customHeight="1" x14ac:dyDescent="0.25">
      <c r="A42" s="5">
        <v>45047</v>
      </c>
      <c r="B42" s="1">
        <v>0</v>
      </c>
      <c r="C42" s="1">
        <v>-4</v>
      </c>
      <c r="D42" s="1">
        <v>-8</v>
      </c>
      <c r="E42" s="1">
        <v>-10</v>
      </c>
      <c r="F42" s="1">
        <v>-2</v>
      </c>
      <c r="G42" s="1">
        <v>-3</v>
      </c>
      <c r="H42" s="1">
        <v>3</v>
      </c>
      <c r="I42" s="1">
        <v>-7</v>
      </c>
      <c r="J42" s="1">
        <v>1</v>
      </c>
      <c r="K42" s="1">
        <v>0</v>
      </c>
      <c r="L42" s="1">
        <v>-5</v>
      </c>
      <c r="M42" s="1">
        <v>-6</v>
      </c>
      <c r="N42" s="1">
        <v>2</v>
      </c>
      <c r="O42" s="1">
        <v>-9</v>
      </c>
      <c r="P42" s="1">
        <v>0</v>
      </c>
      <c r="Q42" s="1">
        <v>-11</v>
      </c>
      <c r="R42" s="1">
        <v>-1</v>
      </c>
      <c r="S42" s="1">
        <v>-12</v>
      </c>
    </row>
    <row r="43" spans="1:19" ht="18" customHeight="1" x14ac:dyDescent="0.25">
      <c r="A43" s="5">
        <v>45078</v>
      </c>
      <c r="B43" s="1">
        <v>0</v>
      </c>
      <c r="C43" s="1">
        <v>-2</v>
      </c>
      <c r="D43" s="1">
        <v>-5</v>
      </c>
      <c r="E43" s="1">
        <v>-6</v>
      </c>
      <c r="F43" s="1">
        <v>-1</v>
      </c>
      <c r="G43" s="1">
        <v>0</v>
      </c>
      <c r="H43" s="1">
        <v>3</v>
      </c>
      <c r="I43" s="1">
        <v>-4</v>
      </c>
      <c r="J43" s="1">
        <v>-3</v>
      </c>
      <c r="K43" s="1">
        <v>4</v>
      </c>
      <c r="L43" s="1">
        <v>1</v>
      </c>
      <c r="M43" s="1">
        <v>0</v>
      </c>
      <c r="N43" s="1">
        <v>-8</v>
      </c>
      <c r="O43" s="1">
        <v>0</v>
      </c>
      <c r="P43" s="1">
        <v>5</v>
      </c>
      <c r="Q43" s="1">
        <v>-7</v>
      </c>
      <c r="R43" s="1">
        <v>2</v>
      </c>
      <c r="S43" s="1">
        <v>-9</v>
      </c>
    </row>
    <row r="44" spans="1:19" ht="18" customHeight="1" x14ac:dyDescent="0.25">
      <c r="A44" s="5">
        <v>45108</v>
      </c>
      <c r="B44" s="1">
        <v>-12</v>
      </c>
      <c r="C44" s="1">
        <v>1</v>
      </c>
      <c r="D44" s="1">
        <v>-2</v>
      </c>
      <c r="E44" s="1">
        <v>-6</v>
      </c>
      <c r="F44" s="1">
        <v>-5</v>
      </c>
      <c r="G44" s="1">
        <v>-8</v>
      </c>
      <c r="H44" s="1">
        <v>4</v>
      </c>
      <c r="I44" s="1">
        <v>-7</v>
      </c>
      <c r="J44" s="1">
        <v>-1</v>
      </c>
      <c r="K44" s="1">
        <v>2</v>
      </c>
      <c r="L44" s="1">
        <v>-10</v>
      </c>
      <c r="M44" s="1">
        <v>0</v>
      </c>
      <c r="N44" s="1">
        <v>-9</v>
      </c>
      <c r="O44" s="1">
        <v>-4</v>
      </c>
      <c r="P44" s="1">
        <v>0</v>
      </c>
      <c r="Q44" s="1">
        <v>3</v>
      </c>
      <c r="R44" s="1">
        <v>-3</v>
      </c>
      <c r="S44" s="1">
        <v>-11</v>
      </c>
    </row>
    <row r="45" spans="1:19" ht="18" customHeight="1" x14ac:dyDescent="0.25">
      <c r="A45" s="5">
        <v>45139</v>
      </c>
      <c r="B45" s="1">
        <v>0</v>
      </c>
      <c r="C45" s="1">
        <v>-1</v>
      </c>
      <c r="D45" s="1">
        <v>-5</v>
      </c>
      <c r="E45" s="1">
        <v>-9</v>
      </c>
      <c r="F45" s="1">
        <v>-6</v>
      </c>
      <c r="G45" s="1">
        <v>0</v>
      </c>
      <c r="H45" s="1">
        <v>-8</v>
      </c>
      <c r="I45" s="1">
        <v>-4</v>
      </c>
      <c r="J45" s="1">
        <v>-3</v>
      </c>
      <c r="K45" s="1">
        <v>4</v>
      </c>
      <c r="L45" s="1">
        <v>2</v>
      </c>
      <c r="M45" s="1">
        <v>-7</v>
      </c>
      <c r="N45" s="1">
        <v>-2</v>
      </c>
      <c r="O45" s="1">
        <v>0</v>
      </c>
      <c r="P45" s="1">
        <v>0</v>
      </c>
      <c r="Q45" s="1">
        <v>3</v>
      </c>
      <c r="R45" s="1">
        <v>1</v>
      </c>
      <c r="S45" s="1">
        <v>0</v>
      </c>
    </row>
    <row r="46" spans="1:19" ht="18" customHeight="1" x14ac:dyDescent="0.25">
      <c r="A46" s="5">
        <v>45170</v>
      </c>
      <c r="B46" s="1">
        <v>0</v>
      </c>
      <c r="C46" s="1">
        <v>-1</v>
      </c>
      <c r="D46" s="1">
        <v>-2</v>
      </c>
      <c r="E46" s="1">
        <v>-6</v>
      </c>
      <c r="F46" s="1">
        <v>2</v>
      </c>
      <c r="G46" s="1">
        <v>4</v>
      </c>
      <c r="H46" s="1">
        <v>-7</v>
      </c>
      <c r="I46" s="1">
        <v>-4</v>
      </c>
      <c r="J46" s="1">
        <v>5</v>
      </c>
      <c r="K46" s="1">
        <v>1</v>
      </c>
      <c r="L46" s="1">
        <v>0</v>
      </c>
      <c r="M46" s="1">
        <v>-5</v>
      </c>
      <c r="N46" s="1">
        <v>0</v>
      </c>
      <c r="O46" s="1">
        <v>3</v>
      </c>
      <c r="P46" s="1">
        <v>-8</v>
      </c>
      <c r="Q46" s="1">
        <v>0</v>
      </c>
      <c r="R46" s="1">
        <v>-3</v>
      </c>
      <c r="S46" s="1">
        <v>0</v>
      </c>
    </row>
    <row r="47" spans="1:19" ht="18" customHeight="1" x14ac:dyDescent="0.25">
      <c r="A47" s="5">
        <v>45200</v>
      </c>
      <c r="B47" s="1">
        <v>0</v>
      </c>
      <c r="C47" s="1">
        <v>0</v>
      </c>
      <c r="D47" s="1">
        <v>-6</v>
      </c>
      <c r="E47" s="1">
        <v>-8</v>
      </c>
      <c r="F47" s="1">
        <v>-2</v>
      </c>
      <c r="G47" s="1">
        <v>0</v>
      </c>
      <c r="H47" s="1">
        <v>-3</v>
      </c>
      <c r="I47" s="1">
        <v>-5</v>
      </c>
      <c r="J47" s="1">
        <v>-1</v>
      </c>
      <c r="K47" s="1">
        <v>-4</v>
      </c>
      <c r="L47" s="1">
        <v>0</v>
      </c>
      <c r="M47" s="1">
        <v>0</v>
      </c>
      <c r="N47" s="1">
        <v>3</v>
      </c>
      <c r="O47" s="1">
        <v>2</v>
      </c>
      <c r="P47" s="1">
        <v>-9</v>
      </c>
      <c r="Q47" s="1">
        <v>-7</v>
      </c>
      <c r="R47" s="1">
        <v>1</v>
      </c>
      <c r="S47" s="1">
        <v>-10</v>
      </c>
    </row>
    <row r="48" spans="1:19" ht="18" customHeight="1" x14ac:dyDescent="0.25">
      <c r="A48" s="5">
        <v>45231</v>
      </c>
      <c r="B48" s="1">
        <v>0</v>
      </c>
      <c r="C48" s="1">
        <v>-4</v>
      </c>
      <c r="D48" s="1">
        <v>-8</v>
      </c>
      <c r="E48" s="1">
        <v>-13</v>
      </c>
      <c r="F48" s="1">
        <v>-5</v>
      </c>
      <c r="G48" s="1">
        <v>2</v>
      </c>
      <c r="H48" s="1">
        <v>-10</v>
      </c>
      <c r="I48" s="1">
        <v>-7</v>
      </c>
      <c r="J48" s="1">
        <v>-2</v>
      </c>
      <c r="K48" s="1">
        <v>-6</v>
      </c>
      <c r="L48" s="1">
        <v>-9</v>
      </c>
      <c r="M48" s="1">
        <v>0</v>
      </c>
      <c r="N48" s="1">
        <v>1</v>
      </c>
      <c r="O48" s="1">
        <v>-3</v>
      </c>
      <c r="P48" s="1">
        <v>0</v>
      </c>
      <c r="Q48" s="1">
        <v>-12</v>
      </c>
      <c r="R48" s="1">
        <v>-1</v>
      </c>
      <c r="S48" s="1">
        <v>-11</v>
      </c>
    </row>
    <row r="49" spans="1:19" ht="18" customHeight="1" x14ac:dyDescent="0.25">
      <c r="A49" s="5">
        <v>45261</v>
      </c>
      <c r="B49" s="1">
        <v>-12</v>
      </c>
      <c r="C49" s="1">
        <v>1</v>
      </c>
      <c r="D49" s="1">
        <v>-2</v>
      </c>
      <c r="E49" s="1">
        <v>-1</v>
      </c>
      <c r="F49" s="1">
        <v>-4</v>
      </c>
      <c r="G49" s="1">
        <v>0</v>
      </c>
      <c r="H49" s="1">
        <v>-9</v>
      </c>
      <c r="I49" s="1">
        <v>-5</v>
      </c>
      <c r="J49" s="1">
        <v>2</v>
      </c>
      <c r="K49" s="1">
        <v>-10</v>
      </c>
      <c r="L49" s="1">
        <v>-6</v>
      </c>
      <c r="M49" s="1">
        <v>-7</v>
      </c>
      <c r="N49" s="1">
        <v>-8</v>
      </c>
      <c r="O49" s="1">
        <v>3</v>
      </c>
      <c r="P49" s="1">
        <v>-13</v>
      </c>
      <c r="Q49" s="1">
        <v>4</v>
      </c>
      <c r="R49" s="1">
        <v>-3</v>
      </c>
      <c r="S49" s="1">
        <v>-11</v>
      </c>
    </row>
    <row r="50" spans="1:19" ht="18" customHeight="1" x14ac:dyDescent="0.25">
      <c r="A50" s="5">
        <v>45292</v>
      </c>
      <c r="B50" s="1">
        <v>5</v>
      </c>
      <c r="C50" s="1">
        <v>3</v>
      </c>
      <c r="D50" s="1">
        <v>-1</v>
      </c>
      <c r="E50" s="1">
        <v>-4</v>
      </c>
      <c r="F50" s="1">
        <v>1</v>
      </c>
      <c r="G50" s="1">
        <v>-2</v>
      </c>
      <c r="H50" s="1">
        <v>-8</v>
      </c>
      <c r="I50" s="1">
        <v>-7</v>
      </c>
      <c r="J50" s="1">
        <v>-3</v>
      </c>
      <c r="K50" s="1">
        <v>-9</v>
      </c>
      <c r="L50" s="1">
        <v>0</v>
      </c>
      <c r="M50" s="1">
        <v>-5</v>
      </c>
      <c r="N50" s="1">
        <v>-6</v>
      </c>
      <c r="O50" s="1">
        <v>4</v>
      </c>
      <c r="P50" s="1">
        <v>0</v>
      </c>
      <c r="Q50" s="1">
        <v>0</v>
      </c>
      <c r="R50" s="1">
        <v>2</v>
      </c>
      <c r="S50" s="1">
        <v>-10</v>
      </c>
    </row>
    <row r="51" spans="1:19" ht="18" customHeight="1" x14ac:dyDescent="0.25">
      <c r="A51" s="5">
        <v>45323</v>
      </c>
      <c r="B51" s="1">
        <v>11</v>
      </c>
      <c r="C51" s="1">
        <v>6</v>
      </c>
      <c r="D51" s="1">
        <v>1</v>
      </c>
      <c r="E51" s="1">
        <v>3</v>
      </c>
      <c r="F51" s="1">
        <v>7</v>
      </c>
      <c r="G51" s="1">
        <v>-2</v>
      </c>
      <c r="H51" s="1">
        <v>-4</v>
      </c>
      <c r="I51" s="1">
        <v>-1</v>
      </c>
      <c r="J51" s="1">
        <v>2</v>
      </c>
      <c r="K51" s="1">
        <v>0</v>
      </c>
      <c r="L51" s="1">
        <v>10</v>
      </c>
      <c r="M51" s="1">
        <v>0</v>
      </c>
      <c r="N51" s="1">
        <v>9</v>
      </c>
      <c r="O51" s="1">
        <v>5</v>
      </c>
      <c r="P51" s="1">
        <v>0</v>
      </c>
      <c r="Q51" s="1">
        <v>-3</v>
      </c>
      <c r="R51" s="1">
        <v>4</v>
      </c>
      <c r="S51" s="1">
        <v>8</v>
      </c>
    </row>
    <row r="52" spans="1:19" ht="18" customHeight="1" x14ac:dyDescent="0.25">
      <c r="A52" s="5">
        <v>45352</v>
      </c>
      <c r="B52" s="1">
        <v>0</v>
      </c>
      <c r="C52" s="1">
        <v>2</v>
      </c>
      <c r="D52" s="1">
        <v>5</v>
      </c>
      <c r="E52" s="1">
        <v>0</v>
      </c>
      <c r="F52" s="1">
        <v>4</v>
      </c>
      <c r="G52" s="1">
        <v>3</v>
      </c>
      <c r="H52" s="1">
        <v>-2</v>
      </c>
      <c r="I52" s="1">
        <v>0</v>
      </c>
      <c r="J52" s="1">
        <v>1</v>
      </c>
      <c r="K52" s="1">
        <v>12</v>
      </c>
      <c r="L52" s="1">
        <v>11</v>
      </c>
      <c r="M52" s="1">
        <v>7</v>
      </c>
      <c r="N52" s="1">
        <v>6</v>
      </c>
      <c r="O52" s="1">
        <v>10</v>
      </c>
      <c r="P52" s="1">
        <v>9</v>
      </c>
      <c r="Q52" s="1">
        <v>0</v>
      </c>
      <c r="R52" s="1">
        <v>-1</v>
      </c>
      <c r="S52" s="1">
        <v>8</v>
      </c>
    </row>
    <row r="53" spans="1:19" ht="18" customHeight="1" x14ac:dyDescent="0.25">
      <c r="A53" s="5">
        <v>45383</v>
      </c>
      <c r="B53" s="1">
        <v>0</v>
      </c>
      <c r="C53" s="1">
        <v>2</v>
      </c>
      <c r="D53" s="1">
        <v>3</v>
      </c>
      <c r="E53" s="1">
        <v>-2</v>
      </c>
      <c r="F53" s="1">
        <v>1</v>
      </c>
      <c r="G53" s="1">
        <v>-4</v>
      </c>
      <c r="H53" s="1">
        <v>0</v>
      </c>
      <c r="I53" s="1">
        <v>-3</v>
      </c>
      <c r="J53" s="1">
        <v>-1</v>
      </c>
      <c r="K53" s="1">
        <v>7</v>
      </c>
      <c r="L53" s="1">
        <v>5</v>
      </c>
      <c r="M53" s="1">
        <v>0</v>
      </c>
      <c r="N53" s="1">
        <v>6</v>
      </c>
      <c r="O53" s="1">
        <v>4</v>
      </c>
      <c r="P53" s="1">
        <v>8</v>
      </c>
      <c r="Q53" s="1">
        <v>-5</v>
      </c>
      <c r="R53" s="1">
        <v>0</v>
      </c>
      <c r="S53" s="1">
        <v>0</v>
      </c>
    </row>
    <row r="54" spans="1:19" ht="18" customHeight="1" x14ac:dyDescent="0.25">
      <c r="A54" s="5">
        <v>45413</v>
      </c>
      <c r="B54" s="1">
        <v>0</v>
      </c>
      <c r="C54" s="1">
        <v>1</v>
      </c>
      <c r="D54" s="1">
        <v>0</v>
      </c>
      <c r="E54" s="1">
        <v>-4</v>
      </c>
      <c r="F54" s="1">
        <v>-3</v>
      </c>
      <c r="G54" s="1">
        <v>-2</v>
      </c>
      <c r="H54" s="1">
        <v>0</v>
      </c>
      <c r="I54" s="1">
        <v>-1</v>
      </c>
      <c r="J54" s="1">
        <v>2</v>
      </c>
      <c r="K54" s="1">
        <v>-6</v>
      </c>
      <c r="L54" s="1">
        <v>0</v>
      </c>
      <c r="M54" s="1">
        <v>3</v>
      </c>
      <c r="N54" s="1">
        <v>0</v>
      </c>
      <c r="O54" s="1">
        <v>0</v>
      </c>
      <c r="P54" s="1">
        <v>4</v>
      </c>
      <c r="Q54" s="1">
        <v>-7</v>
      </c>
      <c r="R54" s="1">
        <v>-5</v>
      </c>
      <c r="S54" s="1">
        <v>-8</v>
      </c>
    </row>
    <row r="55" spans="1:19" ht="18" customHeight="1" x14ac:dyDescent="0.25">
      <c r="A55" s="5">
        <v>45444</v>
      </c>
      <c r="B55" s="1">
        <v>0</v>
      </c>
      <c r="C55" s="1">
        <v>2</v>
      </c>
      <c r="D55" s="1">
        <v>3</v>
      </c>
      <c r="E55" s="1">
        <v>-2</v>
      </c>
      <c r="F55" s="1">
        <v>-6</v>
      </c>
      <c r="G55" s="1">
        <v>-1</v>
      </c>
      <c r="H55" s="1">
        <v>4</v>
      </c>
      <c r="I55" s="1">
        <v>-4</v>
      </c>
      <c r="J55" s="1">
        <v>1</v>
      </c>
      <c r="K55" s="1">
        <v>0</v>
      </c>
      <c r="L55" s="1">
        <v>0</v>
      </c>
      <c r="M55" s="1">
        <v>5</v>
      </c>
      <c r="N55" s="1">
        <v>0</v>
      </c>
      <c r="O55" s="1">
        <v>6</v>
      </c>
      <c r="P55" s="1">
        <v>0</v>
      </c>
      <c r="Q55" s="1">
        <v>-5</v>
      </c>
      <c r="R55" s="1">
        <v>-3</v>
      </c>
      <c r="S55" s="1">
        <v>0</v>
      </c>
    </row>
    <row r="56" spans="1:19" ht="18" customHeight="1" x14ac:dyDescent="0.25">
      <c r="A56" s="5">
        <v>45474</v>
      </c>
      <c r="B56" s="1">
        <v>0</v>
      </c>
      <c r="C56" s="1">
        <v>1</v>
      </c>
      <c r="D56" s="1">
        <v>3</v>
      </c>
      <c r="E56" s="1">
        <v>-3</v>
      </c>
      <c r="F56" s="1">
        <v>-6</v>
      </c>
      <c r="G56" s="1">
        <v>-5</v>
      </c>
      <c r="H56" s="1">
        <v>2</v>
      </c>
      <c r="I56" s="1">
        <v>-4</v>
      </c>
      <c r="J56" s="1">
        <v>-1</v>
      </c>
      <c r="K56" s="1">
        <v>6</v>
      </c>
      <c r="L56" s="1">
        <v>5</v>
      </c>
      <c r="M56" s="1">
        <v>4</v>
      </c>
      <c r="N56" s="1">
        <v>-2</v>
      </c>
      <c r="O56" s="1">
        <v>-8</v>
      </c>
      <c r="P56" s="1">
        <v>0</v>
      </c>
      <c r="Q56" s="1">
        <v>0</v>
      </c>
      <c r="R56" s="1">
        <v>-7</v>
      </c>
      <c r="S56" s="1">
        <v>0</v>
      </c>
    </row>
    <row r="57" spans="1:19" ht="18" customHeight="1" x14ac:dyDescent="0.25">
      <c r="A57" s="5">
        <v>45505</v>
      </c>
      <c r="B57" s="1">
        <v>0</v>
      </c>
      <c r="C57" s="1">
        <v>-2</v>
      </c>
      <c r="D57" s="1">
        <v>1</v>
      </c>
      <c r="E57" s="1">
        <v>-5</v>
      </c>
      <c r="F57" s="1">
        <v>-8</v>
      </c>
      <c r="G57" s="1">
        <v>-1</v>
      </c>
      <c r="H57" s="1">
        <v>-6</v>
      </c>
      <c r="I57" s="1">
        <v>-3</v>
      </c>
      <c r="J57" s="1">
        <v>-4</v>
      </c>
      <c r="K57" s="1">
        <v>-11</v>
      </c>
      <c r="L57" s="1">
        <v>4</v>
      </c>
      <c r="M57" s="1">
        <v>0</v>
      </c>
      <c r="N57" s="1">
        <v>-9</v>
      </c>
      <c r="O57" s="1">
        <v>3</v>
      </c>
      <c r="P57" s="1">
        <v>-10</v>
      </c>
      <c r="Q57" s="1">
        <v>0</v>
      </c>
      <c r="R57" s="1">
        <v>-7</v>
      </c>
      <c r="S57" s="1">
        <v>2</v>
      </c>
    </row>
    <row r="58" spans="1:19" ht="18" customHeight="1" x14ac:dyDescent="0.25">
      <c r="A58" s="5">
        <v>45536</v>
      </c>
      <c r="B58" s="1">
        <v>0</v>
      </c>
      <c r="C58" s="1">
        <v>-1</v>
      </c>
      <c r="D58" s="1">
        <v>2</v>
      </c>
      <c r="E58" s="1">
        <v>-3</v>
      </c>
      <c r="F58" s="1">
        <v>0</v>
      </c>
      <c r="G58" s="1">
        <v>1</v>
      </c>
      <c r="H58" s="1">
        <v>0</v>
      </c>
      <c r="I58" s="1">
        <v>-4</v>
      </c>
      <c r="J58" s="1">
        <v>-2</v>
      </c>
      <c r="K58" s="1">
        <v>-6</v>
      </c>
      <c r="L58" s="1">
        <v>-9</v>
      </c>
      <c r="M58" s="1">
        <v>0</v>
      </c>
      <c r="N58" s="1">
        <v>-11</v>
      </c>
      <c r="O58" s="1">
        <v>-8</v>
      </c>
      <c r="P58" s="1">
        <v>-10</v>
      </c>
      <c r="Q58" s="1">
        <v>0</v>
      </c>
      <c r="R58" s="1">
        <v>-5</v>
      </c>
      <c r="S58" s="1">
        <v>-7</v>
      </c>
    </row>
    <row r="59" spans="1:19" ht="18" customHeight="1" x14ac:dyDescent="0.25">
      <c r="A59" s="5">
        <v>45566</v>
      </c>
      <c r="B59" s="1">
        <v>3</v>
      </c>
      <c r="C59" s="1">
        <v>-5</v>
      </c>
      <c r="D59" s="1">
        <v>1</v>
      </c>
      <c r="E59" s="1">
        <v>-2</v>
      </c>
      <c r="F59" s="1">
        <v>-1</v>
      </c>
      <c r="G59" s="1">
        <v>2</v>
      </c>
      <c r="H59" s="1">
        <v>-6</v>
      </c>
      <c r="I59" s="1">
        <v>-4</v>
      </c>
      <c r="J59" s="1">
        <v>0</v>
      </c>
      <c r="K59" s="1">
        <v>-8</v>
      </c>
      <c r="L59" s="1">
        <v>-9</v>
      </c>
      <c r="M59" s="1">
        <v>0</v>
      </c>
      <c r="N59" s="1">
        <v>0</v>
      </c>
      <c r="O59" s="1">
        <v>-3</v>
      </c>
      <c r="P59" s="1">
        <v>-10</v>
      </c>
      <c r="Q59" s="1">
        <v>-11</v>
      </c>
      <c r="R59" s="1">
        <v>-7</v>
      </c>
      <c r="S59" s="1">
        <v>0</v>
      </c>
    </row>
    <row r="60" spans="1:19" ht="18" customHeight="1" x14ac:dyDescent="0.25">
      <c r="A60" s="5">
        <v>45597</v>
      </c>
      <c r="B60" s="1">
        <v>0</v>
      </c>
      <c r="C60" s="1">
        <v>-3</v>
      </c>
      <c r="D60" s="1">
        <v>2</v>
      </c>
      <c r="E60" s="1">
        <v>4</v>
      </c>
      <c r="F60" s="1">
        <v>-7</v>
      </c>
      <c r="G60" s="1">
        <v>3</v>
      </c>
      <c r="H60" s="1">
        <v>-8</v>
      </c>
      <c r="I60" s="1">
        <v>1</v>
      </c>
      <c r="J60" s="1">
        <v>-4</v>
      </c>
      <c r="K60" s="1">
        <v>-9</v>
      </c>
      <c r="L60" s="1">
        <v>-5</v>
      </c>
      <c r="M60" s="1">
        <v>0</v>
      </c>
      <c r="N60" s="1">
        <v>-6</v>
      </c>
      <c r="O60" s="1">
        <v>-1</v>
      </c>
      <c r="P60" s="1">
        <v>0</v>
      </c>
      <c r="Q60" s="1">
        <v>5</v>
      </c>
      <c r="R60" s="1">
        <v>-2</v>
      </c>
      <c r="S60" s="1">
        <v>-10</v>
      </c>
    </row>
    <row r="61" spans="1:19" ht="18" customHeight="1" x14ac:dyDescent="0.25">
      <c r="A61" s="5">
        <v>45627</v>
      </c>
      <c r="B61" s="1">
        <v>0</v>
      </c>
      <c r="C61" s="1">
        <v>0</v>
      </c>
      <c r="D61" s="1">
        <v>1</v>
      </c>
      <c r="E61" s="1">
        <v>6</v>
      </c>
      <c r="F61" s="1">
        <v>-3</v>
      </c>
      <c r="G61" s="1">
        <v>4</v>
      </c>
      <c r="H61" s="1">
        <v>0</v>
      </c>
      <c r="I61" s="1">
        <v>-1</v>
      </c>
      <c r="J61" s="1">
        <v>3</v>
      </c>
      <c r="K61" s="1">
        <v>-6</v>
      </c>
      <c r="L61" s="1">
        <v>5</v>
      </c>
      <c r="M61" s="1">
        <v>0</v>
      </c>
      <c r="N61" s="1">
        <v>-2</v>
      </c>
      <c r="O61" s="1">
        <v>2</v>
      </c>
      <c r="P61" s="1">
        <v>-7</v>
      </c>
      <c r="Q61" s="1">
        <v>-8</v>
      </c>
      <c r="R61" s="1">
        <v>-4</v>
      </c>
      <c r="S61" s="1">
        <v>-5</v>
      </c>
    </row>
    <row r="62" spans="1:19" ht="18" customHeight="1" x14ac:dyDescent="0.25">
      <c r="A62" s="5">
        <v>45658</v>
      </c>
      <c r="B62" s="1">
        <v>0</v>
      </c>
      <c r="C62" s="1">
        <v>5</v>
      </c>
      <c r="D62" s="1">
        <v>0</v>
      </c>
      <c r="E62" s="1">
        <v>1</v>
      </c>
      <c r="F62" s="1">
        <v>2</v>
      </c>
      <c r="G62" s="1">
        <v>-1</v>
      </c>
      <c r="H62" s="1">
        <v>-2</v>
      </c>
      <c r="I62" s="1">
        <v>6</v>
      </c>
      <c r="J62" s="1">
        <v>-4</v>
      </c>
      <c r="K62" s="1">
        <v>-5</v>
      </c>
      <c r="L62" s="1">
        <v>0</v>
      </c>
      <c r="M62" s="1">
        <v>7</v>
      </c>
      <c r="N62" s="1">
        <v>3</v>
      </c>
      <c r="O62" s="1">
        <v>8</v>
      </c>
      <c r="P62" s="1">
        <v>0</v>
      </c>
      <c r="Q62" s="1">
        <v>9</v>
      </c>
      <c r="R62" s="1">
        <v>4</v>
      </c>
      <c r="S62" s="1">
        <v>-2</v>
      </c>
    </row>
    <row r="63" spans="1:19" ht="18" customHeight="1" x14ac:dyDescent="0.25">
      <c r="A63" s="5">
        <v>45689</v>
      </c>
      <c r="B63" s="1">
        <v>0</v>
      </c>
      <c r="C63" s="1">
        <v>1</v>
      </c>
      <c r="D63" s="1">
        <v>-2</v>
      </c>
      <c r="E63" s="1">
        <v>7</v>
      </c>
      <c r="F63" s="1">
        <v>3</v>
      </c>
      <c r="G63" s="1">
        <v>2</v>
      </c>
      <c r="H63" s="1">
        <v>-4</v>
      </c>
      <c r="I63" s="1">
        <v>4</v>
      </c>
      <c r="J63" s="1">
        <v>6</v>
      </c>
      <c r="K63" s="1">
        <v>-6</v>
      </c>
      <c r="L63" s="1">
        <v>-5</v>
      </c>
      <c r="M63" s="1">
        <v>9</v>
      </c>
      <c r="N63" s="1">
        <v>-3</v>
      </c>
      <c r="O63" s="1">
        <v>5</v>
      </c>
      <c r="P63" s="1">
        <v>0</v>
      </c>
      <c r="Q63" s="1">
        <v>0</v>
      </c>
      <c r="R63" s="1">
        <v>-1</v>
      </c>
      <c r="S63" s="1">
        <v>8</v>
      </c>
    </row>
    <row r="64" spans="1:19" ht="18" customHeight="1" x14ac:dyDescent="0.25">
      <c r="A64" s="5">
        <v>45717</v>
      </c>
      <c r="B64" s="1">
        <v>0</v>
      </c>
      <c r="C64" s="1">
        <v>-1</v>
      </c>
      <c r="D64" s="1">
        <v>0</v>
      </c>
      <c r="E64" s="1">
        <v>-3</v>
      </c>
      <c r="F64" s="1">
        <v>3</v>
      </c>
      <c r="G64" s="1">
        <v>2</v>
      </c>
      <c r="H64" s="1">
        <v>-6</v>
      </c>
      <c r="I64" s="1">
        <v>-4</v>
      </c>
      <c r="J64" s="1">
        <v>0</v>
      </c>
      <c r="K64" s="1">
        <v>4</v>
      </c>
      <c r="L64" s="1">
        <v>-8</v>
      </c>
      <c r="M64" s="1">
        <v>5</v>
      </c>
      <c r="N64" s="1">
        <v>-5</v>
      </c>
      <c r="O64" s="1">
        <v>1</v>
      </c>
      <c r="P64" s="1">
        <v>0</v>
      </c>
      <c r="Q64" s="1">
        <v>6</v>
      </c>
      <c r="R64" s="1">
        <v>-2</v>
      </c>
      <c r="S64" s="1">
        <v>-7</v>
      </c>
    </row>
    <row r="65" spans="1:19" ht="18" customHeight="1" x14ac:dyDescent="0.25">
      <c r="A65" s="5">
        <v>45748</v>
      </c>
      <c r="B65" s="1">
        <v>8</v>
      </c>
      <c r="C65" s="1">
        <v>1</v>
      </c>
      <c r="D65" s="1">
        <v>3</v>
      </c>
      <c r="E65" s="1">
        <v>0</v>
      </c>
      <c r="F65" s="1">
        <v>2</v>
      </c>
      <c r="G65" s="1">
        <v>-1</v>
      </c>
      <c r="H65" s="1">
        <v>-4</v>
      </c>
      <c r="I65" s="1">
        <v>5</v>
      </c>
      <c r="J65" s="1">
        <v>0</v>
      </c>
      <c r="K65" s="1">
        <v>-2</v>
      </c>
      <c r="L65" s="1">
        <v>-5</v>
      </c>
      <c r="M65" s="1">
        <v>7</v>
      </c>
      <c r="N65" s="1">
        <v>6</v>
      </c>
      <c r="O65" s="1">
        <v>4</v>
      </c>
      <c r="P65" s="1">
        <v>0</v>
      </c>
      <c r="Q65" s="1">
        <v>0</v>
      </c>
      <c r="R65" s="1">
        <v>-3</v>
      </c>
      <c r="S65" s="1">
        <v>-6</v>
      </c>
    </row>
    <row r="66" spans="1:19" ht="18" customHeight="1" x14ac:dyDescent="0.25">
      <c r="A66" s="5">
        <v>45778</v>
      </c>
      <c r="B66" s="1">
        <v>8</v>
      </c>
      <c r="C66" s="1">
        <v>-2</v>
      </c>
      <c r="D66" s="1">
        <v>-3</v>
      </c>
      <c r="E66" s="1">
        <v>4</v>
      </c>
      <c r="F66" s="1">
        <v>2</v>
      </c>
      <c r="G66" s="1">
        <v>-5</v>
      </c>
      <c r="H66" s="1">
        <v>3</v>
      </c>
      <c r="I66" s="1">
        <v>1</v>
      </c>
      <c r="J66" s="1">
        <v>-1</v>
      </c>
      <c r="K66" s="1">
        <v>5</v>
      </c>
      <c r="L66" s="1">
        <v>-7</v>
      </c>
      <c r="M66" s="1">
        <v>6</v>
      </c>
      <c r="N66" s="1">
        <v>7</v>
      </c>
      <c r="O66" s="1">
        <v>-4</v>
      </c>
      <c r="P66" s="1">
        <v>0</v>
      </c>
      <c r="Q66" s="1">
        <v>0</v>
      </c>
      <c r="R66" s="1">
        <v>0</v>
      </c>
      <c r="S66" s="1">
        <v>-6</v>
      </c>
    </row>
    <row r="67" spans="1:19" ht="18" customHeight="1" x14ac:dyDescent="0.25">
      <c r="A67" s="5">
        <v>45809</v>
      </c>
      <c r="B67" s="1">
        <v>7</v>
      </c>
      <c r="C67" s="1">
        <v>-4</v>
      </c>
      <c r="D67" s="1">
        <v>1</v>
      </c>
      <c r="E67" s="1">
        <v>-3</v>
      </c>
      <c r="F67" s="1">
        <v>-1</v>
      </c>
      <c r="G67" s="1">
        <v>2</v>
      </c>
      <c r="H67" s="1">
        <v>5</v>
      </c>
      <c r="I67" s="1">
        <v>-2</v>
      </c>
      <c r="J67" s="1">
        <v>3</v>
      </c>
      <c r="K67" s="1">
        <v>4</v>
      </c>
      <c r="L67" s="1">
        <v>-7</v>
      </c>
      <c r="M67" s="1">
        <v>6</v>
      </c>
      <c r="N67" s="1">
        <v>0</v>
      </c>
      <c r="O67" s="1">
        <v>0</v>
      </c>
      <c r="P67" s="1">
        <v>0</v>
      </c>
      <c r="Q67" s="1">
        <v>-6</v>
      </c>
      <c r="R67" s="1">
        <v>-5</v>
      </c>
      <c r="S67" s="1">
        <v>0</v>
      </c>
    </row>
    <row r="68" spans="1:19" ht="18" customHeight="1" x14ac:dyDescent="0.25">
      <c r="A68" s="5">
        <v>45839</v>
      </c>
      <c r="B68" s="1">
        <v>4</v>
      </c>
      <c r="C68" s="1">
        <v>-2</v>
      </c>
      <c r="D68" s="1">
        <v>-1</v>
      </c>
      <c r="E68" s="1">
        <v>0</v>
      </c>
      <c r="F68" s="1">
        <v>-4</v>
      </c>
      <c r="G68" s="1">
        <v>0</v>
      </c>
      <c r="H68" s="1">
        <v>0</v>
      </c>
      <c r="I68" s="1">
        <v>-3</v>
      </c>
      <c r="J68" s="1">
        <v>1</v>
      </c>
      <c r="K68" s="1">
        <v>-5</v>
      </c>
      <c r="L68" s="1">
        <v>-8</v>
      </c>
      <c r="M68" s="1">
        <v>-6</v>
      </c>
      <c r="N68" s="1">
        <v>3</v>
      </c>
      <c r="O68" s="1">
        <v>2</v>
      </c>
      <c r="P68" s="1">
        <v>0</v>
      </c>
      <c r="Q68" s="1">
        <v>0</v>
      </c>
      <c r="R68" s="1">
        <v>0</v>
      </c>
      <c r="S68" s="1">
        <v>-7</v>
      </c>
    </row>
    <row r="69" spans="1:19" ht="18" customHeight="1" x14ac:dyDescent="0.25">
      <c r="A69" s="5">
        <v>45870</v>
      </c>
      <c r="B69" s="1">
        <v>8</v>
      </c>
      <c r="C69" s="1">
        <v>0</v>
      </c>
      <c r="D69" s="1">
        <v>4</v>
      </c>
      <c r="E69" s="1">
        <v>2</v>
      </c>
      <c r="F69" s="1">
        <v>-3</v>
      </c>
      <c r="G69" s="1">
        <v>5</v>
      </c>
      <c r="H69" s="1">
        <v>0</v>
      </c>
      <c r="I69" s="1">
        <v>-1</v>
      </c>
      <c r="J69" s="1">
        <v>1</v>
      </c>
      <c r="K69" s="1">
        <v>3</v>
      </c>
      <c r="L69" s="1">
        <v>-6</v>
      </c>
      <c r="M69" s="1">
        <v>0</v>
      </c>
      <c r="N69" s="1">
        <v>-4</v>
      </c>
      <c r="O69" s="1">
        <v>6</v>
      </c>
      <c r="P69" s="1">
        <v>0</v>
      </c>
      <c r="Q69" s="1">
        <v>7</v>
      </c>
      <c r="R69" s="1">
        <v>-2</v>
      </c>
      <c r="S69" s="1">
        <v>-5</v>
      </c>
    </row>
    <row r="70" spans="1:19" ht="18" customHeight="1" x14ac:dyDescent="0.25">
      <c r="A70" s="5">
        <v>45901</v>
      </c>
      <c r="B70" s="1">
        <v>0</v>
      </c>
      <c r="C70" s="1">
        <v>-1</v>
      </c>
      <c r="D70" s="1">
        <v>-4</v>
      </c>
      <c r="E70" s="1">
        <v>1</v>
      </c>
      <c r="F70" s="1">
        <v>4</v>
      </c>
      <c r="G70" s="1">
        <v>-2</v>
      </c>
      <c r="H70" s="1">
        <v>5</v>
      </c>
      <c r="I70" s="1">
        <v>-3</v>
      </c>
      <c r="J70" s="1">
        <v>3</v>
      </c>
      <c r="K70" s="1">
        <v>-8</v>
      </c>
      <c r="L70" s="1">
        <v>-6</v>
      </c>
      <c r="M70" s="1">
        <v>0</v>
      </c>
      <c r="N70" s="1">
        <v>-7</v>
      </c>
      <c r="O70" s="1">
        <v>2</v>
      </c>
      <c r="P70" s="1">
        <v>0</v>
      </c>
      <c r="Q70" s="1">
        <v>6</v>
      </c>
      <c r="R70" s="1">
        <v>-5</v>
      </c>
      <c r="S70" s="1">
        <v>-9</v>
      </c>
    </row>
    <row r="71" spans="1:19" ht="18" customHeight="1" x14ac:dyDescent="0.25">
      <c r="A71" s="5">
        <v>45931</v>
      </c>
      <c r="B71" s="1">
        <v>-11</v>
      </c>
      <c r="C71" s="1">
        <v>-4</v>
      </c>
      <c r="D71" s="1">
        <v>-3</v>
      </c>
      <c r="E71" s="1">
        <v>-1</v>
      </c>
      <c r="F71" s="1">
        <v>2</v>
      </c>
      <c r="G71" s="1">
        <v>0</v>
      </c>
      <c r="H71" s="1">
        <v>-7</v>
      </c>
      <c r="I71" s="1">
        <v>-1</v>
      </c>
      <c r="J71" s="1">
        <v>-2</v>
      </c>
      <c r="K71" s="1">
        <v>-6</v>
      </c>
      <c r="L71" s="1">
        <v>-9</v>
      </c>
      <c r="M71" s="1">
        <v>-8</v>
      </c>
      <c r="N71" s="1">
        <v>3</v>
      </c>
      <c r="O71" s="1">
        <v>4</v>
      </c>
      <c r="P71" s="1">
        <v>0</v>
      </c>
      <c r="Q71" s="1">
        <v>-10</v>
      </c>
      <c r="R71" s="1">
        <v>1</v>
      </c>
      <c r="S71" s="1">
        <v>0</v>
      </c>
    </row>
    <row r="72" spans="1:19" ht="18" customHeight="1" x14ac:dyDescent="0.25"/>
    <row r="73" spans="1:19" ht="18" customHeight="1" x14ac:dyDescent="0.25"/>
    <row r="74" spans="1:19" ht="18" customHeight="1" x14ac:dyDescent="0.25"/>
    <row r="75" spans="1:19" ht="18" customHeight="1" x14ac:dyDescent="0.25"/>
    <row r="76" spans="1:19" ht="18" customHeight="1" x14ac:dyDescent="0.25"/>
    <row r="77" spans="1:19" ht="18" customHeight="1" x14ac:dyDescent="0.25"/>
    <row r="78" spans="1:19" ht="18" customHeight="1" x14ac:dyDescent="0.25"/>
    <row r="79" spans="1:19" ht="18" customHeight="1" x14ac:dyDescent="0.25"/>
    <row r="80" spans="1:19"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5611-BCD2-4316-95E2-4A11E412A070}">
  <sheetPr>
    <tabColor theme="3" tint="0.59999389629810485"/>
  </sheetPr>
  <dimension ref="A1:CE226"/>
  <sheetViews>
    <sheetView zoomScaleNormal="100" workbookViewId="0">
      <pane xSplit="4" ySplit="5" topLeftCell="BT35" activePane="bottomRight" state="frozen"/>
      <selection pane="topRight" activeCell="E1" sqref="E1"/>
      <selection pane="bottomLeft" activeCell="A6" sqref="A6"/>
      <selection pane="bottomRight" activeCell="B70" sqref="B70"/>
    </sheetView>
  </sheetViews>
  <sheetFormatPr defaultColWidth="9" defaultRowHeight="14.25" x14ac:dyDescent="0.25"/>
  <cols>
    <col min="1" max="1" width="9.85546875" style="21" customWidth="1"/>
    <col min="2" max="2" width="34.7109375" style="21" customWidth="1"/>
    <col min="3" max="3" width="13.85546875" style="21" customWidth="1"/>
    <col min="4" max="4" width="13.85546875" style="21" hidden="1" customWidth="1"/>
    <col min="5" max="7" width="1" style="21" customWidth="1"/>
    <col min="8" max="13" width="0.7109375" style="21" customWidth="1"/>
    <col min="14" max="19" width="9.7109375" style="21" customWidth="1"/>
    <col min="20" max="24" width="9.140625" style="21" customWidth="1"/>
    <col min="25" max="16384" width="9" style="21"/>
  </cols>
  <sheetData>
    <row r="1" spans="1:83" ht="15" x14ac:dyDescent="0.25">
      <c r="B1" s="22"/>
      <c r="G1" s="23"/>
      <c r="W1" s="21" t="s">
        <v>453</v>
      </c>
      <c r="AB1" s="23" t="s">
        <v>454</v>
      </c>
    </row>
    <row r="2" spans="1:83" ht="15" x14ac:dyDescent="0.25">
      <c r="B2" s="24" t="s">
        <v>455</v>
      </c>
      <c r="C2" s="25">
        <v>3</v>
      </c>
      <c r="D2" s="23"/>
      <c r="G2" s="23"/>
      <c r="I2" s="23"/>
      <c r="W2" s="21" t="s">
        <v>456</v>
      </c>
      <c r="Y2" s="23"/>
      <c r="AB2" s="23" t="s">
        <v>457</v>
      </c>
      <c r="AD2" s="23" t="s">
        <v>457</v>
      </c>
    </row>
    <row r="3" spans="1:83" ht="15" x14ac:dyDescent="0.25">
      <c r="B3" s="24" t="s">
        <v>458</v>
      </c>
      <c r="C3" s="25">
        <v>6</v>
      </c>
      <c r="I3" s="23"/>
      <c r="W3" s="21" t="s">
        <v>459</v>
      </c>
      <c r="AD3" s="23" t="s">
        <v>460</v>
      </c>
    </row>
    <row r="4" spans="1:83" ht="18.600000000000001" customHeight="1" x14ac:dyDescent="0.25">
      <c r="B4" s="26" t="s">
        <v>461</v>
      </c>
      <c r="C4" s="26" t="s">
        <v>462</v>
      </c>
      <c r="D4" s="26" t="s">
        <v>463</v>
      </c>
      <c r="E4" s="23" t="s">
        <v>464</v>
      </c>
      <c r="F4" s="23" t="s">
        <v>464</v>
      </c>
      <c r="G4" s="23" t="s">
        <v>464</v>
      </c>
      <c r="H4" s="23" t="s">
        <v>464</v>
      </c>
      <c r="I4" s="23" t="s">
        <v>464</v>
      </c>
      <c r="J4" s="23" t="s">
        <v>464</v>
      </c>
      <c r="K4" s="23" t="s">
        <v>464</v>
      </c>
      <c r="L4" s="21" t="s">
        <v>464</v>
      </c>
      <c r="M4" s="21" t="s">
        <v>464</v>
      </c>
      <c r="N4" s="21" t="s">
        <v>464</v>
      </c>
      <c r="O4" s="21" t="s">
        <v>464</v>
      </c>
      <c r="P4" s="21" t="s">
        <v>464</v>
      </c>
      <c r="Q4" s="21" t="s">
        <v>464</v>
      </c>
      <c r="R4" s="21" t="s">
        <v>464</v>
      </c>
      <c r="S4" s="21" t="s">
        <v>464</v>
      </c>
      <c r="T4" s="21" t="s">
        <v>464</v>
      </c>
      <c r="W4" s="21" t="s">
        <v>465</v>
      </c>
    </row>
    <row r="5" spans="1:83" ht="18" customHeight="1" x14ac:dyDescent="0.25">
      <c r="B5" s="21" t="s">
        <v>466</v>
      </c>
      <c r="C5" s="26">
        <v>3</v>
      </c>
      <c r="D5" s="26"/>
      <c r="E5" s="27">
        <v>43556</v>
      </c>
      <c r="F5" s="28">
        <v>43586</v>
      </c>
      <c r="G5" s="29">
        <v>43617</v>
      </c>
      <c r="H5" s="29">
        <v>43647</v>
      </c>
      <c r="I5" s="29">
        <v>43678</v>
      </c>
      <c r="J5" s="29">
        <v>43709</v>
      </c>
      <c r="K5" s="29">
        <v>43739</v>
      </c>
      <c r="L5" s="29">
        <v>43770</v>
      </c>
      <c r="M5" s="29">
        <v>43800</v>
      </c>
      <c r="N5" s="29">
        <v>43831</v>
      </c>
      <c r="O5" s="29">
        <v>43862</v>
      </c>
      <c r="P5" s="29">
        <v>43891</v>
      </c>
      <c r="Q5" s="29">
        <v>43922</v>
      </c>
      <c r="R5" s="29">
        <v>43952</v>
      </c>
      <c r="S5" s="29">
        <v>43983</v>
      </c>
      <c r="T5" s="29">
        <v>44013</v>
      </c>
      <c r="U5" s="29">
        <v>44044</v>
      </c>
      <c r="V5" s="29">
        <v>44094</v>
      </c>
      <c r="W5" s="29">
        <v>44105</v>
      </c>
      <c r="X5" s="29">
        <v>44136</v>
      </c>
      <c r="Y5" s="29">
        <v>44166</v>
      </c>
      <c r="Z5" s="29">
        <v>44197</v>
      </c>
      <c r="AA5" s="29">
        <v>44228</v>
      </c>
      <c r="AB5" s="29">
        <v>44256</v>
      </c>
      <c r="AC5" s="29">
        <v>44287</v>
      </c>
      <c r="AD5" s="29">
        <v>44317</v>
      </c>
      <c r="AE5" s="29">
        <v>44348</v>
      </c>
      <c r="AF5" s="29">
        <v>44378</v>
      </c>
      <c r="AG5" s="29">
        <v>44409</v>
      </c>
      <c r="AH5" s="29">
        <v>44440</v>
      </c>
      <c r="AI5" s="29">
        <v>44470</v>
      </c>
      <c r="AJ5" s="29">
        <v>44501</v>
      </c>
      <c r="AK5" s="29">
        <v>44531</v>
      </c>
      <c r="AL5" s="30">
        <v>44562</v>
      </c>
      <c r="AM5" s="30">
        <v>44593</v>
      </c>
      <c r="AN5" s="30">
        <v>44621</v>
      </c>
      <c r="AO5" s="30">
        <v>44652</v>
      </c>
      <c r="AP5" s="30">
        <v>44682</v>
      </c>
      <c r="AQ5" s="30">
        <v>44713</v>
      </c>
      <c r="AR5" s="30">
        <v>44743</v>
      </c>
      <c r="AS5" s="30">
        <v>44774</v>
      </c>
      <c r="AT5" s="30">
        <v>44805</v>
      </c>
      <c r="AU5" s="30">
        <v>44835</v>
      </c>
      <c r="AV5" s="30">
        <v>44866</v>
      </c>
      <c r="AW5" s="30">
        <v>44896</v>
      </c>
      <c r="AX5" s="31">
        <v>44927</v>
      </c>
      <c r="AY5" s="31">
        <v>44958</v>
      </c>
      <c r="AZ5" s="31">
        <v>44986</v>
      </c>
      <c r="BA5" s="31">
        <v>45017</v>
      </c>
      <c r="BB5" s="31">
        <v>45047</v>
      </c>
      <c r="BC5" s="31">
        <v>45078</v>
      </c>
      <c r="BD5" s="31">
        <v>45108</v>
      </c>
      <c r="BE5" s="31">
        <v>45139</v>
      </c>
      <c r="BF5" s="31">
        <v>45170</v>
      </c>
      <c r="BG5" s="31">
        <v>45200</v>
      </c>
      <c r="BH5" s="31">
        <v>45231</v>
      </c>
      <c r="BI5" s="31">
        <v>45261</v>
      </c>
      <c r="BJ5" s="48">
        <v>45292</v>
      </c>
      <c r="BK5" s="48">
        <v>45323</v>
      </c>
      <c r="BL5" s="48">
        <v>45352</v>
      </c>
      <c r="BM5" s="48">
        <v>45383</v>
      </c>
      <c r="BN5" s="48">
        <v>45413</v>
      </c>
      <c r="BO5" s="48">
        <v>45444</v>
      </c>
      <c r="BP5" s="48">
        <v>45474</v>
      </c>
      <c r="BQ5" s="48">
        <v>45505</v>
      </c>
      <c r="BR5" s="48">
        <v>45536</v>
      </c>
      <c r="BS5" s="48">
        <v>45566</v>
      </c>
      <c r="BT5" s="48">
        <v>45597</v>
      </c>
      <c r="BU5" s="48">
        <v>45627</v>
      </c>
      <c r="BV5" s="49">
        <v>45658</v>
      </c>
      <c r="BW5" s="49">
        <v>45689</v>
      </c>
      <c r="BX5" s="49">
        <v>45717</v>
      </c>
      <c r="BY5" s="49">
        <v>45748</v>
      </c>
      <c r="BZ5" s="49">
        <v>45778</v>
      </c>
      <c r="CA5" s="49">
        <v>45809</v>
      </c>
      <c r="CB5" s="49">
        <v>45839</v>
      </c>
      <c r="CC5" s="49">
        <v>45870</v>
      </c>
      <c r="CD5" s="49">
        <v>45901</v>
      </c>
      <c r="CE5" s="49">
        <v>45931</v>
      </c>
    </row>
    <row r="6" spans="1:83" s="34" customFormat="1" ht="17.25" customHeight="1" x14ac:dyDescent="0.25">
      <c r="A6" s="36" t="s">
        <v>469</v>
      </c>
      <c r="B6" s="35"/>
      <c r="C6" s="21"/>
      <c r="D6" s="21"/>
      <c r="E6" s="37">
        <f>AVERAGE(E7:E24)</f>
        <v>6.666666666666667</v>
      </c>
      <c r="F6" s="37">
        <f t="shared" ref="F6:BO6" si="0">AVERAGE(F7:F24)</f>
        <v>7.5</v>
      </c>
      <c r="G6" s="37">
        <f t="shared" si="0"/>
        <v>7.666666666666667</v>
      </c>
      <c r="H6" s="37">
        <f>AVERAGE(H7:H24)</f>
        <v>4.2222222222222223</v>
      </c>
      <c r="I6" s="37">
        <f t="shared" si="0"/>
        <v>7.5</v>
      </c>
      <c r="J6" s="37">
        <f t="shared" si="0"/>
        <v>4.5</v>
      </c>
      <c r="K6" s="37">
        <f t="shared" si="0"/>
        <v>4.2222222222222223</v>
      </c>
      <c r="L6" s="37">
        <f t="shared" si="0"/>
        <v>3.5</v>
      </c>
      <c r="M6" s="37">
        <f t="shared" si="0"/>
        <v>2.5</v>
      </c>
      <c r="N6" s="37">
        <f t="shared" si="0"/>
        <v>3.1666666666666665</v>
      </c>
      <c r="O6" s="37">
        <f t="shared" si="0"/>
        <v>7.3888888888888893</v>
      </c>
      <c r="P6" s="37">
        <f t="shared" si="0"/>
        <v>0.94444444444444442</v>
      </c>
      <c r="Q6" s="37">
        <f t="shared" si="0"/>
        <v>-7.3888888888888893</v>
      </c>
      <c r="R6" s="37">
        <f t="shared" si="0"/>
        <v>-5.2777777777777777</v>
      </c>
      <c r="S6" s="37">
        <f t="shared" si="0"/>
        <v>5.5</v>
      </c>
      <c r="T6" s="37">
        <f t="shared" si="0"/>
        <v>6.333333333333333</v>
      </c>
      <c r="U6" s="37">
        <f t="shared" si="0"/>
        <v>6.333333333333333</v>
      </c>
      <c r="V6" s="37">
        <f t="shared" si="0"/>
        <v>7.5</v>
      </c>
      <c r="W6" s="37">
        <f t="shared" si="0"/>
        <v>7.3888888888888893</v>
      </c>
      <c r="X6" s="37">
        <f t="shared" si="0"/>
        <v>5.2777777777777777</v>
      </c>
      <c r="Y6" s="37">
        <f t="shared" si="0"/>
        <v>5.2777777777777777</v>
      </c>
      <c r="Z6" s="37">
        <f t="shared" si="0"/>
        <v>5.2777777777777777</v>
      </c>
      <c r="AA6" s="37">
        <f t="shared" si="0"/>
        <v>8.4444444444444446</v>
      </c>
      <c r="AB6" s="37">
        <f t="shared" si="0"/>
        <v>9.5</v>
      </c>
      <c r="AC6" s="37">
        <f t="shared" si="0"/>
        <v>8.4444444444444446</v>
      </c>
      <c r="AD6" s="37">
        <f t="shared" si="0"/>
        <v>9.5</v>
      </c>
      <c r="AE6" s="37">
        <f t="shared" si="0"/>
        <v>7.3888888888888893</v>
      </c>
      <c r="AF6" s="37">
        <f t="shared" si="0"/>
        <v>8.5</v>
      </c>
      <c r="AG6" s="37">
        <f t="shared" si="0"/>
        <v>8.4444444444444446</v>
      </c>
      <c r="AH6" s="37">
        <f t="shared" si="0"/>
        <v>8.4444444444444446</v>
      </c>
      <c r="AI6" s="37">
        <f t="shared" si="0"/>
        <v>9.5</v>
      </c>
      <c r="AJ6" s="37">
        <f t="shared" si="0"/>
        <v>9.5</v>
      </c>
      <c r="AK6" s="37">
        <f t="shared" si="0"/>
        <v>7.5</v>
      </c>
      <c r="AL6" s="37">
        <f t="shared" si="0"/>
        <v>6.333333333333333</v>
      </c>
      <c r="AM6" s="37">
        <f t="shared" si="0"/>
        <v>5.2777777777777777</v>
      </c>
      <c r="AN6" s="37">
        <f t="shared" si="0"/>
        <v>8.4444444444444446</v>
      </c>
      <c r="AO6" s="37">
        <f t="shared" si="0"/>
        <v>8.4444444444444446</v>
      </c>
      <c r="AP6" s="37">
        <f t="shared" si="0"/>
        <v>5.5</v>
      </c>
      <c r="AQ6" s="37">
        <f t="shared" si="0"/>
        <v>9.5</v>
      </c>
      <c r="AR6" s="37">
        <f t="shared" si="0"/>
        <v>4.7222222222222223</v>
      </c>
      <c r="AS6" s="37">
        <f t="shared" si="0"/>
        <v>5.666666666666667</v>
      </c>
      <c r="AT6" s="37">
        <f t="shared" si="0"/>
        <v>6.333333333333333</v>
      </c>
      <c r="AU6" s="37">
        <f t="shared" si="0"/>
        <v>7.3888888888888893</v>
      </c>
      <c r="AV6" s="37">
        <f t="shared" si="0"/>
        <v>4.7222222222222223</v>
      </c>
      <c r="AW6" s="37">
        <f t="shared" si="0"/>
        <v>2.5</v>
      </c>
      <c r="AX6" s="37">
        <f t="shared" si="0"/>
        <v>1.0555555555555556</v>
      </c>
      <c r="AY6" s="37">
        <f t="shared" si="0"/>
        <v>4.5</v>
      </c>
      <c r="AZ6" s="37">
        <f t="shared" si="0"/>
        <v>4.3888888888888893</v>
      </c>
      <c r="BA6" s="37">
        <f t="shared" si="0"/>
        <v>5.5</v>
      </c>
      <c r="BB6" s="37">
        <f t="shared" si="0"/>
        <v>2.1111111111111112</v>
      </c>
      <c r="BC6" s="37">
        <f t="shared" si="0"/>
        <v>6.333333333333333</v>
      </c>
      <c r="BD6" s="37">
        <f t="shared" si="0"/>
        <v>5.2777777777777777</v>
      </c>
      <c r="BE6" s="37">
        <f t="shared" si="0"/>
        <v>4.2222222222222223</v>
      </c>
      <c r="BF6" s="37">
        <f t="shared" si="0"/>
        <v>4.2222222222222223</v>
      </c>
      <c r="BG6" s="37">
        <f t="shared" si="0"/>
        <v>3.5</v>
      </c>
      <c r="BH6" s="37">
        <f t="shared" si="0"/>
        <v>6.333333333333333</v>
      </c>
      <c r="BI6" s="37">
        <f t="shared" si="0"/>
        <v>0</v>
      </c>
      <c r="BJ6" s="37">
        <f t="shared" si="0"/>
        <v>1.5</v>
      </c>
      <c r="BK6" s="37">
        <f t="shared" si="0"/>
        <v>5.5</v>
      </c>
      <c r="BL6" s="37">
        <f t="shared" si="0"/>
        <v>3.7777777777777777</v>
      </c>
      <c r="BM6" s="37">
        <f t="shared" si="0"/>
        <v>3.1666666666666665</v>
      </c>
      <c r="BN6" s="37">
        <f t="shared" si="0"/>
        <v>4.2222222222222223</v>
      </c>
      <c r="BO6" s="37">
        <f t="shared" si="0"/>
        <v>-0.22222222222222221</v>
      </c>
      <c r="BP6" s="37">
        <f t="shared" ref="BP6:CE6" si="1">AVERAGE(BP7:BP24)</f>
        <v>1.0555555555555556</v>
      </c>
      <c r="BQ6" s="37">
        <f t="shared" si="1"/>
        <v>1.5</v>
      </c>
      <c r="BR6" s="37">
        <f t="shared" si="1"/>
        <v>3.5</v>
      </c>
      <c r="BS6" s="37">
        <f t="shared" si="1"/>
        <v>5.666666666666667</v>
      </c>
      <c r="BT6" s="37">
        <f t="shared" si="1"/>
        <v>5.5</v>
      </c>
      <c r="BU6" s="37">
        <f t="shared" si="1"/>
        <v>1.3333333333333333</v>
      </c>
      <c r="BV6" s="37">
        <f t="shared" si="1"/>
        <v>5.5</v>
      </c>
      <c r="BW6" s="37">
        <f t="shared" si="1"/>
        <v>5.5</v>
      </c>
      <c r="BX6" s="37">
        <f t="shared" si="1"/>
        <v>1.5</v>
      </c>
      <c r="BY6" s="37">
        <f t="shared" si="1"/>
        <v>2.5</v>
      </c>
      <c r="BZ6" s="37">
        <f t="shared" si="1"/>
        <v>1.0555555555555556</v>
      </c>
      <c r="CA6" s="37">
        <f t="shared" si="1"/>
        <v>1.8888888888888888</v>
      </c>
      <c r="CB6" s="37">
        <f t="shared" si="1"/>
        <v>2.1111111111111112</v>
      </c>
      <c r="CC6" s="37">
        <f t="shared" si="1"/>
        <v>3.7777777777777777</v>
      </c>
      <c r="CD6" s="37">
        <f t="shared" si="1"/>
        <v>1.5</v>
      </c>
      <c r="CE6" s="37">
        <f t="shared" si="1"/>
        <v>2.5</v>
      </c>
    </row>
    <row r="7" spans="1:83" s="34" customFormat="1" x14ac:dyDescent="0.25">
      <c r="A7" s="51" t="s">
        <v>470</v>
      </c>
      <c r="B7" s="38" t="s">
        <v>166</v>
      </c>
      <c r="C7" s="21"/>
      <c r="D7" s="33">
        <f>SUM(S7:X7)</f>
        <v>60</v>
      </c>
      <c r="E7" s="33">
        <v>12</v>
      </c>
      <c r="F7" s="33">
        <v>16</v>
      </c>
      <c r="G7" s="33">
        <v>13</v>
      </c>
      <c r="H7" s="33">
        <v>13</v>
      </c>
      <c r="I7" s="33">
        <v>15</v>
      </c>
      <c r="J7" s="33">
        <v>8</v>
      </c>
      <c r="K7" s="33">
        <v>6</v>
      </c>
      <c r="L7" s="33">
        <v>9</v>
      </c>
      <c r="M7" s="33">
        <v>6</v>
      </c>
      <c r="N7" s="33">
        <v>7</v>
      </c>
      <c r="O7" s="33">
        <v>16</v>
      </c>
      <c r="P7" s="33">
        <v>0</v>
      </c>
      <c r="Q7" s="33">
        <v>-6</v>
      </c>
      <c r="R7" s="33">
        <v>-6</v>
      </c>
      <c r="S7" s="33">
        <v>13</v>
      </c>
      <c r="T7" s="33">
        <v>2</v>
      </c>
      <c r="U7" s="33">
        <v>12</v>
      </c>
      <c r="V7" s="33">
        <v>9</v>
      </c>
      <c r="W7" s="33">
        <v>14</v>
      </c>
      <c r="X7" s="33">
        <v>10</v>
      </c>
      <c r="Y7" s="33">
        <v>-3</v>
      </c>
      <c r="Z7" s="33">
        <v>6</v>
      </c>
      <c r="AA7" s="33">
        <v>17</v>
      </c>
      <c r="AB7" s="33">
        <v>12</v>
      </c>
      <c r="AC7" s="33">
        <v>1</v>
      </c>
      <c r="AD7" s="33">
        <v>6</v>
      </c>
      <c r="AE7" s="33">
        <v>10</v>
      </c>
      <c r="AF7" s="33">
        <v>15</v>
      </c>
      <c r="AG7" s="33">
        <v>17</v>
      </c>
      <c r="AH7" s="33">
        <v>11</v>
      </c>
      <c r="AI7" s="33">
        <v>8</v>
      </c>
      <c r="AJ7" s="33">
        <v>1</v>
      </c>
      <c r="AK7" s="33">
        <v>16</v>
      </c>
      <c r="AL7" s="33">
        <v>1</v>
      </c>
      <c r="AM7" s="33">
        <v>-1</v>
      </c>
      <c r="AN7" s="33">
        <v>12</v>
      </c>
      <c r="AO7" s="33">
        <v>13</v>
      </c>
      <c r="AP7" s="33">
        <v>7</v>
      </c>
      <c r="AQ7" s="33">
        <v>7</v>
      </c>
      <c r="AR7" s="33">
        <v>0</v>
      </c>
      <c r="AS7" s="33">
        <v>0</v>
      </c>
      <c r="AT7" s="33">
        <v>-3</v>
      </c>
      <c r="AU7" s="33">
        <v>12</v>
      </c>
      <c r="AV7" s="33">
        <v>4</v>
      </c>
      <c r="AW7" s="33">
        <v>5</v>
      </c>
      <c r="AX7" s="33">
        <v>4</v>
      </c>
      <c r="AY7" s="33">
        <v>1</v>
      </c>
      <c r="AZ7" s="33">
        <v>10</v>
      </c>
      <c r="BA7" s="33">
        <v>11</v>
      </c>
      <c r="BB7" s="33">
        <v>11</v>
      </c>
      <c r="BC7" s="33">
        <v>15</v>
      </c>
      <c r="BD7" s="33">
        <v>12</v>
      </c>
      <c r="BE7" s="33">
        <v>12</v>
      </c>
      <c r="BF7" s="33">
        <v>-3</v>
      </c>
      <c r="BG7" s="33">
        <v>0</v>
      </c>
      <c r="BH7" s="33">
        <v>8</v>
      </c>
      <c r="BI7" s="33">
        <v>8</v>
      </c>
      <c r="BJ7" s="33">
        <v>5</v>
      </c>
      <c r="BK7" s="33">
        <v>10</v>
      </c>
      <c r="BL7" s="33">
        <v>12</v>
      </c>
      <c r="BM7" s="33">
        <v>12</v>
      </c>
      <c r="BN7" s="33">
        <v>-2</v>
      </c>
      <c r="BO7" s="33">
        <v>0</v>
      </c>
      <c r="BP7" s="33">
        <v>9</v>
      </c>
      <c r="BQ7" s="33">
        <v>-3</v>
      </c>
      <c r="BR7" s="33">
        <v>10</v>
      </c>
      <c r="BS7" s="33">
        <v>11</v>
      </c>
      <c r="BT7" s="33">
        <v>14</v>
      </c>
      <c r="BU7" s="33">
        <v>3</v>
      </c>
      <c r="BV7" s="33">
        <v>13</v>
      </c>
      <c r="BW7" s="33">
        <v>4</v>
      </c>
      <c r="BX7" s="33">
        <v>10</v>
      </c>
      <c r="BY7" s="33">
        <v>11</v>
      </c>
      <c r="BZ7" s="33">
        <v>10</v>
      </c>
      <c r="CA7" s="33">
        <v>0</v>
      </c>
      <c r="CB7" s="33">
        <v>-7</v>
      </c>
      <c r="CC7" s="33">
        <v>-4</v>
      </c>
      <c r="CD7" s="33">
        <v>10</v>
      </c>
      <c r="CE7" s="33">
        <v>11</v>
      </c>
    </row>
    <row r="8" spans="1:83" s="34" customFormat="1" x14ac:dyDescent="0.25">
      <c r="A8" s="51"/>
      <c r="B8" s="38" t="s">
        <v>226</v>
      </c>
      <c r="D8" s="33">
        <f t="shared" ref="D8:D24" si="2">SUM(S8:X8)</f>
        <v>41</v>
      </c>
      <c r="E8" s="33">
        <v>11</v>
      </c>
      <c r="F8" s="33">
        <v>0</v>
      </c>
      <c r="G8" s="33">
        <v>0</v>
      </c>
      <c r="H8" s="33">
        <v>-4</v>
      </c>
      <c r="I8" s="33">
        <v>8</v>
      </c>
      <c r="J8" s="33">
        <v>9</v>
      </c>
      <c r="K8" s="33">
        <v>13</v>
      </c>
      <c r="L8" s="33">
        <v>-5</v>
      </c>
      <c r="M8" s="33">
        <v>0</v>
      </c>
      <c r="N8" s="33">
        <v>12</v>
      </c>
      <c r="O8" s="33">
        <v>-1</v>
      </c>
      <c r="P8" s="33">
        <v>0</v>
      </c>
      <c r="Q8" s="33">
        <v>-15</v>
      </c>
      <c r="R8" s="33">
        <v>4</v>
      </c>
      <c r="S8" s="33">
        <v>14</v>
      </c>
      <c r="T8" s="33">
        <v>3</v>
      </c>
      <c r="U8" s="33">
        <v>3</v>
      </c>
      <c r="V8" s="33">
        <v>5</v>
      </c>
      <c r="W8" s="33">
        <v>12</v>
      </c>
      <c r="X8" s="33">
        <v>4</v>
      </c>
      <c r="Y8" s="33">
        <v>7</v>
      </c>
      <c r="Z8" s="33">
        <v>7</v>
      </c>
      <c r="AA8" s="33">
        <v>4</v>
      </c>
      <c r="AB8" s="33">
        <v>13</v>
      </c>
      <c r="AC8" s="33">
        <v>-1</v>
      </c>
      <c r="AD8" s="33">
        <v>4</v>
      </c>
      <c r="AE8" s="33">
        <v>-1</v>
      </c>
      <c r="AF8" s="33">
        <v>0</v>
      </c>
      <c r="AG8" s="33">
        <v>4</v>
      </c>
      <c r="AH8" s="33">
        <v>-1</v>
      </c>
      <c r="AI8" s="33">
        <v>6</v>
      </c>
      <c r="AJ8" s="33">
        <v>15</v>
      </c>
      <c r="AK8" s="33">
        <v>0</v>
      </c>
      <c r="AL8" s="33">
        <v>-3</v>
      </c>
      <c r="AM8" s="33">
        <v>-2</v>
      </c>
      <c r="AN8" s="33">
        <v>-1</v>
      </c>
      <c r="AO8" s="33">
        <v>1</v>
      </c>
      <c r="AP8" s="33">
        <v>-3</v>
      </c>
      <c r="AQ8" s="33">
        <v>4</v>
      </c>
      <c r="AR8" s="33">
        <v>-3</v>
      </c>
      <c r="AS8" s="33">
        <v>-2</v>
      </c>
      <c r="AT8" s="33">
        <v>12</v>
      </c>
      <c r="AU8" s="33">
        <v>15</v>
      </c>
      <c r="AV8" s="33">
        <v>11</v>
      </c>
      <c r="AW8" s="33">
        <v>0</v>
      </c>
      <c r="AX8" s="33">
        <v>10</v>
      </c>
      <c r="AY8" s="33">
        <v>13</v>
      </c>
      <c r="AZ8" s="33">
        <v>6</v>
      </c>
      <c r="BA8" s="33">
        <v>-2</v>
      </c>
      <c r="BB8" s="33">
        <v>-6</v>
      </c>
      <c r="BC8" s="33">
        <v>-3</v>
      </c>
      <c r="BD8" s="33">
        <v>-3</v>
      </c>
      <c r="BE8" s="33">
        <v>-5</v>
      </c>
      <c r="BF8" s="33">
        <v>-5</v>
      </c>
      <c r="BG8" s="33">
        <v>-4</v>
      </c>
      <c r="BH8" s="33">
        <v>15</v>
      </c>
      <c r="BI8" s="33">
        <v>9</v>
      </c>
      <c r="BJ8" s="33">
        <v>9</v>
      </c>
      <c r="BK8" s="33">
        <v>5</v>
      </c>
      <c r="BL8" s="33">
        <v>10</v>
      </c>
      <c r="BM8" s="33">
        <v>10</v>
      </c>
      <c r="BN8" s="33">
        <v>-4</v>
      </c>
      <c r="BO8" s="33">
        <v>-9</v>
      </c>
      <c r="BP8" s="33">
        <v>-8</v>
      </c>
      <c r="BQ8" s="33">
        <v>-7</v>
      </c>
      <c r="BR8" s="33">
        <v>-4</v>
      </c>
      <c r="BS8" s="33">
        <v>0</v>
      </c>
      <c r="BT8" s="33">
        <v>10</v>
      </c>
      <c r="BU8" s="33">
        <v>-4</v>
      </c>
      <c r="BV8" s="33">
        <v>14</v>
      </c>
      <c r="BW8" s="33">
        <v>10</v>
      </c>
      <c r="BX8" s="33">
        <v>4</v>
      </c>
      <c r="BY8" s="33">
        <v>-6</v>
      </c>
      <c r="BZ8" s="33">
        <v>-5</v>
      </c>
      <c r="CA8" s="33">
        <v>-6</v>
      </c>
      <c r="CB8" s="33">
        <v>-3</v>
      </c>
      <c r="CC8" s="33">
        <v>0</v>
      </c>
      <c r="CD8" s="33">
        <v>-6</v>
      </c>
      <c r="CE8" s="33">
        <v>4</v>
      </c>
    </row>
    <row r="9" spans="1:83" s="34" customFormat="1" x14ac:dyDescent="0.25">
      <c r="A9" s="51"/>
      <c r="B9" s="38" t="s">
        <v>227</v>
      </c>
      <c r="D9" s="33">
        <f t="shared" si="2"/>
        <v>45</v>
      </c>
      <c r="E9" s="33">
        <v>0</v>
      </c>
      <c r="F9" s="33">
        <v>-1</v>
      </c>
      <c r="G9" s="33">
        <v>-1</v>
      </c>
      <c r="H9" s="33">
        <v>-5</v>
      </c>
      <c r="I9" s="33">
        <v>4</v>
      </c>
      <c r="J9" s="33">
        <v>0</v>
      </c>
      <c r="K9" s="33">
        <v>5</v>
      </c>
      <c r="L9" s="33">
        <v>10</v>
      </c>
      <c r="M9" s="33">
        <v>10</v>
      </c>
      <c r="N9" s="33">
        <v>-3</v>
      </c>
      <c r="O9" s="33">
        <v>-2</v>
      </c>
      <c r="P9" s="33">
        <v>-7</v>
      </c>
      <c r="Q9" s="33">
        <v>-16</v>
      </c>
      <c r="R9" s="33">
        <v>-13</v>
      </c>
      <c r="S9" s="33">
        <v>5</v>
      </c>
      <c r="T9" s="33">
        <v>15</v>
      </c>
      <c r="U9" s="33">
        <v>15</v>
      </c>
      <c r="V9" s="33">
        <v>16</v>
      </c>
      <c r="W9" s="33">
        <v>-2</v>
      </c>
      <c r="X9" s="33">
        <v>-4</v>
      </c>
      <c r="Y9" s="33">
        <v>-4</v>
      </c>
      <c r="Z9" s="33">
        <v>-4</v>
      </c>
      <c r="AA9" s="33">
        <v>13</v>
      </c>
      <c r="AB9" s="33">
        <v>18</v>
      </c>
      <c r="AC9" s="33">
        <v>17</v>
      </c>
      <c r="AD9" s="33">
        <v>15</v>
      </c>
      <c r="AE9" s="33">
        <v>16</v>
      </c>
      <c r="AF9" s="33">
        <v>17</v>
      </c>
      <c r="AG9" s="33">
        <v>-1</v>
      </c>
      <c r="AH9" s="33">
        <v>16</v>
      </c>
      <c r="AI9" s="33">
        <v>15</v>
      </c>
      <c r="AJ9" s="33">
        <v>7</v>
      </c>
      <c r="AK9" s="33">
        <v>8</v>
      </c>
      <c r="AL9" s="33">
        <v>-2</v>
      </c>
      <c r="AM9" s="33">
        <v>-3</v>
      </c>
      <c r="AN9" s="33">
        <v>16</v>
      </c>
      <c r="AO9" s="33">
        <v>2</v>
      </c>
      <c r="AP9" s="33">
        <v>4</v>
      </c>
      <c r="AQ9" s="33">
        <v>14</v>
      </c>
      <c r="AR9" s="33">
        <v>0</v>
      </c>
      <c r="AS9" s="33">
        <v>-1</v>
      </c>
      <c r="AT9" s="33">
        <v>-2</v>
      </c>
      <c r="AU9" s="33">
        <v>14</v>
      </c>
      <c r="AV9" s="33">
        <v>0</v>
      </c>
      <c r="AW9" s="33">
        <v>7</v>
      </c>
      <c r="AX9" s="33">
        <v>-6</v>
      </c>
      <c r="AY9" s="33">
        <v>4</v>
      </c>
      <c r="AZ9" s="33">
        <v>12</v>
      </c>
      <c r="BA9" s="33">
        <v>14</v>
      </c>
      <c r="BB9" s="33">
        <v>6</v>
      </c>
      <c r="BC9" s="33">
        <v>14</v>
      </c>
      <c r="BD9" s="33">
        <v>-2</v>
      </c>
      <c r="BE9" s="33">
        <v>10</v>
      </c>
      <c r="BF9" s="33">
        <v>-4</v>
      </c>
      <c r="BG9" s="33">
        <v>12</v>
      </c>
      <c r="BH9" s="33">
        <v>12</v>
      </c>
      <c r="BI9" s="33">
        <v>-8</v>
      </c>
      <c r="BJ9" s="33">
        <v>-3</v>
      </c>
      <c r="BK9" s="33">
        <v>-3</v>
      </c>
      <c r="BL9" s="33">
        <v>0</v>
      </c>
      <c r="BM9" s="33">
        <v>-4</v>
      </c>
      <c r="BN9" s="33">
        <v>-3</v>
      </c>
      <c r="BO9" s="33">
        <v>0</v>
      </c>
      <c r="BP9" s="33">
        <v>10</v>
      </c>
      <c r="BQ9" s="33">
        <v>10</v>
      </c>
      <c r="BR9" s="33">
        <v>0</v>
      </c>
      <c r="BS9" s="33">
        <v>0</v>
      </c>
      <c r="BT9" s="33">
        <v>13</v>
      </c>
      <c r="BU9" s="33">
        <v>8</v>
      </c>
      <c r="BV9" s="33">
        <v>0</v>
      </c>
      <c r="BW9" s="33">
        <v>0</v>
      </c>
      <c r="BX9" s="33">
        <v>-4</v>
      </c>
      <c r="BY9" s="33">
        <v>6</v>
      </c>
      <c r="BZ9" s="33">
        <v>9</v>
      </c>
      <c r="CA9" s="33">
        <v>7</v>
      </c>
      <c r="CB9" s="33">
        <v>-2</v>
      </c>
      <c r="CC9" s="33">
        <v>10</v>
      </c>
      <c r="CD9" s="33">
        <v>0</v>
      </c>
      <c r="CE9" s="33">
        <v>-6</v>
      </c>
    </row>
    <row r="10" spans="1:83" s="34" customFormat="1" x14ac:dyDescent="0.25">
      <c r="A10" s="51"/>
      <c r="B10" s="32" t="s">
        <v>168</v>
      </c>
      <c r="D10" s="33">
        <f t="shared" si="2"/>
        <v>59</v>
      </c>
      <c r="E10" s="33">
        <v>13</v>
      </c>
      <c r="F10" s="33">
        <v>13</v>
      </c>
      <c r="G10" s="33">
        <v>10</v>
      </c>
      <c r="H10" s="33">
        <v>8</v>
      </c>
      <c r="I10" s="33">
        <v>11</v>
      </c>
      <c r="J10" s="33">
        <v>11</v>
      </c>
      <c r="K10" s="33">
        <v>4</v>
      </c>
      <c r="L10" s="33">
        <v>-2</v>
      </c>
      <c r="M10" s="33">
        <v>-1</v>
      </c>
      <c r="N10" s="33">
        <v>4</v>
      </c>
      <c r="O10" s="33">
        <v>10</v>
      </c>
      <c r="P10" s="33">
        <v>4</v>
      </c>
      <c r="Q10" s="33">
        <v>-11</v>
      </c>
      <c r="R10" s="33">
        <v>-11</v>
      </c>
      <c r="S10" s="33">
        <v>9</v>
      </c>
      <c r="T10" s="33">
        <v>9</v>
      </c>
      <c r="U10" s="33">
        <v>9</v>
      </c>
      <c r="V10" s="33">
        <v>8</v>
      </c>
      <c r="W10" s="33">
        <v>15</v>
      </c>
      <c r="X10" s="33">
        <v>9</v>
      </c>
      <c r="Y10" s="33">
        <v>2</v>
      </c>
      <c r="Z10" s="33">
        <v>13</v>
      </c>
      <c r="AA10" s="33">
        <v>14</v>
      </c>
      <c r="AB10" s="33">
        <v>14</v>
      </c>
      <c r="AC10" s="33">
        <v>14</v>
      </c>
      <c r="AD10" s="33">
        <v>16</v>
      </c>
      <c r="AE10" s="33">
        <v>7</v>
      </c>
      <c r="AF10" s="33">
        <v>7</v>
      </c>
      <c r="AG10" s="33">
        <v>15</v>
      </c>
      <c r="AH10" s="33">
        <v>10</v>
      </c>
      <c r="AI10" s="33">
        <v>12</v>
      </c>
      <c r="AJ10" s="33">
        <v>9</v>
      </c>
      <c r="AK10" s="33">
        <v>14</v>
      </c>
      <c r="AL10" s="33">
        <v>15</v>
      </c>
      <c r="AM10" s="33">
        <v>14</v>
      </c>
      <c r="AN10" s="33">
        <v>14</v>
      </c>
      <c r="AO10" s="33">
        <v>17</v>
      </c>
      <c r="AP10" s="33">
        <v>13</v>
      </c>
      <c r="AQ10" s="33">
        <v>15</v>
      </c>
      <c r="AR10" s="33">
        <v>9</v>
      </c>
      <c r="AS10" s="33">
        <v>11</v>
      </c>
      <c r="AT10" s="33">
        <v>2</v>
      </c>
      <c r="AU10" s="33">
        <v>11</v>
      </c>
      <c r="AV10" s="33">
        <v>9</v>
      </c>
      <c r="AW10" s="33">
        <v>-2</v>
      </c>
      <c r="AX10" s="33">
        <v>-4</v>
      </c>
      <c r="AY10" s="33">
        <v>11</v>
      </c>
      <c r="AZ10" s="33">
        <v>2</v>
      </c>
      <c r="BA10" s="33">
        <v>3</v>
      </c>
      <c r="BB10" s="33">
        <v>5</v>
      </c>
      <c r="BC10" s="33">
        <v>4</v>
      </c>
      <c r="BD10" s="33">
        <v>13</v>
      </c>
      <c r="BE10" s="33">
        <v>4</v>
      </c>
      <c r="BF10" s="33">
        <v>6</v>
      </c>
      <c r="BG10" s="33">
        <v>9</v>
      </c>
      <c r="BH10" s="33">
        <v>3</v>
      </c>
      <c r="BI10" s="33">
        <v>-2</v>
      </c>
      <c r="BJ10" s="33">
        <v>4</v>
      </c>
      <c r="BK10" s="33">
        <v>14</v>
      </c>
      <c r="BL10" s="33">
        <v>8</v>
      </c>
      <c r="BM10" s="33">
        <v>11</v>
      </c>
      <c r="BN10" s="33">
        <v>7</v>
      </c>
      <c r="BO10" s="33">
        <v>5</v>
      </c>
      <c r="BP10" s="33">
        <v>7</v>
      </c>
      <c r="BQ10" s="33">
        <v>-5</v>
      </c>
      <c r="BR10" s="33">
        <v>5</v>
      </c>
      <c r="BS10" s="33">
        <v>9</v>
      </c>
      <c r="BT10" s="33">
        <v>2</v>
      </c>
      <c r="BU10" s="33">
        <v>0</v>
      </c>
      <c r="BV10" s="33">
        <v>4</v>
      </c>
      <c r="BW10" s="33">
        <v>6</v>
      </c>
      <c r="BX10" s="33">
        <v>3</v>
      </c>
      <c r="BY10" s="33">
        <v>-1</v>
      </c>
      <c r="BZ10" s="33">
        <v>-3</v>
      </c>
      <c r="CA10" s="33">
        <v>-5</v>
      </c>
      <c r="CB10" s="33">
        <v>-6</v>
      </c>
      <c r="CC10" s="33">
        <v>-1</v>
      </c>
      <c r="CD10" s="33">
        <v>-5</v>
      </c>
      <c r="CE10" s="33">
        <v>-2</v>
      </c>
    </row>
    <row r="11" spans="1:83" s="34" customFormat="1" x14ac:dyDescent="0.25">
      <c r="A11" s="51"/>
      <c r="B11" s="38" t="s">
        <v>170</v>
      </c>
      <c r="D11" s="33">
        <f t="shared" si="2"/>
        <v>30</v>
      </c>
      <c r="E11" s="33">
        <v>3</v>
      </c>
      <c r="F11" s="33">
        <v>15</v>
      </c>
      <c r="G11" s="33">
        <v>9</v>
      </c>
      <c r="H11" s="33">
        <v>-1</v>
      </c>
      <c r="I11" s="33">
        <v>0</v>
      </c>
      <c r="J11" s="33">
        <v>-4</v>
      </c>
      <c r="K11" s="33">
        <v>-5</v>
      </c>
      <c r="L11" s="33">
        <v>0</v>
      </c>
      <c r="M11" s="33">
        <v>-6</v>
      </c>
      <c r="N11" s="33">
        <v>9</v>
      </c>
      <c r="O11" s="33">
        <v>5</v>
      </c>
      <c r="P11" s="33">
        <v>-1</v>
      </c>
      <c r="Q11" s="33">
        <v>-4</v>
      </c>
      <c r="R11" s="33">
        <v>-10</v>
      </c>
      <c r="S11" s="33">
        <v>0</v>
      </c>
      <c r="T11" s="33">
        <v>10</v>
      </c>
      <c r="U11" s="33">
        <v>4</v>
      </c>
      <c r="V11" s="33">
        <v>6</v>
      </c>
      <c r="W11" s="33">
        <v>11</v>
      </c>
      <c r="X11" s="33">
        <v>-1</v>
      </c>
      <c r="Y11" s="33">
        <v>1</v>
      </c>
      <c r="Z11" s="33">
        <v>-3</v>
      </c>
      <c r="AA11" s="33">
        <v>3</v>
      </c>
      <c r="AB11" s="33">
        <v>2</v>
      </c>
      <c r="AC11" s="33">
        <v>3</v>
      </c>
      <c r="AD11" s="33">
        <v>1</v>
      </c>
      <c r="AE11" s="33">
        <v>2</v>
      </c>
      <c r="AF11" s="33">
        <v>3</v>
      </c>
      <c r="AG11" s="33">
        <v>14</v>
      </c>
      <c r="AH11" s="33">
        <v>14</v>
      </c>
      <c r="AI11" s="33">
        <v>10</v>
      </c>
      <c r="AJ11" s="33">
        <v>2</v>
      </c>
      <c r="AK11" s="33">
        <v>1</v>
      </c>
      <c r="AL11" s="33">
        <v>7</v>
      </c>
      <c r="AM11" s="33">
        <v>12</v>
      </c>
      <c r="AN11" s="33">
        <v>17</v>
      </c>
      <c r="AO11" s="33">
        <v>10</v>
      </c>
      <c r="AP11" s="33">
        <v>11</v>
      </c>
      <c r="AQ11" s="33">
        <v>1</v>
      </c>
      <c r="AR11" s="33">
        <v>8</v>
      </c>
      <c r="AS11" s="33">
        <v>10</v>
      </c>
      <c r="AT11" s="33">
        <v>13</v>
      </c>
      <c r="AU11" s="33">
        <v>5</v>
      </c>
      <c r="AV11" s="33">
        <v>1</v>
      </c>
      <c r="AW11" s="33">
        <v>-1</v>
      </c>
      <c r="AX11" s="33">
        <v>5</v>
      </c>
      <c r="AY11" s="33">
        <v>6</v>
      </c>
      <c r="AZ11" s="33">
        <v>11</v>
      </c>
      <c r="BA11" s="33">
        <v>6</v>
      </c>
      <c r="BB11" s="33">
        <v>1</v>
      </c>
      <c r="BC11" s="33">
        <v>11</v>
      </c>
      <c r="BD11" s="33">
        <v>4</v>
      </c>
      <c r="BE11" s="33">
        <v>5</v>
      </c>
      <c r="BF11" s="33">
        <v>1</v>
      </c>
      <c r="BG11" s="33">
        <v>4</v>
      </c>
      <c r="BH11" s="33">
        <v>1</v>
      </c>
      <c r="BI11" s="33">
        <v>-4</v>
      </c>
      <c r="BJ11" s="33">
        <v>2</v>
      </c>
      <c r="BK11" s="33">
        <v>2</v>
      </c>
      <c r="BL11" s="33">
        <v>9</v>
      </c>
      <c r="BM11" s="33">
        <v>6</v>
      </c>
      <c r="BN11" s="33">
        <v>10</v>
      </c>
      <c r="BO11" s="33">
        <v>2</v>
      </c>
      <c r="BP11" s="33">
        <v>-2</v>
      </c>
      <c r="BQ11" s="33">
        <v>2</v>
      </c>
      <c r="BR11" s="33">
        <v>2</v>
      </c>
      <c r="BS11" s="33">
        <v>4</v>
      </c>
      <c r="BT11" s="33">
        <v>-1</v>
      </c>
      <c r="BU11" s="33">
        <v>-5</v>
      </c>
      <c r="BV11" s="33">
        <v>8</v>
      </c>
      <c r="BW11" s="33">
        <v>-1</v>
      </c>
      <c r="BX11" s="33">
        <v>-3</v>
      </c>
      <c r="BY11" s="33">
        <v>2</v>
      </c>
      <c r="BZ11" s="33">
        <v>5</v>
      </c>
      <c r="CA11" s="33">
        <v>-1</v>
      </c>
      <c r="CB11" s="33">
        <v>-4</v>
      </c>
      <c r="CC11" s="33">
        <v>7</v>
      </c>
      <c r="CD11" s="33">
        <v>5</v>
      </c>
      <c r="CE11" s="33">
        <v>1</v>
      </c>
    </row>
    <row r="12" spans="1:83" s="34" customFormat="1" x14ac:dyDescent="0.25">
      <c r="A12" s="51"/>
      <c r="B12" s="32" t="s">
        <v>192</v>
      </c>
      <c r="D12" s="33">
        <f t="shared" si="2"/>
        <v>33</v>
      </c>
      <c r="E12" s="33">
        <v>2</v>
      </c>
      <c r="F12" s="33">
        <v>3</v>
      </c>
      <c r="G12" s="33">
        <v>14</v>
      </c>
      <c r="H12" s="33">
        <v>5</v>
      </c>
      <c r="I12" s="33">
        <v>6</v>
      </c>
      <c r="J12" s="33">
        <v>5</v>
      </c>
      <c r="K12" s="33">
        <v>3</v>
      </c>
      <c r="L12" s="33">
        <v>7</v>
      </c>
      <c r="M12" s="33">
        <v>1</v>
      </c>
      <c r="N12" s="33">
        <v>6</v>
      </c>
      <c r="O12" s="33">
        <v>13</v>
      </c>
      <c r="P12" s="33">
        <v>5</v>
      </c>
      <c r="Q12" s="33">
        <v>1</v>
      </c>
      <c r="R12" s="33">
        <v>3</v>
      </c>
      <c r="S12" s="33">
        <v>3</v>
      </c>
      <c r="T12" s="33">
        <v>6</v>
      </c>
      <c r="U12" s="33">
        <v>5</v>
      </c>
      <c r="V12" s="33">
        <v>4</v>
      </c>
      <c r="W12" s="33">
        <v>10</v>
      </c>
      <c r="X12" s="33">
        <v>5</v>
      </c>
      <c r="Y12" s="33">
        <v>9</v>
      </c>
      <c r="Z12" s="33">
        <v>11</v>
      </c>
      <c r="AA12" s="33">
        <v>7</v>
      </c>
      <c r="AB12" s="33">
        <v>8</v>
      </c>
      <c r="AC12" s="33">
        <v>7</v>
      </c>
      <c r="AD12" s="33">
        <v>11</v>
      </c>
      <c r="AE12" s="33">
        <v>3</v>
      </c>
      <c r="AF12" s="33">
        <v>2</v>
      </c>
      <c r="AG12" s="33">
        <v>3</v>
      </c>
      <c r="AH12" s="33">
        <v>1</v>
      </c>
      <c r="AI12" s="33">
        <v>4</v>
      </c>
      <c r="AJ12" s="33">
        <v>4</v>
      </c>
      <c r="AK12" s="33">
        <v>4</v>
      </c>
      <c r="AL12" s="33">
        <v>6</v>
      </c>
      <c r="AM12" s="33">
        <v>6</v>
      </c>
      <c r="AN12" s="33">
        <v>4</v>
      </c>
      <c r="AO12" s="33">
        <v>6</v>
      </c>
      <c r="AP12" s="33">
        <v>0</v>
      </c>
      <c r="AQ12" s="33">
        <v>5</v>
      </c>
      <c r="AR12" s="33">
        <v>-1</v>
      </c>
      <c r="AS12" s="33">
        <v>4</v>
      </c>
      <c r="AT12" s="33">
        <v>4</v>
      </c>
      <c r="AU12" s="33">
        <v>4</v>
      </c>
      <c r="AV12" s="33">
        <v>0</v>
      </c>
      <c r="AW12" s="33">
        <v>1</v>
      </c>
      <c r="AX12" s="33">
        <v>-2</v>
      </c>
      <c r="AY12" s="33">
        <v>5</v>
      </c>
      <c r="AZ12" s="33">
        <v>-5</v>
      </c>
      <c r="BA12" s="33">
        <v>2</v>
      </c>
      <c r="BB12" s="33">
        <v>-1</v>
      </c>
      <c r="BC12" s="33">
        <v>3</v>
      </c>
      <c r="BD12" s="33">
        <v>-1</v>
      </c>
      <c r="BE12" s="33">
        <v>3</v>
      </c>
      <c r="BF12" s="33">
        <v>7</v>
      </c>
      <c r="BG12" s="33">
        <v>8</v>
      </c>
      <c r="BH12" s="33">
        <v>5</v>
      </c>
      <c r="BI12" s="33">
        <v>-1</v>
      </c>
      <c r="BJ12" s="33">
        <v>-1</v>
      </c>
      <c r="BK12" s="33">
        <v>6</v>
      </c>
      <c r="BL12" s="33">
        <v>2</v>
      </c>
      <c r="BM12" s="33">
        <v>4</v>
      </c>
      <c r="BN12" s="33">
        <v>3</v>
      </c>
      <c r="BO12" s="33">
        <v>3</v>
      </c>
      <c r="BP12" s="33">
        <v>3</v>
      </c>
      <c r="BQ12" s="33">
        <v>4</v>
      </c>
      <c r="BR12" s="33">
        <v>6</v>
      </c>
      <c r="BS12" s="33">
        <v>10</v>
      </c>
      <c r="BT12" s="33">
        <v>8</v>
      </c>
      <c r="BU12" s="33">
        <v>9</v>
      </c>
      <c r="BV12" s="33">
        <v>10</v>
      </c>
      <c r="BW12" s="33">
        <v>13</v>
      </c>
      <c r="BX12" s="33">
        <v>8</v>
      </c>
      <c r="BY12" s="33">
        <v>-4</v>
      </c>
      <c r="BZ12" s="33">
        <v>-4</v>
      </c>
      <c r="CA12" s="33">
        <v>0</v>
      </c>
      <c r="CB12" s="33">
        <v>9</v>
      </c>
      <c r="CC12" s="33">
        <v>0</v>
      </c>
      <c r="CD12" s="33">
        <v>3</v>
      </c>
      <c r="CE12" s="33">
        <v>-4</v>
      </c>
    </row>
    <row r="13" spans="1:83" s="34" customFormat="1" x14ac:dyDescent="0.25">
      <c r="A13" s="51"/>
      <c r="B13" s="38" t="s">
        <v>172</v>
      </c>
      <c r="D13" s="33">
        <f t="shared" si="2"/>
        <v>75</v>
      </c>
      <c r="E13" s="33">
        <v>9</v>
      </c>
      <c r="F13" s="33">
        <v>5</v>
      </c>
      <c r="G13" s="33">
        <v>12</v>
      </c>
      <c r="H13" s="33">
        <v>1</v>
      </c>
      <c r="I13" s="33">
        <v>5</v>
      </c>
      <c r="J13" s="33">
        <v>2</v>
      </c>
      <c r="K13" s="33">
        <v>7</v>
      </c>
      <c r="L13" s="33">
        <v>11</v>
      </c>
      <c r="M13" s="33">
        <v>8</v>
      </c>
      <c r="N13" s="33">
        <v>10</v>
      </c>
      <c r="O13" s="33">
        <v>9</v>
      </c>
      <c r="P13" s="33">
        <v>9</v>
      </c>
      <c r="Q13" s="33">
        <v>-1</v>
      </c>
      <c r="R13" s="33">
        <v>-2</v>
      </c>
      <c r="S13" s="33">
        <v>10</v>
      </c>
      <c r="T13" s="33">
        <v>14</v>
      </c>
      <c r="U13" s="33">
        <v>14</v>
      </c>
      <c r="V13" s="33">
        <v>12</v>
      </c>
      <c r="W13" s="33">
        <v>13</v>
      </c>
      <c r="X13" s="33">
        <v>12</v>
      </c>
      <c r="Y13" s="33">
        <v>11</v>
      </c>
      <c r="Z13" s="33">
        <v>9</v>
      </c>
      <c r="AA13" s="33">
        <v>10</v>
      </c>
      <c r="AB13" s="33">
        <v>6</v>
      </c>
      <c r="AC13" s="33">
        <v>5</v>
      </c>
      <c r="AD13" s="33">
        <v>5</v>
      </c>
      <c r="AE13" s="33">
        <v>6</v>
      </c>
      <c r="AF13" s="33">
        <v>6</v>
      </c>
      <c r="AG13" s="33">
        <v>7</v>
      </c>
      <c r="AH13" s="33">
        <v>5</v>
      </c>
      <c r="AI13" s="33">
        <v>7</v>
      </c>
      <c r="AJ13" s="33">
        <v>8</v>
      </c>
      <c r="AK13" s="33">
        <v>9</v>
      </c>
      <c r="AL13" s="33">
        <v>13</v>
      </c>
      <c r="AM13" s="33">
        <v>7</v>
      </c>
      <c r="AN13" s="33">
        <v>1</v>
      </c>
      <c r="AO13" s="33">
        <v>4</v>
      </c>
      <c r="AP13" s="33">
        <v>2</v>
      </c>
      <c r="AQ13" s="33">
        <v>10</v>
      </c>
      <c r="AR13" s="33">
        <v>4</v>
      </c>
      <c r="AS13" s="33">
        <v>6</v>
      </c>
      <c r="AT13" s="33">
        <v>5</v>
      </c>
      <c r="AU13" s="33">
        <v>2</v>
      </c>
      <c r="AV13" s="33">
        <v>8</v>
      </c>
      <c r="AW13" s="33">
        <v>10</v>
      </c>
      <c r="AX13" s="33">
        <v>2</v>
      </c>
      <c r="AY13" s="33">
        <v>2</v>
      </c>
      <c r="AZ13" s="33">
        <v>3</v>
      </c>
      <c r="BA13" s="33">
        <v>5</v>
      </c>
      <c r="BB13" s="33">
        <v>-2</v>
      </c>
      <c r="BC13" s="33">
        <v>1</v>
      </c>
      <c r="BD13" s="33">
        <v>5</v>
      </c>
      <c r="BE13" s="33">
        <v>-2</v>
      </c>
      <c r="BF13" s="33">
        <v>8</v>
      </c>
      <c r="BG13" s="33">
        <v>3</v>
      </c>
      <c r="BH13" s="33">
        <v>14</v>
      </c>
      <c r="BI13" s="33">
        <v>7</v>
      </c>
      <c r="BJ13" s="33">
        <v>10</v>
      </c>
      <c r="BK13" s="33">
        <v>11</v>
      </c>
      <c r="BL13" s="33">
        <v>1</v>
      </c>
      <c r="BM13" s="33">
        <v>3</v>
      </c>
      <c r="BN13" s="33">
        <v>12</v>
      </c>
      <c r="BO13" s="33">
        <v>6</v>
      </c>
      <c r="BP13" s="33">
        <v>2</v>
      </c>
      <c r="BQ13" s="33">
        <v>5</v>
      </c>
      <c r="BR13" s="33">
        <v>7</v>
      </c>
      <c r="BS13" s="33">
        <v>2</v>
      </c>
      <c r="BT13" s="33">
        <v>12</v>
      </c>
      <c r="BU13" s="33">
        <v>6</v>
      </c>
      <c r="BV13" s="33">
        <v>9</v>
      </c>
      <c r="BW13" s="33">
        <v>7</v>
      </c>
      <c r="BX13" s="33">
        <v>-2</v>
      </c>
      <c r="BY13" s="33">
        <v>5</v>
      </c>
      <c r="BZ13" s="33">
        <v>2</v>
      </c>
      <c r="CA13" s="33">
        <v>-3</v>
      </c>
      <c r="CB13" s="33">
        <v>1</v>
      </c>
      <c r="CC13" s="33">
        <v>3</v>
      </c>
      <c r="CD13" s="33">
        <v>9</v>
      </c>
      <c r="CE13" s="33">
        <v>7</v>
      </c>
    </row>
    <row r="14" spans="1:83" s="34" customFormat="1" x14ac:dyDescent="0.25">
      <c r="A14" s="51"/>
      <c r="B14" s="32" t="s">
        <v>174</v>
      </c>
      <c r="D14" s="33">
        <f t="shared" si="2"/>
        <v>8</v>
      </c>
      <c r="E14" s="33">
        <v>1</v>
      </c>
      <c r="F14" s="33">
        <v>2</v>
      </c>
      <c r="G14" s="33">
        <v>5</v>
      </c>
      <c r="H14" s="33">
        <v>7</v>
      </c>
      <c r="I14" s="33">
        <v>3</v>
      </c>
      <c r="J14" s="33">
        <v>3</v>
      </c>
      <c r="K14" s="33">
        <v>1</v>
      </c>
      <c r="L14" s="33">
        <v>4</v>
      </c>
      <c r="M14" s="33">
        <v>5</v>
      </c>
      <c r="N14" s="33">
        <v>2</v>
      </c>
      <c r="O14" s="33">
        <v>2</v>
      </c>
      <c r="P14" s="33">
        <v>1</v>
      </c>
      <c r="Q14" s="33">
        <v>-7</v>
      </c>
      <c r="R14" s="33">
        <v>1</v>
      </c>
      <c r="S14" s="33">
        <v>4</v>
      </c>
      <c r="T14" s="33">
        <v>1</v>
      </c>
      <c r="U14" s="33">
        <v>-2</v>
      </c>
      <c r="V14" s="33">
        <v>2</v>
      </c>
      <c r="W14" s="33">
        <v>2</v>
      </c>
      <c r="X14" s="33">
        <v>1</v>
      </c>
      <c r="Y14" s="33">
        <v>6</v>
      </c>
      <c r="Z14" s="33">
        <v>1</v>
      </c>
      <c r="AA14" s="33">
        <v>5</v>
      </c>
      <c r="AB14" s="33">
        <v>4</v>
      </c>
      <c r="AC14" s="33">
        <v>2</v>
      </c>
      <c r="AD14" s="33">
        <v>7</v>
      </c>
      <c r="AE14" s="33">
        <v>4</v>
      </c>
      <c r="AF14" s="33">
        <v>10</v>
      </c>
      <c r="AG14" s="33">
        <v>13</v>
      </c>
      <c r="AH14" s="33">
        <v>6</v>
      </c>
      <c r="AI14" s="33">
        <v>11</v>
      </c>
      <c r="AJ14" s="33">
        <v>3</v>
      </c>
      <c r="AK14" s="33">
        <v>3</v>
      </c>
      <c r="AL14" s="33">
        <v>-1</v>
      </c>
      <c r="AM14" s="33">
        <v>2</v>
      </c>
      <c r="AN14" s="33">
        <v>9</v>
      </c>
      <c r="AO14" s="33">
        <v>-1</v>
      </c>
      <c r="AP14" s="33">
        <v>-1</v>
      </c>
      <c r="AQ14" s="33">
        <v>3</v>
      </c>
      <c r="AR14" s="33">
        <v>1</v>
      </c>
      <c r="AS14" s="33">
        <v>9</v>
      </c>
      <c r="AT14" s="33">
        <v>8</v>
      </c>
      <c r="AU14" s="33">
        <v>8</v>
      </c>
      <c r="AV14" s="33">
        <v>-1</v>
      </c>
      <c r="AW14" s="33">
        <v>-3</v>
      </c>
      <c r="AX14" s="33">
        <v>-3</v>
      </c>
      <c r="AY14" s="33">
        <v>-2</v>
      </c>
      <c r="AZ14" s="33">
        <v>1</v>
      </c>
      <c r="BA14" s="33">
        <v>1</v>
      </c>
      <c r="BB14" s="33">
        <v>-3</v>
      </c>
      <c r="BC14" s="33">
        <v>-1</v>
      </c>
      <c r="BD14" s="33">
        <v>2</v>
      </c>
      <c r="BE14" s="33">
        <v>6</v>
      </c>
      <c r="BF14" s="33">
        <v>3</v>
      </c>
      <c r="BG14" s="33">
        <v>1</v>
      </c>
      <c r="BH14" s="33">
        <v>-3</v>
      </c>
      <c r="BI14" s="33">
        <v>-5</v>
      </c>
      <c r="BJ14" s="33">
        <v>-7</v>
      </c>
      <c r="BK14" s="33">
        <v>3</v>
      </c>
      <c r="BL14" s="33">
        <v>-1</v>
      </c>
      <c r="BM14" s="33">
        <v>-5</v>
      </c>
      <c r="BN14" s="33">
        <v>2</v>
      </c>
      <c r="BO14" s="33">
        <v>-1</v>
      </c>
      <c r="BP14" s="33">
        <v>-3</v>
      </c>
      <c r="BQ14" s="33">
        <v>6</v>
      </c>
      <c r="BR14" s="33">
        <v>3</v>
      </c>
      <c r="BS14" s="33">
        <v>13</v>
      </c>
      <c r="BT14" s="33">
        <v>4</v>
      </c>
      <c r="BU14" s="33">
        <v>-2</v>
      </c>
      <c r="BV14" s="33">
        <v>5</v>
      </c>
      <c r="BW14" s="33">
        <v>2</v>
      </c>
      <c r="BX14" s="33">
        <v>-1</v>
      </c>
      <c r="BY14" s="33">
        <v>3</v>
      </c>
      <c r="BZ14" s="33">
        <v>3</v>
      </c>
      <c r="CA14" s="33">
        <v>2</v>
      </c>
      <c r="CB14" s="33">
        <v>3</v>
      </c>
      <c r="CC14" s="33">
        <v>12</v>
      </c>
      <c r="CD14" s="33">
        <v>7</v>
      </c>
      <c r="CE14" s="33">
        <v>3</v>
      </c>
    </row>
    <row r="15" spans="1:83" s="34" customFormat="1" x14ac:dyDescent="0.25">
      <c r="A15" s="51"/>
      <c r="B15" s="38" t="s">
        <v>176</v>
      </c>
      <c r="D15" s="33">
        <f t="shared" si="2"/>
        <v>47</v>
      </c>
      <c r="E15" s="33">
        <v>5</v>
      </c>
      <c r="F15" s="33">
        <v>14</v>
      </c>
      <c r="G15" s="33">
        <v>4</v>
      </c>
      <c r="H15" s="33">
        <v>3</v>
      </c>
      <c r="I15" s="33">
        <v>1</v>
      </c>
      <c r="J15" s="33">
        <v>6</v>
      </c>
      <c r="K15" s="33">
        <v>8</v>
      </c>
      <c r="L15" s="33">
        <v>5</v>
      </c>
      <c r="M15" s="33">
        <v>9</v>
      </c>
      <c r="N15" s="33">
        <v>11</v>
      </c>
      <c r="O15" s="33">
        <v>15</v>
      </c>
      <c r="P15" s="33">
        <v>3</v>
      </c>
      <c r="Q15" s="33">
        <v>-5</v>
      </c>
      <c r="R15" s="33">
        <v>-5</v>
      </c>
      <c r="S15" s="33">
        <v>-1</v>
      </c>
      <c r="T15" s="33">
        <v>5</v>
      </c>
      <c r="U15" s="33">
        <v>7</v>
      </c>
      <c r="V15" s="33">
        <v>14</v>
      </c>
      <c r="W15" s="33">
        <v>9</v>
      </c>
      <c r="X15" s="33">
        <v>13</v>
      </c>
      <c r="Y15" s="33">
        <v>14</v>
      </c>
      <c r="Z15" s="33">
        <v>8</v>
      </c>
      <c r="AA15" s="33">
        <v>6</v>
      </c>
      <c r="AB15" s="33">
        <v>15</v>
      </c>
      <c r="AC15" s="33">
        <v>15</v>
      </c>
      <c r="AD15" s="33">
        <v>10</v>
      </c>
      <c r="AE15" s="33">
        <v>11</v>
      </c>
      <c r="AF15" s="33">
        <v>14</v>
      </c>
      <c r="AG15" s="33">
        <v>5</v>
      </c>
      <c r="AH15" s="33">
        <v>15</v>
      </c>
      <c r="AI15" s="33">
        <v>5</v>
      </c>
      <c r="AJ15" s="33">
        <v>14</v>
      </c>
      <c r="AK15" s="33">
        <v>12</v>
      </c>
      <c r="AL15" s="33">
        <v>4</v>
      </c>
      <c r="AM15" s="33">
        <v>11</v>
      </c>
      <c r="AN15" s="33">
        <v>5</v>
      </c>
      <c r="AO15" s="33">
        <v>15</v>
      </c>
      <c r="AP15" s="33">
        <v>9</v>
      </c>
      <c r="AQ15" s="33">
        <v>17</v>
      </c>
      <c r="AR15" s="33">
        <v>10</v>
      </c>
      <c r="AS15" s="33">
        <v>3</v>
      </c>
      <c r="AT15" s="33">
        <v>1</v>
      </c>
      <c r="AU15" s="33">
        <v>-2</v>
      </c>
      <c r="AV15" s="33">
        <v>-3</v>
      </c>
      <c r="AW15" s="33">
        <v>3</v>
      </c>
      <c r="AX15" s="33">
        <v>7</v>
      </c>
      <c r="AY15" s="33">
        <v>-1</v>
      </c>
      <c r="AZ15" s="33">
        <v>7</v>
      </c>
      <c r="BA15" s="33">
        <v>0</v>
      </c>
      <c r="BB15" s="33">
        <v>10</v>
      </c>
      <c r="BC15" s="33">
        <v>10</v>
      </c>
      <c r="BD15" s="33">
        <v>10</v>
      </c>
      <c r="BE15" s="33">
        <v>-1</v>
      </c>
      <c r="BF15" s="33">
        <v>-2</v>
      </c>
      <c r="BG15" s="33">
        <v>2</v>
      </c>
      <c r="BH15" s="33">
        <v>6</v>
      </c>
      <c r="BI15" s="33">
        <v>-3</v>
      </c>
      <c r="BJ15" s="33">
        <v>1</v>
      </c>
      <c r="BK15" s="33">
        <v>7</v>
      </c>
      <c r="BL15" s="33">
        <v>7</v>
      </c>
      <c r="BM15" s="33">
        <v>7</v>
      </c>
      <c r="BN15" s="33">
        <v>4</v>
      </c>
      <c r="BO15" s="33">
        <v>7</v>
      </c>
      <c r="BP15" s="33">
        <v>6</v>
      </c>
      <c r="BQ15" s="33">
        <v>-2</v>
      </c>
      <c r="BR15" s="33">
        <v>11</v>
      </c>
      <c r="BS15" s="33">
        <v>-1</v>
      </c>
      <c r="BT15" s="33">
        <v>7</v>
      </c>
      <c r="BU15" s="33">
        <v>-1</v>
      </c>
      <c r="BV15" s="33">
        <v>3</v>
      </c>
      <c r="BW15" s="33">
        <v>-3</v>
      </c>
      <c r="BX15" s="33">
        <v>-7</v>
      </c>
      <c r="BY15" s="33">
        <v>-3</v>
      </c>
      <c r="BZ15" s="33">
        <v>-6</v>
      </c>
      <c r="CA15" s="33">
        <v>6</v>
      </c>
      <c r="CB15" s="33">
        <v>6</v>
      </c>
      <c r="CC15" s="33">
        <v>-3</v>
      </c>
      <c r="CD15" s="33">
        <v>-4</v>
      </c>
      <c r="CE15" s="33">
        <v>-5</v>
      </c>
    </row>
    <row r="16" spans="1:83" s="34" customFormat="1" x14ac:dyDescent="0.25">
      <c r="A16" s="51"/>
      <c r="B16" s="38" t="s">
        <v>467</v>
      </c>
      <c r="D16" s="33">
        <f t="shared" si="2"/>
        <v>2</v>
      </c>
      <c r="E16" s="33">
        <v>4</v>
      </c>
      <c r="F16" s="33">
        <v>6</v>
      </c>
      <c r="G16" s="33">
        <v>12</v>
      </c>
      <c r="H16" s="33">
        <v>2</v>
      </c>
      <c r="I16" s="33">
        <v>2</v>
      </c>
      <c r="J16" s="33">
        <v>10</v>
      </c>
      <c r="K16" s="33">
        <v>-1</v>
      </c>
      <c r="L16" s="33">
        <v>-4</v>
      </c>
      <c r="M16" s="33">
        <v>-2</v>
      </c>
      <c r="N16" s="33">
        <v>-2</v>
      </c>
      <c r="O16" s="33">
        <v>14</v>
      </c>
      <c r="P16" s="33">
        <v>-4</v>
      </c>
      <c r="Q16" s="33">
        <v>-9</v>
      </c>
      <c r="R16" s="33">
        <v>-14</v>
      </c>
      <c r="S16" s="33">
        <v>-3</v>
      </c>
      <c r="T16" s="33">
        <v>-2</v>
      </c>
      <c r="U16" s="33">
        <v>-3</v>
      </c>
      <c r="V16" s="33">
        <v>0</v>
      </c>
      <c r="W16" s="33">
        <v>7</v>
      </c>
      <c r="X16" s="33">
        <v>3</v>
      </c>
      <c r="Y16" s="33">
        <v>4</v>
      </c>
      <c r="Z16" s="33">
        <v>4</v>
      </c>
      <c r="AA16" s="33">
        <v>1</v>
      </c>
      <c r="AB16" s="33">
        <v>16</v>
      </c>
      <c r="AC16" s="33">
        <v>6</v>
      </c>
      <c r="AD16" s="33">
        <v>12</v>
      </c>
      <c r="AE16" s="33">
        <v>8</v>
      </c>
      <c r="AF16" s="33">
        <v>1</v>
      </c>
      <c r="AG16" s="33">
        <v>12</v>
      </c>
      <c r="AH16" s="33">
        <v>9</v>
      </c>
      <c r="AI16" s="33">
        <v>1</v>
      </c>
      <c r="AJ16" s="33">
        <v>11</v>
      </c>
      <c r="AK16" s="33">
        <v>-1</v>
      </c>
      <c r="AL16" s="33">
        <v>5</v>
      </c>
      <c r="AM16" s="33">
        <v>9</v>
      </c>
      <c r="AN16" s="33">
        <v>2</v>
      </c>
      <c r="AO16" s="33">
        <v>9</v>
      </c>
      <c r="AP16" s="33">
        <v>14</v>
      </c>
      <c r="AQ16" s="33">
        <v>18</v>
      </c>
      <c r="AR16" s="33">
        <v>13</v>
      </c>
      <c r="AS16" s="33">
        <v>14</v>
      </c>
      <c r="AT16" s="33">
        <v>15</v>
      </c>
      <c r="AU16" s="33">
        <v>16</v>
      </c>
      <c r="AV16" s="33">
        <v>12</v>
      </c>
      <c r="AW16" s="33">
        <v>6</v>
      </c>
      <c r="AX16" s="33">
        <v>-5</v>
      </c>
      <c r="AY16" s="33">
        <v>0</v>
      </c>
      <c r="AZ16" s="33">
        <v>8</v>
      </c>
      <c r="BA16" s="33">
        <v>-3</v>
      </c>
      <c r="BB16" s="33">
        <v>-7</v>
      </c>
      <c r="BC16" s="33">
        <v>-2</v>
      </c>
      <c r="BD16" s="33">
        <v>-4</v>
      </c>
      <c r="BE16" s="33">
        <v>-4</v>
      </c>
      <c r="BF16" s="33">
        <v>11</v>
      </c>
      <c r="BG16" s="33">
        <v>-3</v>
      </c>
      <c r="BH16" s="33">
        <v>-2</v>
      </c>
      <c r="BI16" s="33">
        <v>-6</v>
      </c>
      <c r="BJ16" s="33">
        <v>-4</v>
      </c>
      <c r="BK16" s="33">
        <v>-2</v>
      </c>
      <c r="BL16" s="33">
        <v>-4</v>
      </c>
      <c r="BM16" s="33">
        <v>8</v>
      </c>
      <c r="BN16" s="33">
        <v>-1</v>
      </c>
      <c r="BO16" s="33">
        <v>-5</v>
      </c>
      <c r="BP16" s="33">
        <v>8</v>
      </c>
      <c r="BQ16" s="33">
        <v>9</v>
      </c>
      <c r="BR16" s="33">
        <v>9</v>
      </c>
      <c r="BS16" s="33">
        <v>8</v>
      </c>
      <c r="BT16" s="33">
        <v>-3</v>
      </c>
      <c r="BU16" s="33">
        <v>0</v>
      </c>
      <c r="BV16" s="33">
        <v>12</v>
      </c>
      <c r="BW16" s="33">
        <v>9</v>
      </c>
      <c r="BX16" s="33">
        <v>0</v>
      </c>
      <c r="BY16" s="33">
        <v>9</v>
      </c>
      <c r="BZ16" s="33">
        <v>7</v>
      </c>
      <c r="CA16" s="33">
        <v>-4</v>
      </c>
      <c r="CB16" s="33">
        <v>-5</v>
      </c>
      <c r="CC16" s="33">
        <v>9</v>
      </c>
      <c r="CD16" s="33">
        <v>-7</v>
      </c>
      <c r="CE16" s="33">
        <v>0</v>
      </c>
    </row>
    <row r="17" spans="1:83" s="34" customFormat="1" x14ac:dyDescent="0.25">
      <c r="A17" s="51"/>
      <c r="B17" s="32" t="s">
        <v>468</v>
      </c>
      <c r="D17" s="33">
        <f t="shared" si="2"/>
        <v>-7</v>
      </c>
      <c r="E17" s="33">
        <v>7</v>
      </c>
      <c r="F17" s="33">
        <v>4</v>
      </c>
      <c r="G17" s="33">
        <v>15</v>
      </c>
      <c r="H17" s="33">
        <v>6</v>
      </c>
      <c r="I17" s="33">
        <v>9</v>
      </c>
      <c r="J17" s="33">
        <v>-3</v>
      </c>
      <c r="K17" s="33">
        <v>-4</v>
      </c>
      <c r="L17" s="33">
        <v>-1</v>
      </c>
      <c r="M17" s="33">
        <v>2</v>
      </c>
      <c r="N17" s="33">
        <v>-4</v>
      </c>
      <c r="O17" s="33">
        <v>11</v>
      </c>
      <c r="P17" s="33">
        <v>-3</v>
      </c>
      <c r="Q17" s="33">
        <v>-13</v>
      </c>
      <c r="R17" s="33">
        <v>-12</v>
      </c>
      <c r="S17" s="33">
        <v>-2</v>
      </c>
      <c r="T17" s="33">
        <v>-3</v>
      </c>
      <c r="U17" s="33">
        <v>-1</v>
      </c>
      <c r="V17" s="33">
        <v>1</v>
      </c>
      <c r="W17" s="33">
        <v>1</v>
      </c>
      <c r="X17" s="33">
        <v>-3</v>
      </c>
      <c r="Y17" s="33">
        <v>-2</v>
      </c>
      <c r="Z17" s="33">
        <v>5</v>
      </c>
      <c r="AA17" s="33">
        <v>2</v>
      </c>
      <c r="AB17" s="33">
        <v>1</v>
      </c>
      <c r="AC17" s="33">
        <v>8</v>
      </c>
      <c r="AD17" s="33">
        <v>8</v>
      </c>
      <c r="AE17" s="33">
        <v>15</v>
      </c>
      <c r="AF17" s="33">
        <v>9</v>
      </c>
      <c r="AG17" s="33">
        <v>11</v>
      </c>
      <c r="AH17" s="33">
        <v>7</v>
      </c>
      <c r="AI17" s="33">
        <v>14</v>
      </c>
      <c r="AJ17" s="33">
        <v>6</v>
      </c>
      <c r="AK17" s="33">
        <v>10</v>
      </c>
      <c r="AL17" s="33">
        <v>8</v>
      </c>
      <c r="AM17" s="33">
        <v>1</v>
      </c>
      <c r="AN17" s="33">
        <v>11</v>
      </c>
      <c r="AO17" s="33">
        <v>5</v>
      </c>
      <c r="AP17" s="33">
        <v>3</v>
      </c>
      <c r="AQ17" s="33">
        <v>16</v>
      </c>
      <c r="AR17" s="33">
        <v>7</v>
      </c>
      <c r="AS17" s="33">
        <v>1</v>
      </c>
      <c r="AT17" s="33">
        <v>14</v>
      </c>
      <c r="AU17" s="33">
        <v>9</v>
      </c>
      <c r="AV17" s="33">
        <v>10</v>
      </c>
      <c r="AW17" s="33">
        <v>-4</v>
      </c>
      <c r="AX17" s="33">
        <v>8</v>
      </c>
      <c r="AY17" s="33">
        <v>7</v>
      </c>
      <c r="AZ17" s="33">
        <v>13</v>
      </c>
      <c r="BA17" s="33">
        <v>13</v>
      </c>
      <c r="BB17" s="33">
        <v>4</v>
      </c>
      <c r="BC17" s="33">
        <v>7</v>
      </c>
      <c r="BD17" s="33">
        <v>14</v>
      </c>
      <c r="BE17" s="33">
        <v>11</v>
      </c>
      <c r="BF17" s="33">
        <v>10</v>
      </c>
      <c r="BG17" s="33">
        <v>10</v>
      </c>
      <c r="BH17" s="33">
        <v>7</v>
      </c>
      <c r="BI17" s="33">
        <v>5</v>
      </c>
      <c r="BJ17" s="33">
        <v>3</v>
      </c>
      <c r="BK17" s="33">
        <v>0</v>
      </c>
      <c r="BL17" s="33">
        <v>3</v>
      </c>
      <c r="BM17" s="33">
        <v>-6</v>
      </c>
      <c r="BN17" s="33">
        <v>11</v>
      </c>
      <c r="BO17" s="33">
        <v>8</v>
      </c>
      <c r="BP17" s="33">
        <v>-1</v>
      </c>
      <c r="BQ17" s="33">
        <v>7</v>
      </c>
      <c r="BR17" s="33">
        <v>-5</v>
      </c>
      <c r="BS17" s="33">
        <v>-2</v>
      </c>
      <c r="BT17" s="33">
        <v>0</v>
      </c>
      <c r="BU17" s="33">
        <v>0</v>
      </c>
      <c r="BV17" s="33">
        <v>-3</v>
      </c>
      <c r="BW17" s="33">
        <v>14</v>
      </c>
      <c r="BX17" s="33">
        <v>-5</v>
      </c>
      <c r="BY17" s="33">
        <v>0</v>
      </c>
      <c r="BZ17" s="33">
        <v>-8</v>
      </c>
      <c r="CA17" s="33">
        <v>10</v>
      </c>
      <c r="CB17" s="33">
        <v>7</v>
      </c>
      <c r="CC17" s="33">
        <v>-2</v>
      </c>
      <c r="CD17" s="33">
        <v>8</v>
      </c>
      <c r="CE17" s="33">
        <v>-1</v>
      </c>
    </row>
    <row r="18" spans="1:83" s="34" customFormat="1" x14ac:dyDescent="0.25">
      <c r="A18" s="51"/>
      <c r="B18" s="38" t="s">
        <v>178</v>
      </c>
      <c r="D18" s="33">
        <f t="shared" si="2"/>
        <v>12</v>
      </c>
      <c r="E18" s="33">
        <v>14</v>
      </c>
      <c r="F18" s="33">
        <v>7</v>
      </c>
      <c r="G18" s="33">
        <v>8</v>
      </c>
      <c r="H18" s="33">
        <v>11</v>
      </c>
      <c r="I18" s="33">
        <v>10</v>
      </c>
      <c r="J18" s="33">
        <v>1</v>
      </c>
      <c r="K18" s="33">
        <v>11</v>
      </c>
      <c r="L18" s="33">
        <v>2</v>
      </c>
      <c r="M18" s="33">
        <v>3</v>
      </c>
      <c r="N18" s="33">
        <v>1</v>
      </c>
      <c r="O18" s="33">
        <v>4</v>
      </c>
      <c r="P18" s="33">
        <v>-5</v>
      </c>
      <c r="Q18" s="33">
        <v>-8</v>
      </c>
      <c r="R18" s="33">
        <v>-9</v>
      </c>
      <c r="S18" s="33">
        <v>1</v>
      </c>
      <c r="T18" s="33">
        <v>-1</v>
      </c>
      <c r="U18" s="33">
        <v>1</v>
      </c>
      <c r="V18" s="33">
        <v>-1</v>
      </c>
      <c r="W18" s="33">
        <v>6</v>
      </c>
      <c r="X18" s="33">
        <v>6</v>
      </c>
      <c r="Y18" s="33">
        <v>5</v>
      </c>
      <c r="Z18" s="33">
        <v>3</v>
      </c>
      <c r="AA18" s="33">
        <v>8</v>
      </c>
      <c r="AB18" s="33">
        <v>5</v>
      </c>
      <c r="AC18" s="33">
        <v>4</v>
      </c>
      <c r="AD18" s="33">
        <v>2</v>
      </c>
      <c r="AE18" s="33">
        <v>1</v>
      </c>
      <c r="AF18" s="33">
        <v>4</v>
      </c>
      <c r="AG18" s="33">
        <v>1</v>
      </c>
      <c r="AH18" s="33">
        <v>8</v>
      </c>
      <c r="AI18" s="33">
        <v>3</v>
      </c>
      <c r="AJ18" s="33">
        <v>5</v>
      </c>
      <c r="AK18" s="33">
        <v>6</v>
      </c>
      <c r="AL18" s="33">
        <v>9</v>
      </c>
      <c r="AM18" s="33">
        <v>5</v>
      </c>
      <c r="AN18" s="33">
        <v>3</v>
      </c>
      <c r="AO18" s="33">
        <v>11</v>
      </c>
      <c r="AP18" s="33">
        <v>5</v>
      </c>
      <c r="AQ18" s="33">
        <v>9</v>
      </c>
      <c r="AR18" s="33">
        <v>5</v>
      </c>
      <c r="AS18" s="33">
        <v>2</v>
      </c>
      <c r="AT18" s="33">
        <v>6</v>
      </c>
      <c r="AU18" s="33">
        <v>6</v>
      </c>
      <c r="AV18" s="33">
        <v>5</v>
      </c>
      <c r="AW18" s="33">
        <v>2</v>
      </c>
      <c r="AX18" s="33">
        <v>1</v>
      </c>
      <c r="AY18" s="33">
        <v>10</v>
      </c>
      <c r="AZ18" s="33">
        <v>7</v>
      </c>
      <c r="BA18" s="33">
        <v>7</v>
      </c>
      <c r="BB18" s="33">
        <v>9</v>
      </c>
      <c r="BC18" s="33">
        <v>5</v>
      </c>
      <c r="BD18" s="33">
        <v>6</v>
      </c>
      <c r="BE18" s="33">
        <v>1</v>
      </c>
      <c r="BF18" s="33">
        <v>5</v>
      </c>
      <c r="BG18" s="33">
        <v>-1</v>
      </c>
      <c r="BH18" s="33">
        <v>-1</v>
      </c>
      <c r="BI18" s="33">
        <v>2</v>
      </c>
      <c r="BJ18" s="33">
        <v>8</v>
      </c>
      <c r="BK18" s="33">
        <v>8</v>
      </c>
      <c r="BL18" s="33">
        <v>11</v>
      </c>
      <c r="BM18" s="33">
        <v>-2</v>
      </c>
      <c r="BN18" s="33">
        <v>1</v>
      </c>
      <c r="BO18" s="33">
        <v>1</v>
      </c>
      <c r="BP18" s="33">
        <v>-4</v>
      </c>
      <c r="BQ18" s="33">
        <v>-1</v>
      </c>
      <c r="BR18" s="33">
        <v>-2</v>
      </c>
      <c r="BS18" s="33">
        <v>3</v>
      </c>
      <c r="BT18" s="33">
        <v>3</v>
      </c>
      <c r="BU18" s="33">
        <v>-3</v>
      </c>
      <c r="BV18" s="33">
        <v>-1</v>
      </c>
      <c r="BW18" s="33">
        <v>3</v>
      </c>
      <c r="BX18" s="33">
        <v>-6</v>
      </c>
      <c r="BY18" s="33">
        <v>-5</v>
      </c>
      <c r="BZ18" s="33">
        <v>1</v>
      </c>
      <c r="CA18" s="33">
        <v>-2</v>
      </c>
      <c r="CB18" s="33">
        <v>-1</v>
      </c>
      <c r="CC18" s="33">
        <v>6</v>
      </c>
      <c r="CD18" s="33">
        <v>-3</v>
      </c>
      <c r="CE18" s="33">
        <v>2</v>
      </c>
    </row>
    <row r="19" spans="1:83" x14ac:dyDescent="0.25">
      <c r="A19" s="51"/>
      <c r="B19" s="38" t="s">
        <v>180</v>
      </c>
      <c r="D19" s="33">
        <f t="shared" si="2"/>
        <v>23</v>
      </c>
      <c r="E19" s="33">
        <v>10</v>
      </c>
      <c r="F19" s="33">
        <v>8</v>
      </c>
      <c r="G19" s="33">
        <v>7</v>
      </c>
      <c r="H19" s="33">
        <v>4</v>
      </c>
      <c r="I19" s="33">
        <v>14</v>
      </c>
      <c r="J19" s="33">
        <v>7</v>
      </c>
      <c r="K19" s="33">
        <v>2</v>
      </c>
      <c r="L19" s="33">
        <v>1</v>
      </c>
      <c r="M19" s="33">
        <v>-3</v>
      </c>
      <c r="N19" s="33">
        <v>3</v>
      </c>
      <c r="O19" s="33">
        <v>8</v>
      </c>
      <c r="P19" s="33">
        <v>7</v>
      </c>
      <c r="Q19" s="33">
        <v>2</v>
      </c>
      <c r="R19" s="33">
        <v>2</v>
      </c>
      <c r="S19" s="33">
        <v>2</v>
      </c>
      <c r="T19" s="33">
        <v>7</v>
      </c>
      <c r="U19" s="33">
        <v>6</v>
      </c>
      <c r="V19" s="33">
        <v>7</v>
      </c>
      <c r="W19" s="33">
        <v>-1</v>
      </c>
      <c r="X19" s="33">
        <v>2</v>
      </c>
      <c r="Y19" s="33">
        <v>3</v>
      </c>
      <c r="Z19" s="33">
        <v>2</v>
      </c>
      <c r="AA19" s="33">
        <v>12</v>
      </c>
      <c r="AB19" s="33">
        <v>9</v>
      </c>
      <c r="AC19" s="33">
        <v>11</v>
      </c>
      <c r="AD19" s="33">
        <v>3</v>
      </c>
      <c r="AE19" s="33">
        <v>5</v>
      </c>
      <c r="AF19" s="33">
        <v>8</v>
      </c>
      <c r="AG19" s="33">
        <v>9</v>
      </c>
      <c r="AH19" s="33">
        <v>3</v>
      </c>
      <c r="AI19" s="33">
        <v>2</v>
      </c>
      <c r="AJ19" s="33">
        <v>10</v>
      </c>
      <c r="AK19" s="33">
        <v>5</v>
      </c>
      <c r="AL19" s="33">
        <v>12</v>
      </c>
      <c r="AM19" s="33">
        <v>4</v>
      </c>
      <c r="AN19" s="33">
        <v>7</v>
      </c>
      <c r="AO19" s="33">
        <v>12</v>
      </c>
      <c r="AP19" s="33">
        <v>1</v>
      </c>
      <c r="AQ19" s="33">
        <v>12</v>
      </c>
      <c r="AR19" s="33">
        <v>11</v>
      </c>
      <c r="AS19" s="33">
        <v>5</v>
      </c>
      <c r="AT19" s="33">
        <v>11</v>
      </c>
      <c r="AU19" s="33">
        <v>3</v>
      </c>
      <c r="AV19" s="33">
        <v>7</v>
      </c>
      <c r="AW19" s="33">
        <v>8</v>
      </c>
      <c r="AX19" s="33">
        <v>6</v>
      </c>
      <c r="AY19" s="33">
        <v>12</v>
      </c>
      <c r="AZ19" s="33">
        <v>9</v>
      </c>
      <c r="BA19" s="33">
        <v>9</v>
      </c>
      <c r="BB19" s="33">
        <v>2</v>
      </c>
      <c r="BC19" s="33">
        <v>12</v>
      </c>
      <c r="BD19" s="33">
        <v>11</v>
      </c>
      <c r="BE19" s="33">
        <v>7</v>
      </c>
      <c r="BF19" s="33">
        <v>4</v>
      </c>
      <c r="BG19" s="33">
        <v>7</v>
      </c>
      <c r="BH19" s="33">
        <v>4</v>
      </c>
      <c r="BI19" s="33">
        <v>1</v>
      </c>
      <c r="BJ19" s="33">
        <v>7</v>
      </c>
      <c r="BK19" s="33">
        <v>12</v>
      </c>
      <c r="BL19" s="33">
        <v>0</v>
      </c>
      <c r="BM19" s="33">
        <v>2</v>
      </c>
      <c r="BN19" s="33">
        <v>5</v>
      </c>
      <c r="BO19" s="33">
        <v>-8</v>
      </c>
      <c r="BP19" s="33">
        <v>4</v>
      </c>
      <c r="BQ19" s="33">
        <v>3</v>
      </c>
      <c r="BR19" s="33">
        <v>8</v>
      </c>
      <c r="BS19" s="33">
        <v>7</v>
      </c>
      <c r="BT19" s="33">
        <v>9</v>
      </c>
      <c r="BU19" s="33">
        <v>4</v>
      </c>
      <c r="BV19" s="33">
        <v>2</v>
      </c>
      <c r="BW19" s="33">
        <v>1</v>
      </c>
      <c r="BX19" s="33">
        <v>6</v>
      </c>
      <c r="BY19" s="33">
        <v>-2</v>
      </c>
      <c r="BZ19" s="33">
        <v>8</v>
      </c>
      <c r="CA19" s="33">
        <v>4</v>
      </c>
      <c r="CB19" s="33">
        <v>5</v>
      </c>
      <c r="CC19" s="33">
        <v>2</v>
      </c>
      <c r="CD19" s="33">
        <v>6</v>
      </c>
      <c r="CE19" s="33">
        <v>-3</v>
      </c>
    </row>
    <row r="20" spans="1:83" x14ac:dyDescent="0.25">
      <c r="A20" s="51"/>
      <c r="B20" s="32" t="s">
        <v>228</v>
      </c>
      <c r="D20" s="33">
        <f t="shared" si="2"/>
        <v>28</v>
      </c>
      <c r="E20" s="33">
        <v>0</v>
      </c>
      <c r="F20" s="33">
        <v>11</v>
      </c>
      <c r="G20" s="33">
        <v>16</v>
      </c>
      <c r="H20" s="33">
        <v>10</v>
      </c>
      <c r="I20" s="33">
        <v>16</v>
      </c>
      <c r="J20" s="33">
        <v>-2</v>
      </c>
      <c r="K20" s="33">
        <v>9</v>
      </c>
      <c r="L20" s="33">
        <v>12</v>
      </c>
      <c r="M20" s="33">
        <v>-5</v>
      </c>
      <c r="N20" s="33">
        <v>-1</v>
      </c>
      <c r="O20" s="33">
        <v>12</v>
      </c>
      <c r="P20" s="33">
        <v>8</v>
      </c>
      <c r="Q20" s="33">
        <v>-3</v>
      </c>
      <c r="R20" s="33">
        <v>-4</v>
      </c>
      <c r="S20" s="33">
        <v>11</v>
      </c>
      <c r="T20" s="33">
        <v>4</v>
      </c>
      <c r="U20" s="33">
        <v>2</v>
      </c>
      <c r="V20" s="33">
        <v>10</v>
      </c>
      <c r="W20" s="33">
        <v>3</v>
      </c>
      <c r="X20" s="33">
        <v>-2</v>
      </c>
      <c r="Y20" s="33">
        <v>-1</v>
      </c>
      <c r="Z20" s="33">
        <v>14</v>
      </c>
      <c r="AA20" s="33">
        <v>-1</v>
      </c>
      <c r="AB20" s="33">
        <v>11</v>
      </c>
      <c r="AC20" s="33">
        <v>13</v>
      </c>
      <c r="AD20" s="33">
        <v>13</v>
      </c>
      <c r="AE20" s="33">
        <v>-2</v>
      </c>
      <c r="AF20" s="33">
        <v>12</v>
      </c>
      <c r="AG20" s="33">
        <v>2</v>
      </c>
      <c r="AH20" s="33">
        <v>12</v>
      </c>
      <c r="AI20" s="33">
        <v>16</v>
      </c>
      <c r="AJ20" s="33">
        <v>18</v>
      </c>
      <c r="AK20" s="33">
        <v>2</v>
      </c>
      <c r="AL20" s="33">
        <v>11</v>
      </c>
      <c r="AM20" s="33">
        <v>-4</v>
      </c>
      <c r="AN20" s="33">
        <v>10</v>
      </c>
      <c r="AO20" s="33">
        <v>14</v>
      </c>
      <c r="AP20" s="33">
        <v>12</v>
      </c>
      <c r="AQ20" s="33">
        <v>2</v>
      </c>
      <c r="AR20" s="33">
        <v>12</v>
      </c>
      <c r="AS20" s="33">
        <v>13</v>
      </c>
      <c r="AT20" s="33">
        <v>3</v>
      </c>
      <c r="AU20" s="33">
        <v>-1</v>
      </c>
      <c r="AV20" s="33">
        <v>13</v>
      </c>
      <c r="AW20" s="33">
        <v>-6</v>
      </c>
      <c r="AX20" s="33">
        <v>3</v>
      </c>
      <c r="AY20" s="33">
        <v>3</v>
      </c>
      <c r="AZ20" s="33">
        <v>-3</v>
      </c>
      <c r="BA20" s="33">
        <v>12</v>
      </c>
      <c r="BB20" s="33">
        <v>-5</v>
      </c>
      <c r="BC20" s="33">
        <v>13</v>
      </c>
      <c r="BD20" s="33">
        <v>7</v>
      </c>
      <c r="BE20" s="33">
        <v>13</v>
      </c>
      <c r="BF20" s="33">
        <v>13</v>
      </c>
      <c r="BG20" s="33">
        <v>-5</v>
      </c>
      <c r="BH20" s="33">
        <v>13</v>
      </c>
      <c r="BI20" s="33">
        <v>-9</v>
      </c>
      <c r="BJ20" s="33">
        <v>-5</v>
      </c>
      <c r="BK20" s="33">
        <v>-1</v>
      </c>
      <c r="BL20" s="33">
        <v>-2</v>
      </c>
      <c r="BM20" s="33">
        <v>-3</v>
      </c>
      <c r="BN20" s="33">
        <v>13</v>
      </c>
      <c r="BO20" s="33">
        <v>-7</v>
      </c>
      <c r="BP20" s="33">
        <v>-7</v>
      </c>
      <c r="BQ20" s="33">
        <v>0</v>
      </c>
      <c r="BR20" s="33">
        <v>12</v>
      </c>
      <c r="BS20" s="33">
        <v>5</v>
      </c>
      <c r="BT20" s="33">
        <v>-2</v>
      </c>
      <c r="BU20" s="33">
        <v>-6</v>
      </c>
      <c r="BV20" s="33">
        <v>-2</v>
      </c>
      <c r="BW20" s="33">
        <v>8</v>
      </c>
      <c r="BX20" s="33">
        <v>2</v>
      </c>
      <c r="BY20" s="33">
        <v>8</v>
      </c>
      <c r="BZ20" s="33">
        <v>4</v>
      </c>
      <c r="CA20" s="33">
        <v>1</v>
      </c>
      <c r="CB20" s="33">
        <v>4</v>
      </c>
      <c r="CC20" s="33">
        <v>1</v>
      </c>
      <c r="CD20" s="33">
        <v>-1</v>
      </c>
      <c r="CE20" s="33">
        <v>8</v>
      </c>
    </row>
    <row r="21" spans="1:83" x14ac:dyDescent="0.25">
      <c r="A21" s="51"/>
      <c r="B21" s="32" t="s">
        <v>182</v>
      </c>
      <c r="D21" s="33">
        <f t="shared" si="2"/>
        <v>44</v>
      </c>
      <c r="E21" s="33">
        <v>0</v>
      </c>
      <c r="F21" s="33">
        <v>1</v>
      </c>
      <c r="G21" s="33">
        <v>2</v>
      </c>
      <c r="H21" s="33">
        <v>-3</v>
      </c>
      <c r="I21" s="33">
        <v>13</v>
      </c>
      <c r="J21" s="33">
        <v>12</v>
      </c>
      <c r="K21" s="33">
        <v>-3</v>
      </c>
      <c r="L21" s="33">
        <v>8</v>
      </c>
      <c r="M21" s="33">
        <v>11</v>
      </c>
      <c r="N21" s="33">
        <v>5</v>
      </c>
      <c r="O21" s="33">
        <v>1</v>
      </c>
      <c r="P21" s="33">
        <v>-2</v>
      </c>
      <c r="Q21" s="33">
        <v>-14</v>
      </c>
      <c r="R21" s="33">
        <v>-1</v>
      </c>
      <c r="S21" s="33">
        <v>8</v>
      </c>
      <c r="T21" s="33">
        <v>13</v>
      </c>
      <c r="U21" s="33">
        <v>8</v>
      </c>
      <c r="V21" s="33">
        <v>3</v>
      </c>
      <c r="W21" s="33">
        <v>4</v>
      </c>
      <c r="X21" s="33">
        <v>8</v>
      </c>
      <c r="Y21" s="33">
        <v>12</v>
      </c>
      <c r="Z21" s="33">
        <v>-2</v>
      </c>
      <c r="AA21" s="33">
        <v>9</v>
      </c>
      <c r="AB21" s="33">
        <v>3</v>
      </c>
      <c r="AC21" s="33">
        <v>9</v>
      </c>
      <c r="AD21" s="33">
        <v>18</v>
      </c>
      <c r="AE21" s="33">
        <v>12</v>
      </c>
      <c r="AF21" s="33">
        <v>13</v>
      </c>
      <c r="AG21" s="33">
        <v>16</v>
      </c>
      <c r="AH21" s="33">
        <v>17</v>
      </c>
      <c r="AI21" s="33">
        <v>18</v>
      </c>
      <c r="AJ21" s="33">
        <v>16</v>
      </c>
      <c r="AK21" s="33">
        <v>11</v>
      </c>
      <c r="AL21" s="33">
        <v>14</v>
      </c>
      <c r="AM21" s="33">
        <v>3</v>
      </c>
      <c r="AN21" s="33">
        <v>6</v>
      </c>
      <c r="AO21" s="33">
        <v>3</v>
      </c>
      <c r="AP21" s="33">
        <v>-2</v>
      </c>
      <c r="AQ21" s="33">
        <v>6</v>
      </c>
      <c r="AR21" s="33">
        <v>-2</v>
      </c>
      <c r="AS21" s="33">
        <v>0</v>
      </c>
      <c r="AT21" s="33">
        <v>10</v>
      </c>
      <c r="AU21" s="33">
        <v>7</v>
      </c>
      <c r="AV21" s="33">
        <v>6</v>
      </c>
      <c r="AW21" s="33">
        <v>11</v>
      </c>
      <c r="AX21" s="33">
        <v>-7</v>
      </c>
      <c r="AY21" s="33">
        <v>9</v>
      </c>
      <c r="AZ21" s="33">
        <v>-1</v>
      </c>
      <c r="BA21" s="33">
        <v>4</v>
      </c>
      <c r="BB21" s="33">
        <v>7</v>
      </c>
      <c r="BC21" s="33">
        <v>2</v>
      </c>
      <c r="BD21" s="33">
        <v>3</v>
      </c>
      <c r="BE21" s="33">
        <v>8</v>
      </c>
      <c r="BF21" s="33">
        <v>12</v>
      </c>
      <c r="BG21" s="33">
        <v>11</v>
      </c>
      <c r="BH21" s="33">
        <v>10</v>
      </c>
      <c r="BI21" s="33">
        <v>3</v>
      </c>
      <c r="BJ21" s="33">
        <v>-6</v>
      </c>
      <c r="BK21" s="33">
        <v>13</v>
      </c>
      <c r="BL21" s="33">
        <v>5</v>
      </c>
      <c r="BM21" s="33">
        <v>5</v>
      </c>
      <c r="BN21" s="33">
        <v>-5</v>
      </c>
      <c r="BO21" s="33">
        <v>-5</v>
      </c>
      <c r="BP21" s="33">
        <v>-5</v>
      </c>
      <c r="BQ21" s="33">
        <v>-6</v>
      </c>
      <c r="BR21" s="33">
        <v>-1</v>
      </c>
      <c r="BS21" s="33">
        <v>14</v>
      </c>
      <c r="BT21" s="33">
        <v>6</v>
      </c>
      <c r="BU21" s="33">
        <v>7</v>
      </c>
      <c r="BV21" s="33">
        <v>6</v>
      </c>
      <c r="BW21" s="33">
        <v>-2</v>
      </c>
      <c r="BX21" s="33">
        <v>1</v>
      </c>
      <c r="BY21" s="33">
        <v>7</v>
      </c>
      <c r="BZ21" s="33">
        <v>-7</v>
      </c>
      <c r="CA21" s="33">
        <v>3</v>
      </c>
      <c r="CB21" s="33">
        <v>8</v>
      </c>
      <c r="CC21" s="33">
        <v>5</v>
      </c>
      <c r="CD21" s="33">
        <v>-2</v>
      </c>
      <c r="CE21" s="33">
        <v>10</v>
      </c>
    </row>
    <row r="22" spans="1:83" x14ac:dyDescent="0.25">
      <c r="A22" s="51"/>
      <c r="B22" s="38" t="s">
        <v>184</v>
      </c>
      <c r="D22" s="33">
        <f t="shared" si="2"/>
        <v>72</v>
      </c>
      <c r="E22" s="33">
        <v>15</v>
      </c>
      <c r="F22" s="33">
        <v>12</v>
      </c>
      <c r="G22" s="33">
        <v>3</v>
      </c>
      <c r="H22" s="33">
        <v>9</v>
      </c>
      <c r="I22" s="33">
        <v>7</v>
      </c>
      <c r="J22" s="33">
        <v>4</v>
      </c>
      <c r="K22" s="33">
        <v>10</v>
      </c>
      <c r="L22" s="33">
        <v>6</v>
      </c>
      <c r="M22" s="33">
        <v>4</v>
      </c>
      <c r="N22" s="33">
        <v>-6</v>
      </c>
      <c r="O22" s="33">
        <v>6</v>
      </c>
      <c r="P22" s="33">
        <v>-6</v>
      </c>
      <c r="Q22" s="33">
        <v>-10</v>
      </c>
      <c r="R22" s="33">
        <v>-3</v>
      </c>
      <c r="S22" s="33">
        <v>6</v>
      </c>
      <c r="T22" s="33">
        <v>12</v>
      </c>
      <c r="U22" s="33">
        <v>11</v>
      </c>
      <c r="V22" s="33">
        <v>13</v>
      </c>
      <c r="W22" s="33">
        <v>16</v>
      </c>
      <c r="X22" s="33">
        <v>14</v>
      </c>
      <c r="Y22" s="33">
        <v>10</v>
      </c>
      <c r="Z22" s="33">
        <v>10</v>
      </c>
      <c r="AA22" s="33">
        <v>15</v>
      </c>
      <c r="AB22" s="33">
        <v>10</v>
      </c>
      <c r="AC22" s="33">
        <v>10</v>
      </c>
      <c r="AD22" s="33">
        <v>14</v>
      </c>
      <c r="AE22" s="33">
        <v>14</v>
      </c>
      <c r="AF22" s="33">
        <v>11</v>
      </c>
      <c r="AG22" s="33">
        <v>8</v>
      </c>
      <c r="AH22" s="33">
        <v>13</v>
      </c>
      <c r="AI22" s="33">
        <v>17</v>
      </c>
      <c r="AJ22" s="33">
        <v>17</v>
      </c>
      <c r="AK22" s="33">
        <v>13</v>
      </c>
      <c r="AL22" s="33">
        <v>3</v>
      </c>
      <c r="AM22" s="33">
        <v>13</v>
      </c>
      <c r="AN22" s="33">
        <v>8</v>
      </c>
      <c r="AO22" s="33">
        <v>8</v>
      </c>
      <c r="AP22" s="33">
        <v>10</v>
      </c>
      <c r="AQ22" s="33">
        <v>8</v>
      </c>
      <c r="AR22" s="33">
        <v>3</v>
      </c>
      <c r="AS22" s="33">
        <v>8</v>
      </c>
      <c r="AT22" s="33">
        <v>-1</v>
      </c>
      <c r="AU22" s="33">
        <v>13</v>
      </c>
      <c r="AV22" s="33">
        <v>2</v>
      </c>
      <c r="AW22" s="33">
        <v>4</v>
      </c>
      <c r="AX22" s="33">
        <v>-8</v>
      </c>
      <c r="AY22" s="33">
        <v>-3</v>
      </c>
      <c r="AZ22" s="33">
        <v>-2</v>
      </c>
      <c r="BA22" s="33">
        <v>8</v>
      </c>
      <c r="BB22" s="33">
        <v>3</v>
      </c>
      <c r="BC22" s="33">
        <v>9</v>
      </c>
      <c r="BD22" s="33">
        <v>9</v>
      </c>
      <c r="BE22" s="33">
        <v>2</v>
      </c>
      <c r="BF22" s="33">
        <v>2</v>
      </c>
      <c r="BG22" s="33">
        <v>6</v>
      </c>
      <c r="BH22" s="33">
        <v>11</v>
      </c>
      <c r="BI22" s="33">
        <v>6</v>
      </c>
      <c r="BJ22" s="33">
        <v>0</v>
      </c>
      <c r="BK22" s="33">
        <v>1</v>
      </c>
      <c r="BL22" s="33">
        <v>-3</v>
      </c>
      <c r="BM22" s="33">
        <v>-1</v>
      </c>
      <c r="BN22" s="33">
        <v>6</v>
      </c>
      <c r="BO22" s="33">
        <v>-2</v>
      </c>
      <c r="BP22" s="33">
        <v>5</v>
      </c>
      <c r="BQ22" s="33">
        <v>8</v>
      </c>
      <c r="BR22" s="33">
        <v>4</v>
      </c>
      <c r="BS22" s="33">
        <v>12</v>
      </c>
      <c r="BT22" s="33">
        <v>5</v>
      </c>
      <c r="BU22" s="33">
        <v>5</v>
      </c>
      <c r="BV22" s="33">
        <v>7</v>
      </c>
      <c r="BW22" s="33">
        <v>5</v>
      </c>
      <c r="BX22" s="33">
        <v>9</v>
      </c>
      <c r="BY22" s="33">
        <v>4</v>
      </c>
      <c r="BZ22" s="33">
        <v>-2</v>
      </c>
      <c r="CA22" s="33">
        <v>9</v>
      </c>
      <c r="CB22" s="33">
        <v>11</v>
      </c>
      <c r="CC22" s="33">
        <v>8</v>
      </c>
      <c r="CD22" s="33">
        <v>2</v>
      </c>
      <c r="CE22" s="33">
        <v>5</v>
      </c>
    </row>
    <row r="23" spans="1:83" x14ac:dyDescent="0.25">
      <c r="A23" s="51"/>
      <c r="B23" s="32" t="s">
        <v>186</v>
      </c>
      <c r="D23" s="33">
        <f t="shared" si="2"/>
        <v>59</v>
      </c>
      <c r="E23" s="33">
        <v>8</v>
      </c>
      <c r="F23" s="33">
        <v>10</v>
      </c>
      <c r="G23" s="33">
        <v>8</v>
      </c>
      <c r="H23" s="33">
        <v>12</v>
      </c>
      <c r="I23" s="33">
        <v>12</v>
      </c>
      <c r="J23" s="33">
        <v>13</v>
      </c>
      <c r="K23" s="33">
        <v>12</v>
      </c>
      <c r="L23" s="33">
        <v>3</v>
      </c>
      <c r="M23" s="33">
        <v>7</v>
      </c>
      <c r="N23" s="33">
        <v>8</v>
      </c>
      <c r="O23" s="33">
        <v>3</v>
      </c>
      <c r="P23" s="33">
        <v>6</v>
      </c>
      <c r="Q23" s="33">
        <v>-2</v>
      </c>
      <c r="R23" s="33">
        <v>-8</v>
      </c>
      <c r="S23" s="33">
        <v>7</v>
      </c>
      <c r="T23" s="33">
        <v>8</v>
      </c>
      <c r="U23" s="33">
        <v>13</v>
      </c>
      <c r="V23" s="33">
        <v>15</v>
      </c>
      <c r="W23" s="33">
        <v>5</v>
      </c>
      <c r="X23" s="33">
        <v>11</v>
      </c>
      <c r="Y23" s="33">
        <v>8</v>
      </c>
      <c r="Z23" s="33">
        <v>-1</v>
      </c>
      <c r="AA23" s="33">
        <v>11</v>
      </c>
      <c r="AB23" s="33">
        <v>7</v>
      </c>
      <c r="AC23" s="33">
        <v>12</v>
      </c>
      <c r="AD23" s="33">
        <v>9</v>
      </c>
      <c r="AE23" s="33">
        <v>9</v>
      </c>
      <c r="AF23" s="33">
        <v>5</v>
      </c>
      <c r="AG23" s="33">
        <v>10</v>
      </c>
      <c r="AH23" s="33">
        <v>4</v>
      </c>
      <c r="AI23" s="33">
        <v>13</v>
      </c>
      <c r="AJ23" s="33">
        <v>13</v>
      </c>
      <c r="AK23" s="33">
        <v>7</v>
      </c>
      <c r="AL23" s="33">
        <v>10</v>
      </c>
      <c r="AM23" s="33">
        <v>8</v>
      </c>
      <c r="AN23" s="33">
        <v>15</v>
      </c>
      <c r="AO23" s="33">
        <v>16</v>
      </c>
      <c r="AP23" s="33">
        <v>8</v>
      </c>
      <c r="AQ23" s="33">
        <v>13</v>
      </c>
      <c r="AR23" s="33">
        <v>6</v>
      </c>
      <c r="AS23" s="33">
        <v>12</v>
      </c>
      <c r="AT23" s="33">
        <v>7</v>
      </c>
      <c r="AU23" s="33">
        <v>10</v>
      </c>
      <c r="AV23" s="33">
        <v>3</v>
      </c>
      <c r="AW23" s="33">
        <v>9</v>
      </c>
      <c r="AX23" s="33">
        <v>9</v>
      </c>
      <c r="AY23" s="33">
        <v>8</v>
      </c>
      <c r="AZ23" s="33">
        <v>5</v>
      </c>
      <c r="BA23" s="33">
        <v>10</v>
      </c>
      <c r="BB23" s="33">
        <v>8</v>
      </c>
      <c r="BC23" s="33">
        <v>6</v>
      </c>
      <c r="BD23" s="33">
        <v>8</v>
      </c>
      <c r="BE23" s="33">
        <v>9</v>
      </c>
      <c r="BF23" s="33">
        <v>9</v>
      </c>
      <c r="BG23" s="33">
        <v>5</v>
      </c>
      <c r="BH23" s="33">
        <v>9</v>
      </c>
      <c r="BI23" s="33">
        <v>4</v>
      </c>
      <c r="BJ23" s="33">
        <v>6</v>
      </c>
      <c r="BK23" s="33">
        <v>9</v>
      </c>
      <c r="BL23" s="33">
        <v>6</v>
      </c>
      <c r="BM23" s="33">
        <v>9</v>
      </c>
      <c r="BN23" s="33">
        <v>9</v>
      </c>
      <c r="BO23" s="33">
        <v>4</v>
      </c>
      <c r="BP23" s="33">
        <v>1</v>
      </c>
      <c r="BQ23" s="33">
        <v>1</v>
      </c>
      <c r="BR23" s="33">
        <v>1</v>
      </c>
      <c r="BS23" s="33">
        <v>6</v>
      </c>
      <c r="BT23" s="33">
        <v>1</v>
      </c>
      <c r="BU23" s="33">
        <v>1</v>
      </c>
      <c r="BV23" s="33">
        <v>1</v>
      </c>
      <c r="BW23" s="33">
        <v>11</v>
      </c>
      <c r="BX23" s="33">
        <v>5</v>
      </c>
      <c r="BY23" s="33">
        <v>1</v>
      </c>
      <c r="BZ23" s="33">
        <v>6</v>
      </c>
      <c r="CA23" s="33">
        <v>8</v>
      </c>
      <c r="CB23" s="33">
        <v>2</v>
      </c>
      <c r="CC23" s="33">
        <v>4</v>
      </c>
      <c r="CD23" s="33">
        <v>1</v>
      </c>
      <c r="CE23" s="33">
        <v>6</v>
      </c>
    </row>
    <row r="24" spans="1:83" x14ac:dyDescent="0.25">
      <c r="A24" s="51"/>
      <c r="B24" s="38" t="s">
        <v>188</v>
      </c>
      <c r="D24" s="33">
        <f t="shared" si="2"/>
        <v>59</v>
      </c>
      <c r="E24" s="33">
        <v>6</v>
      </c>
      <c r="F24" s="33">
        <v>9</v>
      </c>
      <c r="G24" s="33">
        <v>1</v>
      </c>
      <c r="H24" s="33">
        <v>-2</v>
      </c>
      <c r="I24" s="33">
        <v>-1</v>
      </c>
      <c r="J24" s="33">
        <v>-1</v>
      </c>
      <c r="K24" s="33">
        <v>-2</v>
      </c>
      <c r="L24" s="33">
        <v>-3</v>
      </c>
      <c r="M24" s="33">
        <v>-4</v>
      </c>
      <c r="N24" s="33">
        <v>-5</v>
      </c>
      <c r="O24" s="33">
        <v>7</v>
      </c>
      <c r="P24" s="33">
        <v>2</v>
      </c>
      <c r="Q24" s="33">
        <v>-12</v>
      </c>
      <c r="R24" s="33">
        <v>-7</v>
      </c>
      <c r="S24" s="33">
        <v>12</v>
      </c>
      <c r="T24" s="33">
        <v>11</v>
      </c>
      <c r="U24" s="33">
        <v>10</v>
      </c>
      <c r="V24" s="33">
        <v>11</v>
      </c>
      <c r="W24" s="33">
        <v>8</v>
      </c>
      <c r="X24" s="33">
        <v>7</v>
      </c>
      <c r="Y24" s="33">
        <v>13</v>
      </c>
      <c r="Z24" s="33">
        <v>12</v>
      </c>
      <c r="AA24" s="33">
        <v>16</v>
      </c>
      <c r="AB24" s="33">
        <v>17</v>
      </c>
      <c r="AC24" s="33">
        <v>16</v>
      </c>
      <c r="AD24" s="33">
        <v>17</v>
      </c>
      <c r="AE24" s="33">
        <v>13</v>
      </c>
      <c r="AF24" s="33">
        <v>16</v>
      </c>
      <c r="AG24" s="33">
        <v>6</v>
      </c>
      <c r="AH24" s="33">
        <v>2</v>
      </c>
      <c r="AI24" s="33">
        <v>9</v>
      </c>
      <c r="AJ24" s="33">
        <v>12</v>
      </c>
      <c r="AK24" s="33">
        <v>15</v>
      </c>
      <c r="AL24" s="33">
        <v>2</v>
      </c>
      <c r="AM24" s="33">
        <v>10</v>
      </c>
      <c r="AN24" s="33">
        <v>13</v>
      </c>
      <c r="AO24" s="33">
        <v>7</v>
      </c>
      <c r="AP24" s="33">
        <v>6</v>
      </c>
      <c r="AQ24" s="33">
        <v>11</v>
      </c>
      <c r="AR24" s="33">
        <v>2</v>
      </c>
      <c r="AS24" s="33">
        <v>7</v>
      </c>
      <c r="AT24" s="33">
        <v>9</v>
      </c>
      <c r="AU24" s="33">
        <v>1</v>
      </c>
      <c r="AV24" s="33">
        <v>-2</v>
      </c>
      <c r="AW24" s="33">
        <v>-5</v>
      </c>
      <c r="AX24" s="33">
        <v>-1</v>
      </c>
      <c r="AY24" s="33">
        <v>-4</v>
      </c>
      <c r="AZ24" s="33">
        <v>-4</v>
      </c>
      <c r="BA24" s="33">
        <v>-1</v>
      </c>
      <c r="BB24" s="33">
        <v>-4</v>
      </c>
      <c r="BC24" s="33">
        <v>8</v>
      </c>
      <c r="BD24" s="33">
        <v>1</v>
      </c>
      <c r="BE24" s="33">
        <v>-3</v>
      </c>
      <c r="BF24" s="33">
        <v>-1</v>
      </c>
      <c r="BG24" s="33">
        <v>-2</v>
      </c>
      <c r="BH24" s="33">
        <v>2</v>
      </c>
      <c r="BI24" s="33">
        <v>-7</v>
      </c>
      <c r="BJ24" s="33">
        <v>-2</v>
      </c>
      <c r="BK24" s="33">
        <v>4</v>
      </c>
      <c r="BL24" s="33">
        <v>4</v>
      </c>
      <c r="BM24" s="33">
        <v>1</v>
      </c>
      <c r="BN24" s="33">
        <v>8</v>
      </c>
      <c r="BO24" s="33">
        <v>-3</v>
      </c>
      <c r="BP24" s="33">
        <v>-6</v>
      </c>
      <c r="BQ24" s="33">
        <v>-4</v>
      </c>
      <c r="BR24" s="33">
        <v>-3</v>
      </c>
      <c r="BS24" s="33">
        <v>1</v>
      </c>
      <c r="BT24" s="33">
        <v>11</v>
      </c>
      <c r="BU24" s="33">
        <v>2</v>
      </c>
      <c r="BV24" s="33">
        <v>11</v>
      </c>
      <c r="BW24" s="33">
        <v>12</v>
      </c>
      <c r="BX24" s="33">
        <v>7</v>
      </c>
      <c r="BY24" s="33">
        <v>10</v>
      </c>
      <c r="BZ24" s="33">
        <v>-1</v>
      </c>
      <c r="CA24" s="33">
        <v>5</v>
      </c>
      <c r="CB24" s="33">
        <v>10</v>
      </c>
      <c r="CC24" s="33">
        <v>11</v>
      </c>
      <c r="CD24" s="33">
        <v>4</v>
      </c>
      <c r="CE24" s="33">
        <v>9</v>
      </c>
    </row>
    <row r="25" spans="1:83" s="39" customFormat="1" x14ac:dyDescent="0.25">
      <c r="E25" s="40"/>
      <c r="F25" s="40"/>
      <c r="G25" s="40"/>
      <c r="H25" s="40"/>
      <c r="I25" s="40"/>
      <c r="J25" s="40"/>
      <c r="K25" s="40"/>
      <c r="L25" s="40"/>
      <c r="M25" s="40"/>
      <c r="N25" s="40"/>
      <c r="O25" s="40"/>
      <c r="P25" s="40"/>
      <c r="Q25" s="40"/>
      <c r="R25" s="40"/>
      <c r="S25" s="40"/>
      <c r="T25" s="40"/>
      <c r="U25" s="40"/>
      <c r="V25" s="40"/>
      <c r="W25" s="40"/>
      <c r="X25" s="40"/>
    </row>
    <row r="26" spans="1:83" x14ac:dyDescent="0.25">
      <c r="A26" s="51" t="s">
        <v>471</v>
      </c>
      <c r="B26" s="38" t="s">
        <v>166</v>
      </c>
      <c r="D26" s="33">
        <f>AVERAGE(S26:X26)</f>
        <v>13</v>
      </c>
      <c r="E26" s="33"/>
      <c r="F26" s="33"/>
      <c r="G26" s="33"/>
      <c r="H26" s="33"/>
      <c r="I26" s="33"/>
      <c r="J26" s="33"/>
      <c r="K26" s="33"/>
      <c r="L26" s="33"/>
      <c r="M26" s="33"/>
      <c r="N26" s="33"/>
      <c r="O26" s="33"/>
      <c r="P26" s="33">
        <f t="shared" ref="P26:BI31" si="3">_xlfn.RANK.AVG(P7,P$7:P$24,1)</f>
        <v>8.5</v>
      </c>
      <c r="Q26" s="33">
        <f t="shared" si="3"/>
        <v>11</v>
      </c>
      <c r="R26" s="33">
        <f t="shared" si="3"/>
        <v>9</v>
      </c>
      <c r="S26" s="33">
        <f t="shared" si="3"/>
        <v>17</v>
      </c>
      <c r="T26" s="33">
        <f t="shared" si="3"/>
        <v>5</v>
      </c>
      <c r="U26" s="33">
        <f t="shared" si="3"/>
        <v>15</v>
      </c>
      <c r="V26" s="33">
        <f t="shared" si="3"/>
        <v>11</v>
      </c>
      <c r="W26" s="33">
        <f t="shared" si="3"/>
        <v>16</v>
      </c>
      <c r="X26" s="33">
        <f t="shared" si="3"/>
        <v>14</v>
      </c>
      <c r="Y26" s="33">
        <f t="shared" si="3"/>
        <v>2</v>
      </c>
      <c r="Z26" s="33">
        <f t="shared" si="3"/>
        <v>10</v>
      </c>
      <c r="AA26" s="33">
        <f t="shared" si="3"/>
        <v>18</v>
      </c>
      <c r="AB26" s="33">
        <f t="shared" si="3"/>
        <v>12</v>
      </c>
      <c r="AC26" s="33">
        <f t="shared" si="3"/>
        <v>2</v>
      </c>
      <c r="AD26" s="33">
        <f t="shared" si="3"/>
        <v>6</v>
      </c>
      <c r="AE26" s="33">
        <f t="shared" si="3"/>
        <v>12</v>
      </c>
      <c r="AF26" s="33">
        <f t="shared" si="3"/>
        <v>16</v>
      </c>
      <c r="AG26" s="33">
        <f t="shared" si="3"/>
        <v>18</v>
      </c>
      <c r="AH26" s="33">
        <f t="shared" si="3"/>
        <v>12</v>
      </c>
      <c r="AI26" s="33">
        <f t="shared" si="3"/>
        <v>8</v>
      </c>
      <c r="AJ26" s="33">
        <f t="shared" si="3"/>
        <v>1</v>
      </c>
      <c r="AK26" s="33">
        <f t="shared" si="3"/>
        <v>18</v>
      </c>
      <c r="AL26" s="33">
        <f t="shared" si="3"/>
        <v>4</v>
      </c>
      <c r="AM26" s="33">
        <f t="shared" si="3"/>
        <v>4</v>
      </c>
      <c r="AN26" s="33">
        <f t="shared" si="3"/>
        <v>13</v>
      </c>
      <c r="AO26" s="33">
        <f t="shared" si="3"/>
        <v>14</v>
      </c>
      <c r="AP26" s="33">
        <f t="shared" si="3"/>
        <v>11</v>
      </c>
      <c r="AQ26" s="33">
        <f t="shared" si="3"/>
        <v>7</v>
      </c>
      <c r="AR26" s="33">
        <f t="shared" si="3"/>
        <v>4.5</v>
      </c>
      <c r="AS26" s="33">
        <f t="shared" si="3"/>
        <v>3.5</v>
      </c>
      <c r="AT26" s="33">
        <f t="shared" si="3"/>
        <v>1</v>
      </c>
      <c r="AU26" s="33">
        <f t="shared" si="3"/>
        <v>14</v>
      </c>
      <c r="AV26" s="33">
        <f t="shared" si="3"/>
        <v>9</v>
      </c>
      <c r="AW26" s="33">
        <f t="shared" si="3"/>
        <v>12</v>
      </c>
      <c r="AX26" s="33">
        <f t="shared" si="3"/>
        <v>12</v>
      </c>
      <c r="AY26" s="33">
        <f t="shared" si="3"/>
        <v>6</v>
      </c>
      <c r="AZ26" s="33">
        <f t="shared" si="3"/>
        <v>15</v>
      </c>
      <c r="BA26" s="33">
        <f t="shared" si="3"/>
        <v>15</v>
      </c>
      <c r="BB26" s="33">
        <f t="shared" si="3"/>
        <v>18</v>
      </c>
      <c r="BC26" s="33">
        <f t="shared" si="3"/>
        <v>18</v>
      </c>
      <c r="BD26" s="33">
        <f t="shared" ref="BD26:BD43" si="4">_xlfn.RANK.AVG(BD7,BD$7:BD$24,1)</f>
        <v>16</v>
      </c>
      <c r="BE26" s="33">
        <f t="shared" si="3"/>
        <v>17</v>
      </c>
      <c r="BF26" s="33">
        <f t="shared" si="3"/>
        <v>3</v>
      </c>
      <c r="BG26" s="33">
        <f t="shared" si="3"/>
        <v>6</v>
      </c>
      <c r="BH26" s="33">
        <f t="shared" si="3"/>
        <v>11</v>
      </c>
      <c r="BI26" s="33">
        <f t="shared" si="3"/>
        <v>17</v>
      </c>
      <c r="BJ26" s="33">
        <f t="shared" ref="BJ26:BK43" si="5">_xlfn.RANK.AVG(BJ7,BJ$7:BJ$24,1)</f>
        <v>13</v>
      </c>
      <c r="BK26" s="33">
        <f t="shared" si="5"/>
        <v>14</v>
      </c>
      <c r="BL26" s="33">
        <f t="shared" ref="BL26:BM26" si="6">_xlfn.RANK.AVG(BL7,BL$7:BL$24,1)</f>
        <v>18</v>
      </c>
      <c r="BM26" s="33">
        <f t="shared" si="6"/>
        <v>18</v>
      </c>
      <c r="BN26" s="33">
        <f t="shared" ref="BN26:BO26" si="7">_xlfn.RANK.AVG(BN7,BN$7:BN$24,1)</f>
        <v>4</v>
      </c>
      <c r="BO26" s="33">
        <f t="shared" si="7"/>
        <v>9.5</v>
      </c>
      <c r="BP26" s="33">
        <f t="shared" ref="BP26:BQ26" si="8">_xlfn.RANK.AVG(BP7,BP$7:BP$24,1)</f>
        <v>17</v>
      </c>
      <c r="BQ26" s="33">
        <f t="shared" si="8"/>
        <v>5</v>
      </c>
      <c r="BR26" s="33">
        <f t="shared" ref="BR26:BS26" si="9">_xlfn.RANK.AVG(BR7,BR$7:BR$24,1)</f>
        <v>16</v>
      </c>
      <c r="BS26" s="33">
        <f t="shared" si="9"/>
        <v>15</v>
      </c>
      <c r="BT26" s="33">
        <f t="shared" ref="BT26:BU26" si="10">_xlfn.RANK.AVG(BT7,BT$7:BT$24,1)</f>
        <v>18</v>
      </c>
      <c r="BU26" s="33">
        <f t="shared" si="10"/>
        <v>12</v>
      </c>
      <c r="BV26" s="33">
        <f t="shared" ref="BV26:BW26" si="11">_xlfn.RANK.AVG(BV7,BV$7:BV$24,1)</f>
        <v>17</v>
      </c>
      <c r="BW26" s="33">
        <f t="shared" si="11"/>
        <v>8</v>
      </c>
      <c r="BX26" s="33">
        <f t="shared" ref="BX26:BY26" si="12">_xlfn.RANK.AVG(BX7,BX$7:BX$24,1)</f>
        <v>18</v>
      </c>
      <c r="BY26" s="33">
        <f t="shared" si="12"/>
        <v>18</v>
      </c>
      <c r="BZ26" s="33">
        <f t="shared" ref="BZ26:CA26" si="13">_xlfn.RANK.AVG(BZ7,BZ$7:BZ$24,1)</f>
        <v>18</v>
      </c>
      <c r="CA26" s="33">
        <f t="shared" si="13"/>
        <v>7.5</v>
      </c>
      <c r="CB26" s="33">
        <f t="shared" ref="CB26:CC26" si="14">_xlfn.RANK.AVG(CB7,CB$7:CB$24,1)</f>
        <v>1</v>
      </c>
      <c r="CC26" s="33">
        <f t="shared" si="14"/>
        <v>1</v>
      </c>
      <c r="CD26" s="33">
        <f t="shared" ref="CD26:CE26" si="15">_xlfn.RANK.AVG(CD7,CD$7:CD$24,1)</f>
        <v>18</v>
      </c>
      <c r="CE26" s="33">
        <f t="shared" si="15"/>
        <v>18</v>
      </c>
    </row>
    <row r="27" spans="1:83" x14ac:dyDescent="0.25">
      <c r="A27" s="51"/>
      <c r="B27" s="38" t="s">
        <v>226</v>
      </c>
      <c r="D27" s="33">
        <f t="shared" ref="D27:D43" si="16">AVERAGE(S27:X27)</f>
        <v>9.8333333333333339</v>
      </c>
      <c r="E27" s="33"/>
      <c r="F27" s="33"/>
      <c r="G27" s="33"/>
      <c r="H27" s="33"/>
      <c r="I27" s="33"/>
      <c r="J27" s="33"/>
      <c r="K27" s="33"/>
      <c r="L27" s="33"/>
      <c r="M27" s="33"/>
      <c r="N27" s="33"/>
      <c r="O27" s="33"/>
      <c r="P27" s="33">
        <f t="shared" ref="P27:P43" si="17">_xlfn.RANK.AVG(P8,$P$7:$P$24,1)</f>
        <v>8.5</v>
      </c>
      <c r="Q27" s="33">
        <f t="shared" si="3"/>
        <v>2</v>
      </c>
      <c r="R27" s="33">
        <f t="shared" si="3"/>
        <v>18</v>
      </c>
      <c r="S27" s="33">
        <f t="shared" si="3"/>
        <v>18</v>
      </c>
      <c r="T27" s="33">
        <f t="shared" si="3"/>
        <v>6</v>
      </c>
      <c r="U27" s="33">
        <f t="shared" si="3"/>
        <v>6</v>
      </c>
      <c r="V27" s="33">
        <f t="shared" si="3"/>
        <v>7</v>
      </c>
      <c r="W27" s="33">
        <f t="shared" si="3"/>
        <v>14</v>
      </c>
      <c r="X27" s="33">
        <f t="shared" si="3"/>
        <v>8</v>
      </c>
      <c r="Y27" s="33">
        <f t="shared" si="3"/>
        <v>11</v>
      </c>
      <c r="Z27" s="33">
        <f t="shared" si="3"/>
        <v>11</v>
      </c>
      <c r="AA27" s="33">
        <f t="shared" si="3"/>
        <v>5</v>
      </c>
      <c r="AB27" s="33">
        <f t="shared" si="3"/>
        <v>13</v>
      </c>
      <c r="AC27" s="33">
        <f t="shared" si="3"/>
        <v>1</v>
      </c>
      <c r="AD27" s="33">
        <f t="shared" si="3"/>
        <v>4</v>
      </c>
      <c r="AE27" s="33">
        <f t="shared" si="3"/>
        <v>2</v>
      </c>
      <c r="AF27" s="33">
        <f t="shared" si="3"/>
        <v>1</v>
      </c>
      <c r="AG27" s="33">
        <f t="shared" si="3"/>
        <v>5</v>
      </c>
      <c r="AH27" s="33">
        <f t="shared" si="3"/>
        <v>1</v>
      </c>
      <c r="AI27" s="33">
        <f t="shared" si="3"/>
        <v>6</v>
      </c>
      <c r="AJ27" s="33">
        <f t="shared" si="3"/>
        <v>15</v>
      </c>
      <c r="AK27" s="33">
        <f t="shared" si="3"/>
        <v>2</v>
      </c>
      <c r="AL27" s="33">
        <f t="shared" si="3"/>
        <v>1</v>
      </c>
      <c r="AM27" s="33">
        <f t="shared" si="3"/>
        <v>3</v>
      </c>
      <c r="AN27" s="33">
        <f t="shared" si="3"/>
        <v>1</v>
      </c>
      <c r="AO27" s="33">
        <f t="shared" si="3"/>
        <v>2</v>
      </c>
      <c r="AP27" s="33">
        <f t="shared" si="3"/>
        <v>1</v>
      </c>
      <c r="AQ27" s="33">
        <f t="shared" si="3"/>
        <v>4</v>
      </c>
      <c r="AR27" s="33">
        <f t="shared" si="3"/>
        <v>1</v>
      </c>
      <c r="AS27" s="33">
        <f t="shared" si="3"/>
        <v>1</v>
      </c>
      <c r="AT27" s="33">
        <f t="shared" si="3"/>
        <v>15</v>
      </c>
      <c r="AU27" s="33">
        <f t="shared" si="3"/>
        <v>17</v>
      </c>
      <c r="AV27" s="33">
        <f t="shared" si="3"/>
        <v>16</v>
      </c>
      <c r="AW27" s="33">
        <f t="shared" si="3"/>
        <v>7</v>
      </c>
      <c r="AX27" s="33">
        <f t="shared" si="3"/>
        <v>18</v>
      </c>
      <c r="AY27" s="33">
        <f t="shared" si="3"/>
        <v>18</v>
      </c>
      <c r="AZ27" s="33">
        <f t="shared" si="3"/>
        <v>10</v>
      </c>
      <c r="BA27" s="33">
        <f t="shared" si="3"/>
        <v>2</v>
      </c>
      <c r="BB27" s="33">
        <f t="shared" si="3"/>
        <v>2</v>
      </c>
      <c r="BC27" s="33">
        <f t="shared" si="3"/>
        <v>1</v>
      </c>
      <c r="BD27" s="33">
        <f t="shared" si="4"/>
        <v>2</v>
      </c>
      <c r="BE27" s="33">
        <f t="shared" si="3"/>
        <v>1</v>
      </c>
      <c r="BF27" s="33">
        <f t="shared" si="3"/>
        <v>1</v>
      </c>
      <c r="BG27" s="33">
        <f t="shared" si="3"/>
        <v>2</v>
      </c>
      <c r="BH27" s="33">
        <f t="shared" si="3"/>
        <v>18</v>
      </c>
      <c r="BI27" s="33">
        <f t="shared" si="3"/>
        <v>18</v>
      </c>
      <c r="BJ27" s="33">
        <f t="shared" si="5"/>
        <v>17</v>
      </c>
      <c r="BK27" s="33">
        <f t="shared" si="5"/>
        <v>9</v>
      </c>
      <c r="BL27" s="33">
        <f t="shared" ref="BL27:BM27" si="18">_xlfn.RANK.AVG(BL8,BL$7:BL$24,1)</f>
        <v>16</v>
      </c>
      <c r="BM27" s="33">
        <f t="shared" si="18"/>
        <v>16</v>
      </c>
      <c r="BN27" s="33">
        <f t="shared" ref="BN27:BO27" si="19">_xlfn.RANK.AVG(BN8,BN$7:BN$24,1)</f>
        <v>2</v>
      </c>
      <c r="BO27" s="33">
        <f t="shared" si="19"/>
        <v>1</v>
      </c>
      <c r="BP27" s="33">
        <f t="shared" ref="BP27:BQ27" si="20">_xlfn.RANK.AVG(BP8,BP$7:BP$24,1)</f>
        <v>1</v>
      </c>
      <c r="BQ27" s="33">
        <f t="shared" si="20"/>
        <v>1</v>
      </c>
      <c r="BR27" s="33">
        <f t="shared" ref="BR27:BS27" si="21">_xlfn.RANK.AVG(BR8,BR$7:BR$24,1)</f>
        <v>2</v>
      </c>
      <c r="BS27" s="33">
        <f t="shared" si="21"/>
        <v>3.5</v>
      </c>
      <c r="BT27" s="33">
        <f t="shared" ref="BT27:BU27" si="22">_xlfn.RANK.AVG(BT8,BT$7:BT$24,1)</f>
        <v>14</v>
      </c>
      <c r="BU27" s="33">
        <f t="shared" si="22"/>
        <v>3</v>
      </c>
      <c r="BV27" s="33">
        <f t="shared" ref="BV27:BW27" si="23">_xlfn.RANK.AVG(BV8,BV$7:BV$24,1)</f>
        <v>18</v>
      </c>
      <c r="BW27" s="33">
        <f t="shared" si="23"/>
        <v>14</v>
      </c>
      <c r="BX27" s="33">
        <f t="shared" ref="BX27:BY27" si="24">_xlfn.RANK.AVG(BX8,BX$7:BX$24,1)</f>
        <v>12</v>
      </c>
      <c r="BY27" s="33">
        <f t="shared" si="24"/>
        <v>1</v>
      </c>
      <c r="BZ27" s="33">
        <f t="shared" ref="BZ27:CA27" si="25">_xlfn.RANK.AVG(BZ8,BZ$7:BZ$24,1)</f>
        <v>4</v>
      </c>
      <c r="CA27" s="33">
        <f t="shared" si="25"/>
        <v>1</v>
      </c>
      <c r="CB27" s="33">
        <f t="shared" ref="CB27:CC27" si="26">_xlfn.RANK.AVG(CB8,CB$7:CB$24,1)</f>
        <v>5</v>
      </c>
      <c r="CC27" s="33">
        <f t="shared" si="26"/>
        <v>5.5</v>
      </c>
      <c r="CD27" s="33">
        <f t="shared" ref="CD27:CE27" si="27">_xlfn.RANK.AVG(CD8,CD$7:CD$24,1)</f>
        <v>2</v>
      </c>
      <c r="CE27" s="33">
        <f t="shared" si="27"/>
        <v>11</v>
      </c>
    </row>
    <row r="28" spans="1:83" x14ac:dyDescent="0.25">
      <c r="A28" s="51"/>
      <c r="B28" s="38" t="s">
        <v>227</v>
      </c>
      <c r="D28" s="33">
        <f t="shared" si="16"/>
        <v>10.833333333333334</v>
      </c>
      <c r="E28" s="33"/>
      <c r="F28" s="33"/>
      <c r="G28" s="33"/>
      <c r="H28" s="33"/>
      <c r="I28" s="33"/>
      <c r="J28" s="33"/>
      <c r="K28" s="33"/>
      <c r="L28" s="33"/>
      <c r="M28" s="33"/>
      <c r="N28" s="33"/>
      <c r="O28" s="33"/>
      <c r="P28" s="33">
        <f t="shared" si="17"/>
        <v>1</v>
      </c>
      <c r="Q28" s="33">
        <f t="shared" si="3"/>
        <v>1</v>
      </c>
      <c r="R28" s="33">
        <f t="shared" si="3"/>
        <v>2</v>
      </c>
      <c r="S28" s="33">
        <f t="shared" si="3"/>
        <v>9</v>
      </c>
      <c r="T28" s="33">
        <f t="shared" si="3"/>
        <v>18</v>
      </c>
      <c r="U28" s="33">
        <f t="shared" si="3"/>
        <v>18</v>
      </c>
      <c r="V28" s="33">
        <f t="shared" si="3"/>
        <v>18</v>
      </c>
      <c r="W28" s="33">
        <f t="shared" si="3"/>
        <v>1</v>
      </c>
      <c r="X28" s="33">
        <f t="shared" si="3"/>
        <v>1</v>
      </c>
      <c r="Y28" s="33">
        <f t="shared" si="3"/>
        <v>1</v>
      </c>
      <c r="Z28" s="33">
        <f t="shared" si="3"/>
        <v>1</v>
      </c>
      <c r="AA28" s="33">
        <f t="shared" si="3"/>
        <v>14</v>
      </c>
      <c r="AB28" s="33">
        <f t="shared" si="3"/>
        <v>18</v>
      </c>
      <c r="AC28" s="33">
        <f t="shared" si="3"/>
        <v>18</v>
      </c>
      <c r="AD28" s="33">
        <f t="shared" si="3"/>
        <v>15</v>
      </c>
      <c r="AE28" s="33">
        <f t="shared" si="3"/>
        <v>18</v>
      </c>
      <c r="AF28" s="33">
        <f t="shared" si="3"/>
        <v>18</v>
      </c>
      <c r="AG28" s="33">
        <f t="shared" si="3"/>
        <v>1</v>
      </c>
      <c r="AH28" s="33">
        <f t="shared" si="3"/>
        <v>17</v>
      </c>
      <c r="AI28" s="33">
        <f t="shared" si="3"/>
        <v>15</v>
      </c>
      <c r="AJ28" s="33">
        <f t="shared" si="3"/>
        <v>7</v>
      </c>
      <c r="AK28" s="33">
        <f t="shared" si="3"/>
        <v>10</v>
      </c>
      <c r="AL28" s="33">
        <f t="shared" si="3"/>
        <v>2</v>
      </c>
      <c r="AM28" s="33">
        <f t="shared" si="3"/>
        <v>2</v>
      </c>
      <c r="AN28" s="33">
        <f t="shared" si="3"/>
        <v>17</v>
      </c>
      <c r="AO28" s="33">
        <f t="shared" si="3"/>
        <v>3</v>
      </c>
      <c r="AP28" s="33">
        <f t="shared" si="3"/>
        <v>8</v>
      </c>
      <c r="AQ28" s="33">
        <f t="shared" si="3"/>
        <v>14</v>
      </c>
      <c r="AR28" s="33">
        <f t="shared" si="3"/>
        <v>4.5</v>
      </c>
      <c r="AS28" s="33">
        <f t="shared" si="3"/>
        <v>2</v>
      </c>
      <c r="AT28" s="33">
        <f t="shared" si="3"/>
        <v>2</v>
      </c>
      <c r="AU28" s="33">
        <f t="shared" si="3"/>
        <v>16</v>
      </c>
      <c r="AV28" s="33">
        <f t="shared" si="3"/>
        <v>4.5</v>
      </c>
      <c r="AW28" s="33">
        <f t="shared" si="3"/>
        <v>14</v>
      </c>
      <c r="AX28" s="33">
        <f t="shared" si="3"/>
        <v>3</v>
      </c>
      <c r="AY28" s="33">
        <f t="shared" si="3"/>
        <v>9</v>
      </c>
      <c r="AZ28" s="33">
        <f t="shared" si="3"/>
        <v>17</v>
      </c>
      <c r="BA28" s="33">
        <f t="shared" si="3"/>
        <v>18</v>
      </c>
      <c r="BB28" s="33">
        <f t="shared" si="3"/>
        <v>13</v>
      </c>
      <c r="BC28" s="33">
        <f t="shared" si="3"/>
        <v>17</v>
      </c>
      <c r="BD28" s="33">
        <f t="shared" si="4"/>
        <v>3</v>
      </c>
      <c r="BE28" s="33">
        <f t="shared" si="3"/>
        <v>15</v>
      </c>
      <c r="BF28" s="33">
        <f t="shared" si="3"/>
        <v>2</v>
      </c>
      <c r="BG28" s="33">
        <f t="shared" si="3"/>
        <v>18</v>
      </c>
      <c r="BH28" s="33">
        <f t="shared" si="3"/>
        <v>15</v>
      </c>
      <c r="BI28" s="33">
        <f t="shared" si="3"/>
        <v>2</v>
      </c>
      <c r="BJ28" s="33">
        <f t="shared" si="5"/>
        <v>5</v>
      </c>
      <c r="BK28" s="33">
        <f t="shared" si="5"/>
        <v>1</v>
      </c>
      <c r="BL28" s="33">
        <f t="shared" ref="BL28:BM28" si="28">_xlfn.RANK.AVG(BL9,BL$7:BL$24,1)</f>
        <v>5.5</v>
      </c>
      <c r="BM28" s="33">
        <f t="shared" si="28"/>
        <v>3</v>
      </c>
      <c r="BN28" s="33">
        <f t="shared" ref="BN28:BO28" si="29">_xlfn.RANK.AVG(BN9,BN$7:BN$24,1)</f>
        <v>3</v>
      </c>
      <c r="BO28" s="33">
        <f t="shared" si="29"/>
        <v>9.5</v>
      </c>
      <c r="BP28" s="33">
        <f t="shared" ref="BP28:BQ28" si="30">_xlfn.RANK.AVG(BP9,BP$7:BP$24,1)</f>
        <v>18</v>
      </c>
      <c r="BQ28" s="33">
        <f t="shared" si="30"/>
        <v>18</v>
      </c>
      <c r="BR28" s="33">
        <f t="shared" ref="BR28:BS28" si="31">_xlfn.RANK.AVG(BR9,BR$7:BR$24,1)</f>
        <v>6</v>
      </c>
      <c r="BS28" s="33">
        <f t="shared" si="31"/>
        <v>3.5</v>
      </c>
      <c r="BT28" s="33">
        <f t="shared" ref="BT28:BU28" si="32">_xlfn.RANK.AVG(BT9,BT$7:BT$24,1)</f>
        <v>17</v>
      </c>
      <c r="BU28" s="33">
        <f t="shared" si="32"/>
        <v>17</v>
      </c>
      <c r="BV28" s="33">
        <f t="shared" ref="BV28:BW28" si="33">_xlfn.RANK.AVG(BV9,BV$7:BV$24,1)</f>
        <v>4</v>
      </c>
      <c r="BW28" s="33">
        <f t="shared" si="33"/>
        <v>4</v>
      </c>
      <c r="BX28" s="33">
        <f t="shared" ref="BX28:BY28" si="34">_xlfn.RANK.AVG(BX9,BX$7:BX$24,1)</f>
        <v>4</v>
      </c>
      <c r="BY28" s="33">
        <f t="shared" si="34"/>
        <v>13</v>
      </c>
      <c r="BZ28" s="33">
        <f t="shared" ref="BZ28:CA28" si="35">_xlfn.RANK.AVG(BZ9,BZ$7:BZ$24,1)</f>
        <v>17</v>
      </c>
      <c r="CA28" s="33">
        <f t="shared" si="35"/>
        <v>15</v>
      </c>
      <c r="CB28" s="33">
        <f t="shared" ref="CB28:CC28" si="36">_xlfn.RANK.AVG(CB9,CB$7:CB$24,1)</f>
        <v>6</v>
      </c>
      <c r="CC28" s="33">
        <f t="shared" si="36"/>
        <v>16</v>
      </c>
      <c r="CD28" s="33">
        <f t="shared" ref="CD28:CE28" si="37">_xlfn.RANK.AVG(CD9,CD$7:CD$24,1)</f>
        <v>8</v>
      </c>
      <c r="CE28" s="33">
        <f t="shared" si="37"/>
        <v>1</v>
      </c>
    </row>
    <row r="29" spans="1:83" x14ac:dyDescent="0.25">
      <c r="A29" s="51"/>
      <c r="B29" s="32" t="s">
        <v>168</v>
      </c>
      <c r="D29" s="33">
        <f t="shared" si="16"/>
        <v>12.833333333333334</v>
      </c>
      <c r="E29" s="33"/>
      <c r="F29" s="33"/>
      <c r="G29" s="33"/>
      <c r="H29" s="33"/>
      <c r="I29" s="33"/>
      <c r="J29" s="33"/>
      <c r="K29" s="33"/>
      <c r="L29" s="33"/>
      <c r="M29" s="33"/>
      <c r="N29" s="33"/>
      <c r="O29" s="33"/>
      <c r="P29" s="33">
        <f t="shared" si="17"/>
        <v>13</v>
      </c>
      <c r="Q29" s="33">
        <f t="shared" si="3"/>
        <v>6</v>
      </c>
      <c r="R29" s="33">
        <f t="shared" si="3"/>
        <v>4</v>
      </c>
      <c r="S29" s="33">
        <f t="shared" si="3"/>
        <v>13</v>
      </c>
      <c r="T29" s="33">
        <f t="shared" si="3"/>
        <v>12</v>
      </c>
      <c r="U29" s="33">
        <f t="shared" si="3"/>
        <v>12</v>
      </c>
      <c r="V29" s="33">
        <f t="shared" si="3"/>
        <v>10</v>
      </c>
      <c r="W29" s="33">
        <f t="shared" si="3"/>
        <v>17</v>
      </c>
      <c r="X29" s="33">
        <f t="shared" si="3"/>
        <v>13</v>
      </c>
      <c r="Y29" s="33">
        <f t="shared" si="3"/>
        <v>6</v>
      </c>
      <c r="Z29" s="33">
        <f t="shared" si="3"/>
        <v>17</v>
      </c>
      <c r="AA29" s="33">
        <f t="shared" si="3"/>
        <v>15</v>
      </c>
      <c r="AB29" s="33">
        <f t="shared" si="3"/>
        <v>14</v>
      </c>
      <c r="AC29" s="33">
        <f t="shared" si="3"/>
        <v>15</v>
      </c>
      <c r="AD29" s="33">
        <f t="shared" si="3"/>
        <v>16</v>
      </c>
      <c r="AE29" s="33">
        <f t="shared" si="3"/>
        <v>9</v>
      </c>
      <c r="AF29" s="33">
        <f t="shared" si="3"/>
        <v>8</v>
      </c>
      <c r="AG29" s="33">
        <f t="shared" si="3"/>
        <v>16</v>
      </c>
      <c r="AH29" s="33">
        <f t="shared" si="3"/>
        <v>11</v>
      </c>
      <c r="AI29" s="33">
        <f t="shared" si="3"/>
        <v>12</v>
      </c>
      <c r="AJ29" s="33">
        <f t="shared" si="3"/>
        <v>9</v>
      </c>
      <c r="AK29" s="33">
        <f t="shared" si="3"/>
        <v>16</v>
      </c>
      <c r="AL29" s="33">
        <f t="shared" si="3"/>
        <v>18</v>
      </c>
      <c r="AM29" s="33">
        <f t="shared" si="3"/>
        <v>18</v>
      </c>
      <c r="AN29" s="33">
        <f t="shared" si="3"/>
        <v>15</v>
      </c>
      <c r="AO29" s="33">
        <f t="shared" si="3"/>
        <v>18</v>
      </c>
      <c r="AP29" s="33">
        <f t="shared" si="3"/>
        <v>17</v>
      </c>
      <c r="AQ29" s="33">
        <f t="shared" si="3"/>
        <v>15</v>
      </c>
      <c r="AR29" s="33">
        <f t="shared" si="3"/>
        <v>14</v>
      </c>
      <c r="AS29" s="33">
        <f t="shared" si="3"/>
        <v>15</v>
      </c>
      <c r="AT29" s="33">
        <f t="shared" si="3"/>
        <v>5</v>
      </c>
      <c r="AU29" s="33">
        <f t="shared" si="3"/>
        <v>13</v>
      </c>
      <c r="AV29" s="33">
        <f t="shared" si="3"/>
        <v>14</v>
      </c>
      <c r="AW29" s="33">
        <f t="shared" si="3"/>
        <v>5</v>
      </c>
      <c r="AX29" s="33">
        <f t="shared" si="3"/>
        <v>5</v>
      </c>
      <c r="AY29" s="33">
        <f t="shared" si="3"/>
        <v>16</v>
      </c>
      <c r="AZ29" s="33">
        <f t="shared" si="3"/>
        <v>7</v>
      </c>
      <c r="BA29" s="33">
        <f t="shared" si="3"/>
        <v>7</v>
      </c>
      <c r="BB29" s="33">
        <f t="shared" si="3"/>
        <v>12</v>
      </c>
      <c r="BC29" s="33">
        <f t="shared" si="3"/>
        <v>7</v>
      </c>
      <c r="BD29" s="33">
        <f t="shared" si="4"/>
        <v>17</v>
      </c>
      <c r="BE29" s="33">
        <f t="shared" si="3"/>
        <v>9</v>
      </c>
      <c r="BF29" s="33">
        <f t="shared" si="3"/>
        <v>11</v>
      </c>
      <c r="BG29" s="33">
        <f t="shared" si="3"/>
        <v>15</v>
      </c>
      <c r="BH29" s="33">
        <f t="shared" si="3"/>
        <v>6</v>
      </c>
      <c r="BI29" s="33">
        <f t="shared" si="3"/>
        <v>8</v>
      </c>
      <c r="BJ29" s="33">
        <f t="shared" si="5"/>
        <v>12</v>
      </c>
      <c r="BK29" s="33">
        <f t="shared" si="5"/>
        <v>18</v>
      </c>
      <c r="BL29" s="33">
        <f t="shared" ref="BL29:BM29" si="38">_xlfn.RANK.AVG(BL10,BL$7:BL$24,1)</f>
        <v>14</v>
      </c>
      <c r="BM29" s="33">
        <f t="shared" si="38"/>
        <v>17</v>
      </c>
      <c r="BN29" s="33">
        <f t="shared" ref="BN29:BO29" si="39">_xlfn.RANK.AVG(BN10,BN$7:BN$24,1)</f>
        <v>12</v>
      </c>
      <c r="BO29" s="33">
        <f t="shared" si="39"/>
        <v>15</v>
      </c>
      <c r="BP29" s="33">
        <f t="shared" ref="BP29:BQ29" si="40">_xlfn.RANK.AVG(BP10,BP$7:BP$24,1)</f>
        <v>15</v>
      </c>
      <c r="BQ29" s="33">
        <f t="shared" si="40"/>
        <v>3</v>
      </c>
      <c r="BR29" s="33">
        <f t="shared" ref="BR29:BS29" si="41">_xlfn.RANK.AVG(BR10,BR$7:BR$24,1)</f>
        <v>11</v>
      </c>
      <c r="BS29" s="33">
        <f t="shared" si="41"/>
        <v>13</v>
      </c>
      <c r="BT29" s="33">
        <f t="shared" ref="BT29:BU29" si="42">_xlfn.RANK.AVG(BT10,BT$7:BT$24,1)</f>
        <v>6</v>
      </c>
      <c r="BU29" s="33">
        <f t="shared" si="42"/>
        <v>8</v>
      </c>
      <c r="BV29" s="33">
        <f t="shared" ref="BV29:BW29" si="43">_xlfn.RANK.AVG(BV10,BV$7:BV$24,1)</f>
        <v>8</v>
      </c>
      <c r="BW29" s="33">
        <f t="shared" si="43"/>
        <v>10</v>
      </c>
      <c r="BX29" s="33">
        <f t="shared" ref="BX29:BY29" si="44">_xlfn.RANK.AVG(BX10,BX$7:BX$24,1)</f>
        <v>11</v>
      </c>
      <c r="BY29" s="33">
        <f t="shared" si="44"/>
        <v>6</v>
      </c>
      <c r="BZ29" s="33">
        <f t="shared" ref="BZ29:CA29" si="45">_xlfn.RANK.AVG(BZ10,BZ$7:BZ$24,1)</f>
        <v>6</v>
      </c>
      <c r="CA29" s="33">
        <f t="shared" si="45"/>
        <v>2</v>
      </c>
      <c r="CB29" s="33">
        <f t="shared" ref="CB29:CC29" si="46">_xlfn.RANK.AVG(CB10,CB$7:CB$24,1)</f>
        <v>2</v>
      </c>
      <c r="CC29" s="33">
        <f t="shared" si="46"/>
        <v>4</v>
      </c>
      <c r="CD29" s="33">
        <f t="shared" ref="CD29:CE29" si="47">_xlfn.RANK.AVG(CD10,CD$7:CD$24,1)</f>
        <v>3</v>
      </c>
      <c r="CE29" s="33">
        <f t="shared" si="47"/>
        <v>5</v>
      </c>
    </row>
    <row r="30" spans="1:83" x14ac:dyDescent="0.25">
      <c r="A30" s="51"/>
      <c r="B30" s="38" t="s">
        <v>170</v>
      </c>
      <c r="D30" s="33">
        <f t="shared" si="16"/>
        <v>8.1666666666666661</v>
      </c>
      <c r="E30" s="33"/>
      <c r="F30" s="33"/>
      <c r="G30" s="33"/>
      <c r="H30" s="33"/>
      <c r="I30" s="33"/>
      <c r="J30" s="33"/>
      <c r="K30" s="33"/>
      <c r="L30" s="33"/>
      <c r="M30" s="33"/>
      <c r="N30" s="33"/>
      <c r="O30" s="33"/>
      <c r="P30" s="33">
        <f t="shared" si="17"/>
        <v>7</v>
      </c>
      <c r="Q30" s="33">
        <f t="shared" si="3"/>
        <v>13</v>
      </c>
      <c r="R30" s="33">
        <f t="shared" si="3"/>
        <v>5</v>
      </c>
      <c r="S30" s="33">
        <f t="shared" si="3"/>
        <v>4</v>
      </c>
      <c r="T30" s="33">
        <f t="shared" si="3"/>
        <v>13</v>
      </c>
      <c r="U30" s="33">
        <f t="shared" si="3"/>
        <v>7</v>
      </c>
      <c r="V30" s="33">
        <f t="shared" si="3"/>
        <v>8</v>
      </c>
      <c r="W30" s="33">
        <f t="shared" si="3"/>
        <v>13</v>
      </c>
      <c r="X30" s="33">
        <f t="shared" si="3"/>
        <v>4</v>
      </c>
      <c r="Y30" s="33">
        <f t="shared" si="3"/>
        <v>5</v>
      </c>
      <c r="Z30" s="33">
        <f t="shared" si="3"/>
        <v>2</v>
      </c>
      <c r="AA30" s="33">
        <f t="shared" si="3"/>
        <v>4</v>
      </c>
      <c r="AB30" s="33">
        <f t="shared" si="3"/>
        <v>2</v>
      </c>
      <c r="AC30" s="33">
        <f t="shared" si="3"/>
        <v>4</v>
      </c>
      <c r="AD30" s="33">
        <f t="shared" si="3"/>
        <v>1</v>
      </c>
      <c r="AE30" s="33">
        <f t="shared" si="3"/>
        <v>4</v>
      </c>
      <c r="AF30" s="33">
        <f t="shared" si="3"/>
        <v>4</v>
      </c>
      <c r="AG30" s="33">
        <f t="shared" si="3"/>
        <v>15</v>
      </c>
      <c r="AH30" s="33">
        <f t="shared" si="3"/>
        <v>15</v>
      </c>
      <c r="AI30" s="33">
        <f t="shared" si="3"/>
        <v>10</v>
      </c>
      <c r="AJ30" s="33">
        <f t="shared" si="3"/>
        <v>2</v>
      </c>
      <c r="AK30" s="33">
        <f t="shared" si="3"/>
        <v>3</v>
      </c>
      <c r="AL30" s="33">
        <f t="shared" si="3"/>
        <v>10</v>
      </c>
      <c r="AM30" s="33">
        <f t="shared" si="3"/>
        <v>16</v>
      </c>
      <c r="AN30" s="33">
        <f t="shared" si="3"/>
        <v>18</v>
      </c>
      <c r="AO30" s="33">
        <f t="shared" si="3"/>
        <v>11</v>
      </c>
      <c r="AP30" s="33">
        <f t="shared" si="3"/>
        <v>15</v>
      </c>
      <c r="AQ30" s="33">
        <f t="shared" si="3"/>
        <v>1</v>
      </c>
      <c r="AR30" s="33">
        <f t="shared" si="3"/>
        <v>13</v>
      </c>
      <c r="AS30" s="33">
        <f t="shared" si="3"/>
        <v>14</v>
      </c>
      <c r="AT30" s="33">
        <f t="shared" si="3"/>
        <v>16</v>
      </c>
      <c r="AU30" s="33">
        <f t="shared" si="3"/>
        <v>7</v>
      </c>
      <c r="AV30" s="33">
        <f t="shared" si="3"/>
        <v>6</v>
      </c>
      <c r="AW30" s="33">
        <f t="shared" si="3"/>
        <v>6</v>
      </c>
      <c r="AX30" s="33">
        <f t="shared" si="3"/>
        <v>13</v>
      </c>
      <c r="AY30" s="33">
        <f t="shared" si="3"/>
        <v>11</v>
      </c>
      <c r="AZ30" s="33">
        <f t="shared" si="3"/>
        <v>16</v>
      </c>
      <c r="BA30" s="33">
        <f t="shared" si="3"/>
        <v>10</v>
      </c>
      <c r="BB30" s="33">
        <f t="shared" si="3"/>
        <v>8</v>
      </c>
      <c r="BC30" s="33">
        <f t="shared" si="3"/>
        <v>14</v>
      </c>
      <c r="BD30" s="33">
        <f t="shared" si="4"/>
        <v>8</v>
      </c>
      <c r="BE30" s="33">
        <f t="shared" si="3"/>
        <v>10</v>
      </c>
      <c r="BF30" s="33">
        <f t="shared" si="3"/>
        <v>6</v>
      </c>
      <c r="BG30" s="33">
        <f t="shared" si="3"/>
        <v>10</v>
      </c>
      <c r="BH30" s="33">
        <f t="shared" si="3"/>
        <v>4</v>
      </c>
      <c r="BI30" s="33">
        <f t="shared" si="3"/>
        <v>6</v>
      </c>
      <c r="BJ30" s="33">
        <f t="shared" si="5"/>
        <v>10</v>
      </c>
      <c r="BK30" s="33">
        <f t="shared" si="5"/>
        <v>6</v>
      </c>
      <c r="BL30" s="33">
        <f t="shared" ref="BL30:BM30" si="48">_xlfn.RANK.AVG(BL11,BL$7:BL$24,1)</f>
        <v>15</v>
      </c>
      <c r="BM30" s="33">
        <f t="shared" si="48"/>
        <v>12</v>
      </c>
      <c r="BN30" s="33">
        <f t="shared" ref="BN30:BO30" si="49">_xlfn.RANK.AVG(BN11,BN$7:BN$24,1)</f>
        <v>15</v>
      </c>
      <c r="BO30" s="33">
        <f t="shared" si="49"/>
        <v>12</v>
      </c>
      <c r="BP30" s="33">
        <f t="shared" ref="BP30:BQ30" si="50">_xlfn.RANK.AVG(BP11,BP$7:BP$24,1)</f>
        <v>7</v>
      </c>
      <c r="BQ30" s="33">
        <f t="shared" si="50"/>
        <v>10</v>
      </c>
      <c r="BR30" s="33">
        <f t="shared" ref="BR30:BS30" si="51">_xlfn.RANK.AVG(BR11,BR$7:BR$24,1)</f>
        <v>8</v>
      </c>
      <c r="BS30" s="33">
        <f t="shared" si="51"/>
        <v>8</v>
      </c>
      <c r="BT30" s="33">
        <f t="shared" ref="BT30:BU30" si="52">_xlfn.RANK.AVG(BT11,BT$7:BT$24,1)</f>
        <v>3</v>
      </c>
      <c r="BU30" s="33">
        <f t="shared" si="52"/>
        <v>2</v>
      </c>
      <c r="BV30" s="33">
        <f t="shared" ref="BV30:BW30" si="53">_xlfn.RANK.AVG(BV11,BV$7:BV$24,1)</f>
        <v>12</v>
      </c>
      <c r="BW30" s="33">
        <f t="shared" si="53"/>
        <v>3</v>
      </c>
      <c r="BX30" s="33">
        <f t="shared" ref="BX30:BY30" si="54">_xlfn.RANK.AVG(BX11,BX$7:BX$24,1)</f>
        <v>5</v>
      </c>
      <c r="BY30" s="33">
        <f t="shared" si="54"/>
        <v>9</v>
      </c>
      <c r="BZ30" s="33">
        <f t="shared" ref="BZ30:CA30" si="55">_xlfn.RANK.AVG(BZ11,BZ$7:BZ$24,1)</f>
        <v>13</v>
      </c>
      <c r="CA30" s="33">
        <f t="shared" si="55"/>
        <v>6</v>
      </c>
      <c r="CB30" s="33">
        <f t="shared" ref="CB30:CC30" si="56">_xlfn.RANK.AVG(CB11,CB$7:CB$24,1)</f>
        <v>4</v>
      </c>
      <c r="CC30" s="33">
        <f t="shared" si="56"/>
        <v>13</v>
      </c>
      <c r="CD30" s="33">
        <f t="shared" ref="CD30:CE30" si="57">_xlfn.RANK.AVG(CD11,CD$7:CD$24,1)</f>
        <v>13</v>
      </c>
      <c r="CE30" s="33">
        <f t="shared" si="57"/>
        <v>8</v>
      </c>
    </row>
    <row r="31" spans="1:83" x14ac:dyDescent="0.25">
      <c r="A31" s="51"/>
      <c r="B31" s="32" t="s">
        <v>192</v>
      </c>
      <c r="D31" s="33">
        <f>AVERAGE(S31:X31)</f>
        <v>8.5</v>
      </c>
      <c r="E31" s="33"/>
      <c r="F31" s="33"/>
      <c r="G31" s="33"/>
      <c r="H31" s="33"/>
      <c r="I31" s="33"/>
      <c r="J31" s="33"/>
      <c r="K31" s="33"/>
      <c r="L31" s="33"/>
      <c r="M31" s="33"/>
      <c r="N31" s="33"/>
      <c r="O31" s="33"/>
      <c r="P31" s="33">
        <f t="shared" si="17"/>
        <v>14</v>
      </c>
      <c r="Q31" s="33">
        <f t="shared" si="3"/>
        <v>17</v>
      </c>
      <c r="R31" s="33">
        <f t="shared" si="3"/>
        <v>17</v>
      </c>
      <c r="S31" s="33">
        <f t="shared" si="3"/>
        <v>7</v>
      </c>
      <c r="T31" s="33">
        <f t="shared" si="3"/>
        <v>9</v>
      </c>
      <c r="U31" s="33">
        <f t="shared" si="3"/>
        <v>8</v>
      </c>
      <c r="V31" s="33">
        <f t="shared" si="3"/>
        <v>6</v>
      </c>
      <c r="W31" s="33">
        <f t="shared" si="3"/>
        <v>12</v>
      </c>
      <c r="X31" s="33">
        <f t="shared" si="3"/>
        <v>9</v>
      </c>
      <c r="Y31" s="33">
        <f t="shared" si="3"/>
        <v>13</v>
      </c>
      <c r="Z31" s="33">
        <f t="shared" si="3"/>
        <v>15</v>
      </c>
      <c r="AA31" s="33">
        <f t="shared" si="3"/>
        <v>8</v>
      </c>
      <c r="AB31" s="33">
        <f t="shared" si="3"/>
        <v>8</v>
      </c>
      <c r="AC31" s="33">
        <f t="shared" si="3"/>
        <v>8</v>
      </c>
      <c r="AD31" s="33">
        <f t="shared" si="3"/>
        <v>11</v>
      </c>
      <c r="AE31" s="33">
        <f t="shared" si="3"/>
        <v>5</v>
      </c>
      <c r="AF31" s="33">
        <f t="shared" si="3"/>
        <v>3</v>
      </c>
      <c r="AG31" s="33">
        <f t="shared" si="3"/>
        <v>4</v>
      </c>
      <c r="AH31" s="33">
        <f t="shared" si="3"/>
        <v>2</v>
      </c>
      <c r="AI31" s="33">
        <f t="shared" si="3"/>
        <v>4</v>
      </c>
      <c r="AJ31" s="33">
        <f t="shared" si="3"/>
        <v>4</v>
      </c>
      <c r="AK31" s="33">
        <f t="shared" si="3"/>
        <v>6</v>
      </c>
      <c r="AL31" s="33">
        <f t="shared" si="3"/>
        <v>9</v>
      </c>
      <c r="AM31" s="33">
        <f t="shared" si="3"/>
        <v>10</v>
      </c>
      <c r="AN31" s="33">
        <f t="shared" si="3"/>
        <v>5</v>
      </c>
      <c r="AO31" s="33">
        <f t="shared" si="3"/>
        <v>7</v>
      </c>
      <c r="AP31" s="33">
        <f t="shared" si="3"/>
        <v>4</v>
      </c>
      <c r="AQ31" s="33">
        <f t="shared" si="3"/>
        <v>5</v>
      </c>
      <c r="AR31" s="33">
        <f t="shared" si="3"/>
        <v>3</v>
      </c>
      <c r="AS31" s="33">
        <f t="shared" si="3"/>
        <v>8</v>
      </c>
      <c r="AT31" s="33">
        <f t="shared" ref="AT31:BI43" si="58">_xlfn.RANK.AVG(AT12,AT$7:AT$24,1)</f>
        <v>7</v>
      </c>
      <c r="AU31" s="33">
        <f t="shared" si="58"/>
        <v>6</v>
      </c>
      <c r="AV31" s="33">
        <f t="shared" si="58"/>
        <v>4.5</v>
      </c>
      <c r="AW31" s="33">
        <f t="shared" si="58"/>
        <v>8</v>
      </c>
      <c r="AX31" s="33">
        <f t="shared" si="58"/>
        <v>7</v>
      </c>
      <c r="AY31" s="33">
        <f t="shared" si="58"/>
        <v>10</v>
      </c>
      <c r="AZ31" s="33">
        <f t="shared" si="58"/>
        <v>1</v>
      </c>
      <c r="BA31" s="33">
        <f t="shared" si="58"/>
        <v>6</v>
      </c>
      <c r="BB31" s="33">
        <f t="shared" si="58"/>
        <v>7</v>
      </c>
      <c r="BC31" s="33">
        <f t="shared" si="58"/>
        <v>6</v>
      </c>
      <c r="BD31" s="33">
        <f t="shared" si="4"/>
        <v>4</v>
      </c>
      <c r="BE31" s="33">
        <f t="shared" si="58"/>
        <v>8</v>
      </c>
      <c r="BF31" s="33">
        <f t="shared" si="58"/>
        <v>12</v>
      </c>
      <c r="BG31" s="33">
        <f t="shared" si="58"/>
        <v>14</v>
      </c>
      <c r="BH31" s="33">
        <f t="shared" si="58"/>
        <v>8</v>
      </c>
      <c r="BI31" s="33">
        <f t="shared" si="58"/>
        <v>9</v>
      </c>
      <c r="BJ31" s="33">
        <f t="shared" si="5"/>
        <v>7</v>
      </c>
      <c r="BK31" s="33">
        <f t="shared" si="5"/>
        <v>10</v>
      </c>
      <c r="BL31" s="33">
        <f t="shared" ref="BL31:BM31" si="59">_xlfn.RANK.AVG(BL12,BL$7:BL$24,1)</f>
        <v>8</v>
      </c>
      <c r="BM31" s="33">
        <f t="shared" si="59"/>
        <v>10</v>
      </c>
      <c r="BN31" s="33">
        <f t="shared" ref="BN31:BO31" si="60">_xlfn.RANK.AVG(BN12,BN$7:BN$24,1)</f>
        <v>8</v>
      </c>
      <c r="BO31" s="33">
        <f t="shared" si="60"/>
        <v>13</v>
      </c>
      <c r="BP31" s="33">
        <f t="shared" ref="BP31:BQ31" si="61">_xlfn.RANK.AVG(BP12,BP$7:BP$24,1)</f>
        <v>11</v>
      </c>
      <c r="BQ31" s="33">
        <f t="shared" si="61"/>
        <v>12</v>
      </c>
      <c r="BR31" s="33">
        <f t="shared" ref="BR31:BS31" si="62">_xlfn.RANK.AVG(BR12,BR$7:BR$24,1)</f>
        <v>12</v>
      </c>
      <c r="BS31" s="33">
        <f t="shared" si="62"/>
        <v>14</v>
      </c>
      <c r="BT31" s="33">
        <f t="shared" ref="BT31:BU31" si="63">_xlfn.RANK.AVG(BT12,BT$7:BT$24,1)</f>
        <v>12</v>
      </c>
      <c r="BU31" s="33">
        <f t="shared" si="63"/>
        <v>18</v>
      </c>
      <c r="BV31" s="33">
        <f t="shared" ref="BV31:BW31" si="64">_xlfn.RANK.AVG(BV12,BV$7:BV$24,1)</f>
        <v>14</v>
      </c>
      <c r="BW31" s="33">
        <f t="shared" si="64"/>
        <v>17</v>
      </c>
      <c r="BX31" s="33">
        <f t="shared" ref="BX31:BY31" si="65">_xlfn.RANK.AVG(BX12,BX$7:BX$24,1)</f>
        <v>16</v>
      </c>
      <c r="BY31" s="33">
        <f t="shared" si="65"/>
        <v>3</v>
      </c>
      <c r="BZ31" s="33">
        <f t="shared" ref="BZ31:CA31" si="66">_xlfn.RANK.AVG(BZ12,BZ$7:BZ$24,1)</f>
        <v>5</v>
      </c>
      <c r="CA31" s="33">
        <f t="shared" si="66"/>
        <v>7.5</v>
      </c>
      <c r="CB31" s="33">
        <f t="shared" ref="CB31:CC31" si="67">_xlfn.RANK.AVG(CB12,CB$7:CB$24,1)</f>
        <v>16</v>
      </c>
      <c r="CC31" s="33">
        <f t="shared" si="67"/>
        <v>5.5</v>
      </c>
      <c r="CD31" s="33">
        <f t="shared" ref="CD31:CE31" si="68">_xlfn.RANK.AVG(CD12,CD$7:CD$24,1)</f>
        <v>11</v>
      </c>
      <c r="CE31" s="33">
        <f t="shared" si="68"/>
        <v>3</v>
      </c>
    </row>
    <row r="32" spans="1:83" x14ac:dyDescent="0.25">
      <c r="A32" s="51"/>
      <c r="B32" s="38" t="s">
        <v>172</v>
      </c>
      <c r="D32" s="33">
        <f t="shared" si="16"/>
        <v>15.5</v>
      </c>
      <c r="E32" s="33"/>
      <c r="F32" s="33"/>
      <c r="G32" s="33"/>
      <c r="H32" s="33"/>
      <c r="I32" s="33"/>
      <c r="J32" s="33"/>
      <c r="K32" s="33"/>
      <c r="L32" s="33"/>
      <c r="M32" s="33"/>
      <c r="N32" s="33"/>
      <c r="O32" s="33"/>
      <c r="P32" s="33">
        <f t="shared" si="17"/>
        <v>18</v>
      </c>
      <c r="Q32" s="33">
        <f t="shared" ref="Q32:AT40" si="69">_xlfn.RANK.AVG(Q13,Q$7:Q$24,1)</f>
        <v>16</v>
      </c>
      <c r="R32" s="33">
        <f t="shared" si="69"/>
        <v>13</v>
      </c>
      <c r="S32" s="33">
        <f t="shared" si="69"/>
        <v>14</v>
      </c>
      <c r="T32" s="33">
        <f t="shared" si="69"/>
        <v>17</v>
      </c>
      <c r="U32" s="33">
        <f t="shared" si="69"/>
        <v>17</v>
      </c>
      <c r="V32" s="33">
        <f t="shared" si="69"/>
        <v>14</v>
      </c>
      <c r="W32" s="33">
        <f t="shared" si="69"/>
        <v>15</v>
      </c>
      <c r="X32" s="33">
        <f t="shared" si="69"/>
        <v>16</v>
      </c>
      <c r="Y32" s="33">
        <f t="shared" si="69"/>
        <v>15</v>
      </c>
      <c r="Z32" s="33">
        <f t="shared" si="69"/>
        <v>13</v>
      </c>
      <c r="AA32" s="33">
        <f t="shared" si="69"/>
        <v>11</v>
      </c>
      <c r="AB32" s="33">
        <f t="shared" si="69"/>
        <v>6</v>
      </c>
      <c r="AC32" s="33">
        <f t="shared" si="69"/>
        <v>6</v>
      </c>
      <c r="AD32" s="33">
        <f t="shared" si="69"/>
        <v>5</v>
      </c>
      <c r="AE32" s="33">
        <f t="shared" si="69"/>
        <v>8</v>
      </c>
      <c r="AF32" s="33">
        <f t="shared" si="69"/>
        <v>7</v>
      </c>
      <c r="AG32" s="33">
        <f t="shared" si="69"/>
        <v>8</v>
      </c>
      <c r="AH32" s="33">
        <f t="shared" si="69"/>
        <v>6</v>
      </c>
      <c r="AI32" s="33">
        <f t="shared" si="69"/>
        <v>7</v>
      </c>
      <c r="AJ32" s="33">
        <f t="shared" si="69"/>
        <v>8</v>
      </c>
      <c r="AK32" s="33">
        <f t="shared" si="69"/>
        <v>11</v>
      </c>
      <c r="AL32" s="33">
        <f t="shared" si="69"/>
        <v>16</v>
      </c>
      <c r="AM32" s="33">
        <f t="shared" si="69"/>
        <v>11</v>
      </c>
      <c r="AN32" s="33">
        <f t="shared" si="69"/>
        <v>2</v>
      </c>
      <c r="AO32" s="33">
        <f t="shared" si="69"/>
        <v>5</v>
      </c>
      <c r="AP32" s="33">
        <f t="shared" si="69"/>
        <v>6</v>
      </c>
      <c r="AQ32" s="33">
        <f t="shared" si="69"/>
        <v>10</v>
      </c>
      <c r="AR32" s="33">
        <f t="shared" si="69"/>
        <v>9</v>
      </c>
      <c r="AS32" s="33">
        <f t="shared" si="69"/>
        <v>10</v>
      </c>
      <c r="AT32" s="33">
        <f t="shared" si="69"/>
        <v>8</v>
      </c>
      <c r="AU32" s="33">
        <f t="shared" si="58"/>
        <v>4</v>
      </c>
      <c r="AV32" s="33">
        <f t="shared" si="58"/>
        <v>13</v>
      </c>
      <c r="AW32" s="33">
        <f t="shared" si="58"/>
        <v>17</v>
      </c>
      <c r="AX32" s="33">
        <f t="shared" si="58"/>
        <v>10</v>
      </c>
      <c r="AY32" s="33">
        <f t="shared" si="58"/>
        <v>7</v>
      </c>
      <c r="AZ32" s="33">
        <f t="shared" si="58"/>
        <v>8</v>
      </c>
      <c r="BA32" s="33">
        <f t="shared" si="58"/>
        <v>9</v>
      </c>
      <c r="BB32" s="33">
        <f t="shared" si="58"/>
        <v>6</v>
      </c>
      <c r="BC32" s="33">
        <f t="shared" si="58"/>
        <v>4</v>
      </c>
      <c r="BD32" s="33">
        <f t="shared" si="4"/>
        <v>9</v>
      </c>
      <c r="BE32" s="33">
        <f t="shared" si="58"/>
        <v>4</v>
      </c>
      <c r="BF32" s="33">
        <f t="shared" si="58"/>
        <v>13</v>
      </c>
      <c r="BG32" s="33">
        <f t="shared" si="58"/>
        <v>9</v>
      </c>
      <c r="BH32" s="33">
        <f t="shared" si="58"/>
        <v>17</v>
      </c>
      <c r="BI32" s="33">
        <f t="shared" si="58"/>
        <v>16</v>
      </c>
      <c r="BJ32" s="33">
        <f t="shared" si="5"/>
        <v>18</v>
      </c>
      <c r="BK32" s="33">
        <f t="shared" si="5"/>
        <v>15</v>
      </c>
      <c r="BL32" s="33">
        <f t="shared" ref="BL32:BM32" si="70">_xlfn.RANK.AVG(BL13,BL$7:BL$24,1)</f>
        <v>7</v>
      </c>
      <c r="BM32" s="33">
        <f t="shared" si="70"/>
        <v>9</v>
      </c>
      <c r="BN32" s="33">
        <f t="shared" ref="BN32:BO32" si="71">_xlfn.RANK.AVG(BN13,BN$7:BN$24,1)</f>
        <v>17</v>
      </c>
      <c r="BO32" s="33">
        <f t="shared" si="71"/>
        <v>16</v>
      </c>
      <c r="BP32" s="33">
        <f t="shared" ref="BP32:BQ32" si="72">_xlfn.RANK.AVG(BP13,BP$7:BP$24,1)</f>
        <v>10</v>
      </c>
      <c r="BQ32" s="33">
        <f t="shared" si="72"/>
        <v>13</v>
      </c>
      <c r="BR32" s="33">
        <f t="shared" ref="BR32:BS32" si="73">_xlfn.RANK.AVG(BR13,BR$7:BR$24,1)</f>
        <v>13</v>
      </c>
      <c r="BS32" s="33">
        <f t="shared" si="73"/>
        <v>6</v>
      </c>
      <c r="BT32" s="33">
        <f t="shared" ref="BT32:BU32" si="74">_xlfn.RANK.AVG(BT13,BT$7:BT$24,1)</f>
        <v>16</v>
      </c>
      <c r="BU32" s="33">
        <f t="shared" si="74"/>
        <v>15</v>
      </c>
      <c r="BV32" s="33">
        <f t="shared" ref="BV32:BW32" si="75">_xlfn.RANK.AVG(BV13,BV$7:BV$24,1)</f>
        <v>13</v>
      </c>
      <c r="BW32" s="33">
        <f t="shared" si="75"/>
        <v>11</v>
      </c>
      <c r="BX32" s="33">
        <f t="shared" ref="BX32:BY32" si="76">_xlfn.RANK.AVG(BX13,BX$7:BX$24,1)</f>
        <v>6</v>
      </c>
      <c r="BY32" s="33">
        <f t="shared" si="76"/>
        <v>12</v>
      </c>
      <c r="BZ32" s="33">
        <f t="shared" ref="BZ32:CA32" si="77">_xlfn.RANK.AVG(BZ13,BZ$7:BZ$24,1)</f>
        <v>10</v>
      </c>
      <c r="CA32" s="33">
        <f t="shared" si="77"/>
        <v>4</v>
      </c>
      <c r="CB32" s="33">
        <f t="shared" ref="CB32:CC32" si="78">_xlfn.RANK.AVG(CB13,CB$7:CB$24,1)</f>
        <v>8</v>
      </c>
      <c r="CC32" s="33">
        <f t="shared" si="78"/>
        <v>9</v>
      </c>
      <c r="CD32" s="33">
        <f t="shared" ref="CD32:CE32" si="79">_xlfn.RANK.AVG(CD13,CD$7:CD$24,1)</f>
        <v>17</v>
      </c>
      <c r="CE32" s="33">
        <f t="shared" si="79"/>
        <v>14</v>
      </c>
    </row>
    <row r="33" spans="1:83" x14ac:dyDescent="0.25">
      <c r="A33" s="51"/>
      <c r="B33" s="32" t="s">
        <v>174</v>
      </c>
      <c r="D33" s="33">
        <f t="shared" si="16"/>
        <v>4.5</v>
      </c>
      <c r="E33" s="33"/>
      <c r="F33" s="33"/>
      <c r="G33" s="33"/>
      <c r="H33" s="33"/>
      <c r="I33" s="33"/>
      <c r="J33" s="33"/>
      <c r="K33" s="33"/>
      <c r="L33" s="33"/>
      <c r="M33" s="33"/>
      <c r="N33" s="33"/>
      <c r="O33" s="33"/>
      <c r="P33" s="33">
        <f t="shared" si="17"/>
        <v>10</v>
      </c>
      <c r="Q33" s="33">
        <f t="shared" si="69"/>
        <v>10</v>
      </c>
      <c r="R33" s="33">
        <f t="shared" si="69"/>
        <v>15</v>
      </c>
      <c r="S33" s="33">
        <f t="shared" si="69"/>
        <v>8</v>
      </c>
      <c r="T33" s="33">
        <f t="shared" si="69"/>
        <v>4</v>
      </c>
      <c r="U33" s="33">
        <f t="shared" si="69"/>
        <v>2</v>
      </c>
      <c r="V33" s="33">
        <f t="shared" si="69"/>
        <v>4</v>
      </c>
      <c r="W33" s="33">
        <f t="shared" si="69"/>
        <v>4</v>
      </c>
      <c r="X33" s="33">
        <f t="shared" si="69"/>
        <v>5</v>
      </c>
      <c r="Y33" s="33">
        <f t="shared" si="69"/>
        <v>10</v>
      </c>
      <c r="Z33" s="33">
        <f t="shared" si="69"/>
        <v>5</v>
      </c>
      <c r="AA33" s="33">
        <f t="shared" si="69"/>
        <v>6</v>
      </c>
      <c r="AB33" s="33">
        <f t="shared" si="69"/>
        <v>4</v>
      </c>
      <c r="AC33" s="33">
        <f t="shared" si="69"/>
        <v>3</v>
      </c>
      <c r="AD33" s="33">
        <f t="shared" si="69"/>
        <v>7</v>
      </c>
      <c r="AE33" s="33">
        <f t="shared" si="69"/>
        <v>6</v>
      </c>
      <c r="AF33" s="33">
        <f t="shared" si="69"/>
        <v>11</v>
      </c>
      <c r="AG33" s="33">
        <f t="shared" si="69"/>
        <v>14</v>
      </c>
      <c r="AH33" s="33">
        <f t="shared" si="69"/>
        <v>7</v>
      </c>
      <c r="AI33" s="33">
        <f t="shared" si="69"/>
        <v>11</v>
      </c>
      <c r="AJ33" s="33">
        <f t="shared" si="69"/>
        <v>3</v>
      </c>
      <c r="AK33" s="33">
        <f t="shared" si="69"/>
        <v>5</v>
      </c>
      <c r="AL33" s="33">
        <f t="shared" si="69"/>
        <v>3</v>
      </c>
      <c r="AM33" s="33">
        <f t="shared" si="69"/>
        <v>6</v>
      </c>
      <c r="AN33" s="33">
        <f t="shared" si="69"/>
        <v>10</v>
      </c>
      <c r="AO33" s="33">
        <f t="shared" si="69"/>
        <v>1</v>
      </c>
      <c r="AP33" s="33">
        <f t="shared" si="69"/>
        <v>3</v>
      </c>
      <c r="AQ33" s="33">
        <f t="shared" si="69"/>
        <v>3</v>
      </c>
      <c r="AR33" s="33">
        <f t="shared" si="69"/>
        <v>6</v>
      </c>
      <c r="AS33" s="33">
        <f t="shared" si="69"/>
        <v>13</v>
      </c>
      <c r="AT33" s="33">
        <f t="shared" si="69"/>
        <v>11</v>
      </c>
      <c r="AU33" s="33">
        <f t="shared" si="58"/>
        <v>10</v>
      </c>
      <c r="AV33" s="33">
        <f t="shared" si="58"/>
        <v>3</v>
      </c>
      <c r="AW33" s="33">
        <f t="shared" si="58"/>
        <v>4</v>
      </c>
      <c r="AX33" s="33">
        <f t="shared" si="58"/>
        <v>6</v>
      </c>
      <c r="AY33" s="33">
        <f t="shared" si="58"/>
        <v>3</v>
      </c>
      <c r="AZ33" s="33">
        <f t="shared" si="58"/>
        <v>6</v>
      </c>
      <c r="BA33" s="33">
        <f t="shared" si="58"/>
        <v>5</v>
      </c>
      <c r="BB33" s="33">
        <f t="shared" si="58"/>
        <v>5</v>
      </c>
      <c r="BC33" s="33">
        <f t="shared" si="58"/>
        <v>3</v>
      </c>
      <c r="BD33" s="33">
        <f t="shared" si="4"/>
        <v>6</v>
      </c>
      <c r="BE33" s="33">
        <f t="shared" si="58"/>
        <v>11</v>
      </c>
      <c r="BF33" s="33">
        <f t="shared" si="58"/>
        <v>8</v>
      </c>
      <c r="BG33" s="33">
        <f t="shared" si="58"/>
        <v>7</v>
      </c>
      <c r="BH33" s="33">
        <f t="shared" si="58"/>
        <v>1</v>
      </c>
      <c r="BI33" s="33">
        <f t="shared" si="58"/>
        <v>5</v>
      </c>
      <c r="BJ33" s="33">
        <f t="shared" si="5"/>
        <v>1</v>
      </c>
      <c r="BK33" s="33">
        <f t="shared" si="5"/>
        <v>7</v>
      </c>
      <c r="BL33" s="33">
        <f t="shared" ref="BL33:BM33" si="80">_xlfn.RANK.AVG(BL14,BL$7:BL$24,1)</f>
        <v>4</v>
      </c>
      <c r="BM33" s="33">
        <f t="shared" si="80"/>
        <v>2</v>
      </c>
      <c r="BN33" s="33">
        <f t="shared" ref="BN33:BO33" si="81">_xlfn.RANK.AVG(BN14,BN$7:BN$24,1)</f>
        <v>7</v>
      </c>
      <c r="BO33" s="33">
        <f t="shared" si="81"/>
        <v>8</v>
      </c>
      <c r="BP33" s="33">
        <f t="shared" ref="BP33:BQ33" si="82">_xlfn.RANK.AVG(BP14,BP$7:BP$24,1)</f>
        <v>6</v>
      </c>
      <c r="BQ33" s="33">
        <f t="shared" si="82"/>
        <v>14</v>
      </c>
      <c r="BR33" s="33">
        <f t="shared" ref="BR33:BS33" si="83">_xlfn.RANK.AVG(BR14,BR$7:BR$24,1)</f>
        <v>9</v>
      </c>
      <c r="BS33" s="33">
        <f t="shared" si="83"/>
        <v>17</v>
      </c>
      <c r="BT33" s="33">
        <f t="shared" ref="BT33:BU33" si="84">_xlfn.RANK.AVG(BT14,BT$7:BT$24,1)</f>
        <v>8</v>
      </c>
      <c r="BU33" s="33">
        <f t="shared" si="84"/>
        <v>5</v>
      </c>
      <c r="BV33" s="33">
        <f t="shared" ref="BV33:BW33" si="85">_xlfn.RANK.AVG(BV14,BV$7:BV$24,1)</f>
        <v>9</v>
      </c>
      <c r="BW33" s="33">
        <f t="shared" si="85"/>
        <v>6</v>
      </c>
      <c r="BX33" s="33">
        <f t="shared" ref="BX33:BY33" si="86">_xlfn.RANK.AVG(BX14,BX$7:BX$24,1)</f>
        <v>7</v>
      </c>
      <c r="BY33" s="33">
        <f t="shared" si="86"/>
        <v>10</v>
      </c>
      <c r="BZ33" s="33">
        <f t="shared" ref="BZ33:CA33" si="87">_xlfn.RANK.AVG(BZ14,BZ$7:BZ$24,1)</f>
        <v>11</v>
      </c>
      <c r="CA33" s="33">
        <f t="shared" si="87"/>
        <v>10</v>
      </c>
      <c r="CB33" s="33">
        <f t="shared" ref="CB33:CC33" si="88">_xlfn.RANK.AVG(CB14,CB$7:CB$24,1)</f>
        <v>10</v>
      </c>
      <c r="CC33" s="33">
        <f t="shared" si="88"/>
        <v>18</v>
      </c>
      <c r="CD33" s="33">
        <f t="shared" ref="CD33:CE33" si="89">_xlfn.RANK.AVG(CD14,CD$7:CD$24,1)</f>
        <v>15</v>
      </c>
      <c r="CE33" s="33">
        <f t="shared" si="89"/>
        <v>10</v>
      </c>
    </row>
    <row r="34" spans="1:83" x14ac:dyDescent="0.25">
      <c r="A34" s="51"/>
      <c r="B34" s="38" t="s">
        <v>176</v>
      </c>
      <c r="D34" s="33">
        <f t="shared" si="16"/>
        <v>10.833333333333334</v>
      </c>
      <c r="E34" s="33"/>
      <c r="F34" s="33"/>
      <c r="G34" s="33"/>
      <c r="H34" s="33"/>
      <c r="I34" s="33"/>
      <c r="J34" s="33"/>
      <c r="K34" s="33"/>
      <c r="L34" s="33"/>
      <c r="M34" s="33"/>
      <c r="N34" s="33"/>
      <c r="O34" s="33"/>
      <c r="P34" s="33">
        <f t="shared" si="17"/>
        <v>12</v>
      </c>
      <c r="Q34" s="33">
        <f t="shared" si="69"/>
        <v>12</v>
      </c>
      <c r="R34" s="33">
        <f t="shared" si="69"/>
        <v>10</v>
      </c>
      <c r="S34" s="33">
        <f t="shared" si="69"/>
        <v>3</v>
      </c>
      <c r="T34" s="33">
        <f t="shared" si="69"/>
        <v>8</v>
      </c>
      <c r="U34" s="33">
        <f t="shared" si="69"/>
        <v>10</v>
      </c>
      <c r="V34" s="33">
        <f t="shared" si="69"/>
        <v>16</v>
      </c>
      <c r="W34" s="33">
        <f t="shared" si="69"/>
        <v>11</v>
      </c>
      <c r="X34" s="33">
        <f t="shared" si="69"/>
        <v>17</v>
      </c>
      <c r="Y34" s="33">
        <f t="shared" si="69"/>
        <v>18</v>
      </c>
      <c r="Z34" s="33">
        <f t="shared" si="69"/>
        <v>12</v>
      </c>
      <c r="AA34" s="33">
        <f t="shared" si="69"/>
        <v>7</v>
      </c>
      <c r="AB34" s="33">
        <f t="shared" si="69"/>
        <v>15</v>
      </c>
      <c r="AC34" s="33">
        <f t="shared" si="69"/>
        <v>16</v>
      </c>
      <c r="AD34" s="33">
        <f t="shared" si="69"/>
        <v>10</v>
      </c>
      <c r="AE34" s="33">
        <f t="shared" si="69"/>
        <v>13</v>
      </c>
      <c r="AF34" s="33">
        <f t="shared" si="69"/>
        <v>15</v>
      </c>
      <c r="AG34" s="33">
        <f t="shared" si="69"/>
        <v>6</v>
      </c>
      <c r="AH34" s="33">
        <f t="shared" si="69"/>
        <v>16</v>
      </c>
      <c r="AI34" s="33">
        <f t="shared" si="69"/>
        <v>5</v>
      </c>
      <c r="AJ34" s="33">
        <f t="shared" si="69"/>
        <v>14</v>
      </c>
      <c r="AK34" s="33">
        <f t="shared" si="69"/>
        <v>14</v>
      </c>
      <c r="AL34" s="33">
        <f t="shared" si="69"/>
        <v>7</v>
      </c>
      <c r="AM34" s="33">
        <f t="shared" si="69"/>
        <v>15</v>
      </c>
      <c r="AN34" s="33">
        <f t="shared" si="69"/>
        <v>6</v>
      </c>
      <c r="AO34" s="33">
        <f t="shared" si="69"/>
        <v>16</v>
      </c>
      <c r="AP34" s="33">
        <f t="shared" si="69"/>
        <v>13</v>
      </c>
      <c r="AQ34" s="33">
        <f t="shared" si="69"/>
        <v>17</v>
      </c>
      <c r="AR34" s="33">
        <f t="shared" si="69"/>
        <v>15</v>
      </c>
      <c r="AS34" s="33">
        <f t="shared" si="69"/>
        <v>7</v>
      </c>
      <c r="AT34" s="33">
        <f t="shared" si="69"/>
        <v>4</v>
      </c>
      <c r="AU34" s="33">
        <f t="shared" si="58"/>
        <v>1</v>
      </c>
      <c r="AV34" s="33">
        <f t="shared" si="58"/>
        <v>1</v>
      </c>
      <c r="AW34" s="33">
        <f t="shared" si="58"/>
        <v>10</v>
      </c>
      <c r="AX34" s="33">
        <f t="shared" si="58"/>
        <v>15</v>
      </c>
      <c r="AY34" s="33">
        <f t="shared" si="58"/>
        <v>4</v>
      </c>
      <c r="AZ34" s="33">
        <f t="shared" si="58"/>
        <v>11.5</v>
      </c>
      <c r="BA34" s="33">
        <f t="shared" si="58"/>
        <v>4</v>
      </c>
      <c r="BB34" s="33">
        <f t="shared" si="58"/>
        <v>17</v>
      </c>
      <c r="BC34" s="33">
        <f t="shared" si="58"/>
        <v>13</v>
      </c>
      <c r="BD34" s="33">
        <f t="shared" si="4"/>
        <v>14</v>
      </c>
      <c r="BE34" s="33">
        <f t="shared" si="58"/>
        <v>5</v>
      </c>
      <c r="BF34" s="33">
        <f t="shared" si="58"/>
        <v>4</v>
      </c>
      <c r="BG34" s="33">
        <f t="shared" si="58"/>
        <v>8</v>
      </c>
      <c r="BH34" s="33">
        <f t="shared" si="58"/>
        <v>9</v>
      </c>
      <c r="BI34" s="33">
        <f t="shared" si="58"/>
        <v>7</v>
      </c>
      <c r="BJ34" s="33">
        <f t="shared" si="5"/>
        <v>9</v>
      </c>
      <c r="BK34" s="33">
        <f t="shared" si="5"/>
        <v>11</v>
      </c>
      <c r="BL34" s="33">
        <f t="shared" ref="BL34:BM34" si="90">_xlfn.RANK.AVG(BL15,BL$7:BL$24,1)</f>
        <v>13</v>
      </c>
      <c r="BM34" s="33">
        <f t="shared" si="90"/>
        <v>13</v>
      </c>
      <c r="BN34" s="33">
        <f t="shared" ref="BN34:BO34" si="91">_xlfn.RANK.AVG(BN15,BN$7:BN$24,1)</f>
        <v>9</v>
      </c>
      <c r="BO34" s="33">
        <f t="shared" si="91"/>
        <v>17</v>
      </c>
      <c r="BP34" s="33">
        <f t="shared" ref="BP34:BQ34" si="92">_xlfn.RANK.AVG(BP15,BP$7:BP$24,1)</f>
        <v>14</v>
      </c>
      <c r="BQ34" s="33">
        <f t="shared" si="92"/>
        <v>6</v>
      </c>
      <c r="BR34" s="33">
        <f t="shared" ref="BR34:BS34" si="93">_xlfn.RANK.AVG(BR15,BR$7:BR$24,1)</f>
        <v>17</v>
      </c>
      <c r="BS34" s="33">
        <f t="shared" si="93"/>
        <v>2</v>
      </c>
      <c r="BT34" s="33">
        <f t="shared" ref="BT34:BU34" si="94">_xlfn.RANK.AVG(BT15,BT$7:BT$24,1)</f>
        <v>11</v>
      </c>
      <c r="BU34" s="33">
        <f t="shared" si="94"/>
        <v>6</v>
      </c>
      <c r="BV34" s="33">
        <f t="shared" ref="BV34:BW34" si="95">_xlfn.RANK.AVG(BV15,BV$7:BV$24,1)</f>
        <v>7</v>
      </c>
      <c r="BW34" s="33">
        <f t="shared" si="95"/>
        <v>1</v>
      </c>
      <c r="BX34" s="33">
        <f t="shared" ref="BX34:BY34" si="96">_xlfn.RANK.AVG(BX15,BX$7:BX$24,1)</f>
        <v>1</v>
      </c>
      <c r="BY34" s="33">
        <f t="shared" si="96"/>
        <v>4</v>
      </c>
      <c r="BZ34" s="33">
        <f t="shared" ref="BZ34:CA34" si="97">_xlfn.RANK.AVG(BZ15,BZ$7:BZ$24,1)</f>
        <v>3</v>
      </c>
      <c r="CA34" s="33">
        <f t="shared" si="97"/>
        <v>14</v>
      </c>
      <c r="CB34" s="33">
        <f t="shared" ref="CB34:CC34" si="98">_xlfn.RANK.AVG(CB15,CB$7:CB$24,1)</f>
        <v>13</v>
      </c>
      <c r="CC34" s="33">
        <f t="shared" si="98"/>
        <v>2</v>
      </c>
      <c r="CD34" s="33">
        <f t="shared" ref="CD34:CE34" si="99">_xlfn.RANK.AVG(CD15,CD$7:CD$24,1)</f>
        <v>4</v>
      </c>
      <c r="CE34" s="33">
        <f t="shared" si="99"/>
        <v>2</v>
      </c>
    </row>
    <row r="35" spans="1:83" x14ac:dyDescent="0.25">
      <c r="A35" s="51"/>
      <c r="B35" s="38" t="s">
        <v>467</v>
      </c>
      <c r="D35" s="33">
        <f t="shared" si="16"/>
        <v>3.6666666666666665</v>
      </c>
      <c r="E35" s="33"/>
      <c r="F35" s="33"/>
      <c r="G35" s="33"/>
      <c r="H35" s="33"/>
      <c r="I35" s="33"/>
      <c r="J35" s="33"/>
      <c r="K35" s="33"/>
      <c r="L35" s="33"/>
      <c r="M35" s="33"/>
      <c r="N35" s="33"/>
      <c r="O35" s="33"/>
      <c r="P35" s="33">
        <f t="shared" si="17"/>
        <v>4</v>
      </c>
      <c r="Q35" s="33">
        <f t="shared" si="69"/>
        <v>8</v>
      </c>
      <c r="R35" s="33">
        <f t="shared" si="69"/>
        <v>1</v>
      </c>
      <c r="S35" s="33">
        <f t="shared" si="69"/>
        <v>1</v>
      </c>
      <c r="T35" s="33">
        <f t="shared" si="69"/>
        <v>2</v>
      </c>
      <c r="U35" s="33">
        <f t="shared" si="69"/>
        <v>1</v>
      </c>
      <c r="V35" s="33">
        <f t="shared" si="69"/>
        <v>2</v>
      </c>
      <c r="W35" s="33">
        <f t="shared" si="69"/>
        <v>9</v>
      </c>
      <c r="X35" s="33">
        <f t="shared" si="69"/>
        <v>7</v>
      </c>
      <c r="Y35" s="33">
        <f t="shared" si="69"/>
        <v>8</v>
      </c>
      <c r="Z35" s="33">
        <f t="shared" si="69"/>
        <v>8</v>
      </c>
      <c r="AA35" s="33">
        <f t="shared" si="69"/>
        <v>2</v>
      </c>
      <c r="AB35" s="33">
        <f t="shared" si="69"/>
        <v>16</v>
      </c>
      <c r="AC35" s="33">
        <f t="shared" si="69"/>
        <v>7</v>
      </c>
      <c r="AD35" s="33">
        <f t="shared" si="69"/>
        <v>12</v>
      </c>
      <c r="AE35" s="33">
        <f t="shared" si="69"/>
        <v>10</v>
      </c>
      <c r="AF35" s="33">
        <f t="shared" si="69"/>
        <v>2</v>
      </c>
      <c r="AG35" s="33">
        <f t="shared" si="69"/>
        <v>13</v>
      </c>
      <c r="AH35" s="33">
        <f t="shared" si="69"/>
        <v>10</v>
      </c>
      <c r="AI35" s="33">
        <f t="shared" si="69"/>
        <v>1</v>
      </c>
      <c r="AJ35" s="33">
        <f t="shared" si="69"/>
        <v>11</v>
      </c>
      <c r="AK35" s="33">
        <f t="shared" si="69"/>
        <v>1</v>
      </c>
      <c r="AL35" s="33">
        <f t="shared" si="69"/>
        <v>8</v>
      </c>
      <c r="AM35" s="33">
        <f t="shared" si="69"/>
        <v>13</v>
      </c>
      <c r="AN35" s="33">
        <f t="shared" si="69"/>
        <v>3</v>
      </c>
      <c r="AO35" s="33">
        <f t="shared" si="69"/>
        <v>10</v>
      </c>
      <c r="AP35" s="33">
        <f t="shared" si="69"/>
        <v>18</v>
      </c>
      <c r="AQ35" s="33">
        <f t="shared" si="69"/>
        <v>18</v>
      </c>
      <c r="AR35" s="33">
        <f t="shared" si="69"/>
        <v>18</v>
      </c>
      <c r="AS35" s="33">
        <f t="shared" si="69"/>
        <v>18</v>
      </c>
      <c r="AT35" s="33">
        <f t="shared" si="69"/>
        <v>18</v>
      </c>
      <c r="AU35" s="33">
        <f t="shared" si="58"/>
        <v>18</v>
      </c>
      <c r="AV35" s="33">
        <f t="shared" si="58"/>
        <v>17</v>
      </c>
      <c r="AW35" s="33">
        <f t="shared" si="58"/>
        <v>13</v>
      </c>
      <c r="AX35" s="33">
        <f t="shared" si="58"/>
        <v>4</v>
      </c>
      <c r="AY35" s="33">
        <f t="shared" si="58"/>
        <v>5</v>
      </c>
      <c r="AZ35" s="33">
        <f t="shared" si="58"/>
        <v>13</v>
      </c>
      <c r="BA35" s="33">
        <f t="shared" si="58"/>
        <v>1</v>
      </c>
      <c r="BB35" s="33">
        <f t="shared" si="58"/>
        <v>1</v>
      </c>
      <c r="BC35" s="33">
        <f t="shared" si="58"/>
        <v>2</v>
      </c>
      <c r="BD35" s="33">
        <f t="shared" si="4"/>
        <v>1</v>
      </c>
      <c r="BE35" s="33">
        <f t="shared" si="58"/>
        <v>2</v>
      </c>
      <c r="BF35" s="33">
        <f t="shared" si="58"/>
        <v>16</v>
      </c>
      <c r="BG35" s="33">
        <f t="shared" si="58"/>
        <v>3</v>
      </c>
      <c r="BH35" s="33">
        <f t="shared" si="58"/>
        <v>2</v>
      </c>
      <c r="BI35" s="33">
        <f t="shared" si="58"/>
        <v>4</v>
      </c>
      <c r="BJ35" s="33">
        <f t="shared" si="5"/>
        <v>4</v>
      </c>
      <c r="BK35" s="33">
        <f t="shared" si="5"/>
        <v>2</v>
      </c>
      <c r="BL35" s="33">
        <f t="shared" ref="BL35:BM35" si="100">_xlfn.RANK.AVG(BL16,BL$7:BL$24,1)</f>
        <v>1</v>
      </c>
      <c r="BM35" s="33">
        <f t="shared" si="100"/>
        <v>14</v>
      </c>
      <c r="BN35" s="33">
        <f t="shared" ref="BN35:BO35" si="101">_xlfn.RANK.AVG(BN16,BN$7:BN$24,1)</f>
        <v>5</v>
      </c>
      <c r="BO35" s="33">
        <f t="shared" si="101"/>
        <v>4.5</v>
      </c>
      <c r="BP35" s="33">
        <f t="shared" ref="BP35:BQ35" si="102">_xlfn.RANK.AVG(BP16,BP$7:BP$24,1)</f>
        <v>16</v>
      </c>
      <c r="BQ35" s="33">
        <f t="shared" si="102"/>
        <v>17</v>
      </c>
      <c r="BR35" s="33">
        <f t="shared" ref="BR35:BS35" si="103">_xlfn.RANK.AVG(BR16,BR$7:BR$24,1)</f>
        <v>15</v>
      </c>
      <c r="BS35" s="33">
        <f t="shared" si="103"/>
        <v>12</v>
      </c>
      <c r="BT35" s="33">
        <f t="shared" ref="BT35:BU35" si="104">_xlfn.RANK.AVG(BT16,BT$7:BT$24,1)</f>
        <v>1</v>
      </c>
      <c r="BU35" s="33">
        <f t="shared" si="104"/>
        <v>8</v>
      </c>
      <c r="BV35" s="33">
        <f t="shared" ref="BV35:BW35" si="105">_xlfn.RANK.AVG(BV16,BV$7:BV$24,1)</f>
        <v>16</v>
      </c>
      <c r="BW35" s="33">
        <f t="shared" si="105"/>
        <v>13</v>
      </c>
      <c r="BX35" s="33">
        <f t="shared" ref="BX35:BY35" si="106">_xlfn.RANK.AVG(BX16,BX$7:BX$24,1)</f>
        <v>8</v>
      </c>
      <c r="BY35" s="33">
        <f t="shared" si="106"/>
        <v>16</v>
      </c>
      <c r="BZ35" s="33">
        <f t="shared" ref="BZ35:CA35" si="107">_xlfn.RANK.AVG(BZ16,BZ$7:BZ$24,1)</f>
        <v>15</v>
      </c>
      <c r="CA35" s="33">
        <f t="shared" si="107"/>
        <v>3</v>
      </c>
      <c r="CB35" s="33">
        <f t="shared" ref="CB35:CC35" si="108">_xlfn.RANK.AVG(CB16,CB$7:CB$24,1)</f>
        <v>3</v>
      </c>
      <c r="CC35" s="33">
        <f t="shared" si="108"/>
        <v>15</v>
      </c>
      <c r="CD35" s="33">
        <f t="shared" ref="CD35:CE35" si="109">_xlfn.RANK.AVG(CD16,CD$7:CD$24,1)</f>
        <v>1</v>
      </c>
      <c r="CE35" s="33">
        <f t="shared" si="109"/>
        <v>7</v>
      </c>
    </row>
    <row r="36" spans="1:83" x14ac:dyDescent="0.25">
      <c r="A36" s="51"/>
      <c r="B36" s="32" t="s">
        <v>468</v>
      </c>
      <c r="D36" s="33">
        <f t="shared" si="16"/>
        <v>2.3333333333333335</v>
      </c>
      <c r="E36" s="33"/>
      <c r="F36" s="33"/>
      <c r="G36" s="33"/>
      <c r="H36" s="33"/>
      <c r="I36" s="33"/>
      <c r="J36" s="33"/>
      <c r="K36" s="33"/>
      <c r="L36" s="33"/>
      <c r="M36" s="33"/>
      <c r="N36" s="33"/>
      <c r="O36" s="33"/>
      <c r="P36" s="33">
        <f t="shared" si="17"/>
        <v>5</v>
      </c>
      <c r="Q36" s="33">
        <f t="shared" si="69"/>
        <v>4</v>
      </c>
      <c r="R36" s="33">
        <f t="shared" si="69"/>
        <v>3</v>
      </c>
      <c r="S36" s="33">
        <f t="shared" si="69"/>
        <v>2</v>
      </c>
      <c r="T36" s="33">
        <f t="shared" si="69"/>
        <v>1</v>
      </c>
      <c r="U36" s="33">
        <f t="shared" si="69"/>
        <v>3</v>
      </c>
      <c r="V36" s="33">
        <f t="shared" si="69"/>
        <v>3</v>
      </c>
      <c r="W36" s="33">
        <f t="shared" si="69"/>
        <v>3</v>
      </c>
      <c r="X36" s="33">
        <f t="shared" si="69"/>
        <v>2</v>
      </c>
      <c r="Y36" s="33">
        <f t="shared" si="69"/>
        <v>3</v>
      </c>
      <c r="Z36" s="33">
        <f t="shared" si="69"/>
        <v>9</v>
      </c>
      <c r="AA36" s="33">
        <f t="shared" si="69"/>
        <v>3</v>
      </c>
      <c r="AB36" s="33">
        <f t="shared" si="69"/>
        <v>1</v>
      </c>
      <c r="AC36" s="33">
        <f t="shared" si="69"/>
        <v>9</v>
      </c>
      <c r="AD36" s="33">
        <f t="shared" si="69"/>
        <v>8</v>
      </c>
      <c r="AE36" s="33">
        <f t="shared" si="69"/>
        <v>17</v>
      </c>
      <c r="AF36" s="33">
        <f t="shared" si="69"/>
        <v>10</v>
      </c>
      <c r="AG36" s="33">
        <f t="shared" si="69"/>
        <v>12</v>
      </c>
      <c r="AH36" s="33">
        <f t="shared" si="69"/>
        <v>8</v>
      </c>
      <c r="AI36" s="33">
        <f t="shared" si="69"/>
        <v>14</v>
      </c>
      <c r="AJ36" s="33">
        <f t="shared" si="69"/>
        <v>6</v>
      </c>
      <c r="AK36" s="33">
        <f t="shared" si="69"/>
        <v>12</v>
      </c>
      <c r="AL36" s="33">
        <f t="shared" si="69"/>
        <v>11</v>
      </c>
      <c r="AM36" s="33">
        <f t="shared" si="69"/>
        <v>5</v>
      </c>
      <c r="AN36" s="33">
        <f t="shared" si="69"/>
        <v>12</v>
      </c>
      <c r="AO36" s="33">
        <f t="shared" si="69"/>
        <v>6</v>
      </c>
      <c r="AP36" s="33">
        <f t="shared" si="69"/>
        <v>7</v>
      </c>
      <c r="AQ36" s="33">
        <f t="shared" si="69"/>
        <v>16</v>
      </c>
      <c r="AR36" s="33">
        <f t="shared" si="69"/>
        <v>12</v>
      </c>
      <c r="AS36" s="33">
        <f t="shared" si="69"/>
        <v>5</v>
      </c>
      <c r="AT36" s="33">
        <f t="shared" si="69"/>
        <v>17</v>
      </c>
      <c r="AU36" s="33">
        <f t="shared" si="58"/>
        <v>11</v>
      </c>
      <c r="AV36" s="33">
        <f t="shared" si="58"/>
        <v>15</v>
      </c>
      <c r="AW36" s="33">
        <f t="shared" si="58"/>
        <v>3</v>
      </c>
      <c r="AX36" s="33">
        <f t="shared" si="58"/>
        <v>16</v>
      </c>
      <c r="AY36" s="33">
        <f t="shared" si="58"/>
        <v>12</v>
      </c>
      <c r="AZ36" s="33">
        <f t="shared" si="58"/>
        <v>18</v>
      </c>
      <c r="BA36" s="33">
        <f t="shared" si="58"/>
        <v>17</v>
      </c>
      <c r="BB36" s="33">
        <f t="shared" si="58"/>
        <v>11</v>
      </c>
      <c r="BC36" s="33">
        <f t="shared" si="58"/>
        <v>10</v>
      </c>
      <c r="BD36" s="33">
        <f t="shared" si="4"/>
        <v>18</v>
      </c>
      <c r="BE36" s="33">
        <f t="shared" si="58"/>
        <v>16</v>
      </c>
      <c r="BF36" s="33">
        <f t="shared" si="58"/>
        <v>15</v>
      </c>
      <c r="BG36" s="33">
        <f t="shared" si="58"/>
        <v>16</v>
      </c>
      <c r="BH36" s="33">
        <f t="shared" si="58"/>
        <v>10</v>
      </c>
      <c r="BI36" s="33">
        <f t="shared" si="58"/>
        <v>14</v>
      </c>
      <c r="BJ36" s="33">
        <f t="shared" si="5"/>
        <v>11</v>
      </c>
      <c r="BK36" s="33">
        <f t="shared" si="5"/>
        <v>4</v>
      </c>
      <c r="BL36" s="33">
        <f t="shared" ref="BL36:BM36" si="110">_xlfn.RANK.AVG(BL17,BL$7:BL$24,1)</f>
        <v>9</v>
      </c>
      <c r="BM36" s="33">
        <f t="shared" si="110"/>
        <v>1</v>
      </c>
      <c r="BN36" s="33">
        <f t="shared" ref="BN36:BO36" si="111">_xlfn.RANK.AVG(BN17,BN$7:BN$24,1)</f>
        <v>16</v>
      </c>
      <c r="BO36" s="33">
        <f t="shared" si="111"/>
        <v>18</v>
      </c>
      <c r="BP36" s="33">
        <f t="shared" ref="BP36:BQ36" si="112">_xlfn.RANK.AVG(BP17,BP$7:BP$24,1)</f>
        <v>8</v>
      </c>
      <c r="BQ36" s="33">
        <f t="shared" si="112"/>
        <v>15</v>
      </c>
      <c r="BR36" s="33">
        <f t="shared" ref="BR36:BS36" si="113">_xlfn.RANK.AVG(BR17,BR$7:BR$24,1)</f>
        <v>1</v>
      </c>
      <c r="BS36" s="33">
        <f t="shared" si="113"/>
        <v>1</v>
      </c>
      <c r="BT36" s="33">
        <f t="shared" ref="BT36:BU36" si="114">_xlfn.RANK.AVG(BT17,BT$7:BT$24,1)</f>
        <v>4</v>
      </c>
      <c r="BU36" s="33">
        <f t="shared" si="114"/>
        <v>8</v>
      </c>
      <c r="BV36" s="33">
        <f t="shared" ref="BV36:BW36" si="115">_xlfn.RANK.AVG(BV17,BV$7:BV$24,1)</f>
        <v>1</v>
      </c>
      <c r="BW36" s="33">
        <f t="shared" si="115"/>
        <v>18</v>
      </c>
      <c r="BX36" s="33">
        <f t="shared" ref="BX36:BY36" si="116">_xlfn.RANK.AVG(BX17,BX$7:BX$24,1)</f>
        <v>3</v>
      </c>
      <c r="BY36" s="33">
        <f t="shared" si="116"/>
        <v>7</v>
      </c>
      <c r="BZ36" s="33">
        <f t="shared" ref="BZ36:CA36" si="117">_xlfn.RANK.AVG(BZ17,BZ$7:BZ$24,1)</f>
        <v>1</v>
      </c>
      <c r="CA36" s="33">
        <f t="shared" si="117"/>
        <v>18</v>
      </c>
      <c r="CB36" s="33">
        <f t="shared" ref="CB36:CC36" si="118">_xlfn.RANK.AVG(CB17,CB$7:CB$24,1)</f>
        <v>14</v>
      </c>
      <c r="CC36" s="33">
        <f t="shared" si="118"/>
        <v>3</v>
      </c>
      <c r="CD36" s="33">
        <f t="shared" ref="CD36:CE36" si="119">_xlfn.RANK.AVG(CD17,CD$7:CD$24,1)</f>
        <v>16</v>
      </c>
      <c r="CE36" s="33">
        <f t="shared" si="119"/>
        <v>6</v>
      </c>
    </row>
    <row r="37" spans="1:83" x14ac:dyDescent="0.25">
      <c r="A37" s="51"/>
      <c r="B37" s="38" t="s">
        <v>178</v>
      </c>
      <c r="D37" s="33">
        <f t="shared" si="16"/>
        <v>5.166666666666667</v>
      </c>
      <c r="E37" s="33"/>
      <c r="F37" s="33"/>
      <c r="G37" s="33"/>
      <c r="H37" s="33"/>
      <c r="I37" s="33"/>
      <c r="J37" s="33"/>
      <c r="K37" s="33"/>
      <c r="L37" s="33"/>
      <c r="M37" s="33"/>
      <c r="N37" s="33"/>
      <c r="O37" s="33"/>
      <c r="P37" s="33">
        <f t="shared" si="17"/>
        <v>3</v>
      </c>
      <c r="Q37" s="33">
        <f t="shared" si="69"/>
        <v>9</v>
      </c>
      <c r="R37" s="33">
        <f t="shared" si="69"/>
        <v>6</v>
      </c>
      <c r="S37" s="33">
        <f t="shared" si="69"/>
        <v>5</v>
      </c>
      <c r="T37" s="33">
        <f t="shared" si="69"/>
        <v>3</v>
      </c>
      <c r="U37" s="33">
        <f t="shared" si="69"/>
        <v>4</v>
      </c>
      <c r="V37" s="33">
        <f t="shared" si="69"/>
        <v>1</v>
      </c>
      <c r="W37" s="33">
        <f t="shared" si="69"/>
        <v>8</v>
      </c>
      <c r="X37" s="33">
        <f t="shared" si="69"/>
        <v>10</v>
      </c>
      <c r="Y37" s="33">
        <f t="shared" si="69"/>
        <v>9</v>
      </c>
      <c r="Z37" s="33">
        <f t="shared" si="69"/>
        <v>7</v>
      </c>
      <c r="AA37" s="33">
        <f t="shared" si="69"/>
        <v>9</v>
      </c>
      <c r="AB37" s="33">
        <f t="shared" si="69"/>
        <v>5</v>
      </c>
      <c r="AC37" s="33">
        <f t="shared" si="69"/>
        <v>5</v>
      </c>
      <c r="AD37" s="33">
        <f t="shared" si="69"/>
        <v>2</v>
      </c>
      <c r="AE37" s="33">
        <f t="shared" si="69"/>
        <v>3</v>
      </c>
      <c r="AF37" s="33">
        <f t="shared" si="69"/>
        <v>5</v>
      </c>
      <c r="AG37" s="33">
        <f t="shared" si="69"/>
        <v>2</v>
      </c>
      <c r="AH37" s="33">
        <f t="shared" si="69"/>
        <v>9</v>
      </c>
      <c r="AI37" s="33">
        <f t="shared" si="69"/>
        <v>3</v>
      </c>
      <c r="AJ37" s="33">
        <f t="shared" si="69"/>
        <v>5</v>
      </c>
      <c r="AK37" s="33">
        <f t="shared" si="69"/>
        <v>8</v>
      </c>
      <c r="AL37" s="33">
        <f t="shared" si="69"/>
        <v>12</v>
      </c>
      <c r="AM37" s="33">
        <f t="shared" si="69"/>
        <v>9</v>
      </c>
      <c r="AN37" s="33">
        <f t="shared" si="69"/>
        <v>4</v>
      </c>
      <c r="AO37" s="33">
        <f t="shared" si="69"/>
        <v>12</v>
      </c>
      <c r="AP37" s="33">
        <f t="shared" si="69"/>
        <v>9</v>
      </c>
      <c r="AQ37" s="33">
        <f t="shared" si="69"/>
        <v>9</v>
      </c>
      <c r="AR37" s="33">
        <f t="shared" si="69"/>
        <v>10</v>
      </c>
      <c r="AS37" s="33">
        <f t="shared" si="69"/>
        <v>6</v>
      </c>
      <c r="AT37" s="33">
        <f t="shared" si="69"/>
        <v>9</v>
      </c>
      <c r="AU37" s="33">
        <f t="shared" si="58"/>
        <v>8</v>
      </c>
      <c r="AV37" s="33">
        <f t="shared" si="58"/>
        <v>10</v>
      </c>
      <c r="AW37" s="33">
        <f t="shared" si="58"/>
        <v>9</v>
      </c>
      <c r="AX37" s="33">
        <f t="shared" si="58"/>
        <v>9</v>
      </c>
      <c r="AY37" s="33">
        <f t="shared" si="58"/>
        <v>15</v>
      </c>
      <c r="AZ37" s="33">
        <f t="shared" si="58"/>
        <v>11.5</v>
      </c>
      <c r="BA37" s="33">
        <f t="shared" si="58"/>
        <v>11</v>
      </c>
      <c r="BB37" s="33">
        <f t="shared" si="58"/>
        <v>16</v>
      </c>
      <c r="BC37" s="33">
        <f t="shared" si="58"/>
        <v>8</v>
      </c>
      <c r="BD37" s="33">
        <f t="shared" si="4"/>
        <v>10</v>
      </c>
      <c r="BE37" s="33">
        <f t="shared" si="58"/>
        <v>6</v>
      </c>
      <c r="BF37" s="33">
        <f t="shared" si="58"/>
        <v>10</v>
      </c>
      <c r="BG37" s="33">
        <f t="shared" si="58"/>
        <v>5</v>
      </c>
      <c r="BH37" s="33">
        <f t="shared" si="58"/>
        <v>3</v>
      </c>
      <c r="BI37" s="33">
        <f t="shared" si="58"/>
        <v>11</v>
      </c>
      <c r="BJ37" s="33">
        <f t="shared" si="5"/>
        <v>16</v>
      </c>
      <c r="BK37" s="33">
        <f t="shared" si="5"/>
        <v>12</v>
      </c>
      <c r="BL37" s="33">
        <f t="shared" ref="BL37:BM37" si="120">_xlfn.RANK.AVG(BL18,BL$7:BL$24,1)</f>
        <v>17</v>
      </c>
      <c r="BM37" s="33">
        <f t="shared" si="120"/>
        <v>5</v>
      </c>
      <c r="BN37" s="33">
        <f t="shared" ref="BN37:BO37" si="121">_xlfn.RANK.AVG(BN18,BN$7:BN$24,1)</f>
        <v>6</v>
      </c>
      <c r="BO37" s="33">
        <f t="shared" si="121"/>
        <v>11</v>
      </c>
      <c r="BP37" s="33">
        <f t="shared" ref="BP37:BQ37" si="122">_xlfn.RANK.AVG(BP18,BP$7:BP$24,1)</f>
        <v>5</v>
      </c>
      <c r="BQ37" s="33">
        <f t="shared" si="122"/>
        <v>7</v>
      </c>
      <c r="BR37" s="33">
        <f t="shared" ref="BR37:BS37" si="123">_xlfn.RANK.AVG(BR18,BR$7:BR$24,1)</f>
        <v>4</v>
      </c>
      <c r="BS37" s="33">
        <f t="shared" si="123"/>
        <v>7</v>
      </c>
      <c r="BT37" s="33">
        <f t="shared" ref="BT37:BU37" si="124">_xlfn.RANK.AVG(BT18,BT$7:BT$24,1)</f>
        <v>7</v>
      </c>
      <c r="BU37" s="33">
        <f t="shared" si="124"/>
        <v>4</v>
      </c>
      <c r="BV37" s="33">
        <f t="shared" ref="BV37:BW37" si="125">_xlfn.RANK.AVG(BV18,BV$7:BV$24,1)</f>
        <v>3</v>
      </c>
      <c r="BW37" s="33">
        <f t="shared" si="125"/>
        <v>7</v>
      </c>
      <c r="BX37" s="33">
        <f t="shared" ref="BX37:BY37" si="126">_xlfn.RANK.AVG(BX18,BX$7:BX$24,1)</f>
        <v>2</v>
      </c>
      <c r="BY37" s="33">
        <f t="shared" si="126"/>
        <v>2</v>
      </c>
      <c r="BZ37" s="33">
        <f t="shared" ref="BZ37:CA37" si="127">_xlfn.RANK.AVG(BZ18,BZ$7:BZ$24,1)</f>
        <v>9</v>
      </c>
      <c r="CA37" s="33">
        <f t="shared" si="127"/>
        <v>5</v>
      </c>
      <c r="CB37" s="33">
        <f t="shared" ref="CB37:CC37" si="128">_xlfn.RANK.AVG(CB18,CB$7:CB$24,1)</f>
        <v>7</v>
      </c>
      <c r="CC37" s="33">
        <f t="shared" si="128"/>
        <v>12</v>
      </c>
      <c r="CD37" s="33">
        <f t="shared" ref="CD37:CE37" si="129">_xlfn.RANK.AVG(CD18,CD$7:CD$24,1)</f>
        <v>5</v>
      </c>
      <c r="CE37" s="33">
        <f t="shared" si="129"/>
        <v>9</v>
      </c>
    </row>
    <row r="38" spans="1:83" x14ac:dyDescent="0.25">
      <c r="A38" s="51"/>
      <c r="B38" s="38" t="s">
        <v>180</v>
      </c>
      <c r="D38" s="33">
        <f t="shared" si="16"/>
        <v>7</v>
      </c>
      <c r="E38" s="33"/>
      <c r="F38" s="33"/>
      <c r="G38" s="33"/>
      <c r="H38" s="33"/>
      <c r="I38" s="33"/>
      <c r="J38" s="33"/>
      <c r="K38" s="33"/>
      <c r="L38" s="33"/>
      <c r="M38" s="33"/>
      <c r="N38" s="33"/>
      <c r="O38" s="33"/>
      <c r="P38" s="33">
        <f t="shared" si="17"/>
        <v>16</v>
      </c>
      <c r="Q38" s="33">
        <f t="shared" si="69"/>
        <v>18</v>
      </c>
      <c r="R38" s="33">
        <f t="shared" si="69"/>
        <v>16</v>
      </c>
      <c r="S38" s="33">
        <f t="shared" si="69"/>
        <v>6</v>
      </c>
      <c r="T38" s="33">
        <f t="shared" si="69"/>
        <v>10</v>
      </c>
      <c r="U38" s="33">
        <f t="shared" si="69"/>
        <v>9</v>
      </c>
      <c r="V38" s="33">
        <f t="shared" si="69"/>
        <v>9</v>
      </c>
      <c r="W38" s="33">
        <f t="shared" si="69"/>
        <v>2</v>
      </c>
      <c r="X38" s="33">
        <f t="shared" si="69"/>
        <v>6</v>
      </c>
      <c r="Y38" s="33">
        <f t="shared" si="69"/>
        <v>7</v>
      </c>
      <c r="Z38" s="33">
        <f t="shared" si="69"/>
        <v>6</v>
      </c>
      <c r="AA38" s="33">
        <f t="shared" si="69"/>
        <v>13</v>
      </c>
      <c r="AB38" s="33">
        <f t="shared" si="69"/>
        <v>9</v>
      </c>
      <c r="AC38" s="33">
        <f t="shared" si="69"/>
        <v>12</v>
      </c>
      <c r="AD38" s="33">
        <f t="shared" si="69"/>
        <v>3</v>
      </c>
      <c r="AE38" s="33">
        <f t="shared" si="69"/>
        <v>7</v>
      </c>
      <c r="AF38" s="33">
        <f t="shared" si="69"/>
        <v>9</v>
      </c>
      <c r="AG38" s="33">
        <f t="shared" si="69"/>
        <v>10</v>
      </c>
      <c r="AH38" s="33">
        <f t="shared" si="69"/>
        <v>4</v>
      </c>
      <c r="AI38" s="33">
        <f t="shared" si="69"/>
        <v>2</v>
      </c>
      <c r="AJ38" s="33">
        <f t="shared" si="69"/>
        <v>10</v>
      </c>
      <c r="AK38" s="33">
        <f t="shared" si="69"/>
        <v>7</v>
      </c>
      <c r="AL38" s="33">
        <f t="shared" si="69"/>
        <v>15</v>
      </c>
      <c r="AM38" s="33">
        <f t="shared" si="69"/>
        <v>8</v>
      </c>
      <c r="AN38" s="33">
        <f t="shared" si="69"/>
        <v>8</v>
      </c>
      <c r="AO38" s="33">
        <f t="shared" si="69"/>
        <v>13</v>
      </c>
      <c r="AP38" s="33">
        <f t="shared" si="69"/>
        <v>5</v>
      </c>
      <c r="AQ38" s="33">
        <f t="shared" si="69"/>
        <v>12</v>
      </c>
      <c r="AR38" s="33">
        <f t="shared" si="69"/>
        <v>16</v>
      </c>
      <c r="AS38" s="33">
        <f t="shared" si="69"/>
        <v>9</v>
      </c>
      <c r="AT38" s="33">
        <f t="shared" si="69"/>
        <v>14</v>
      </c>
      <c r="AU38" s="33">
        <f t="shared" si="58"/>
        <v>5</v>
      </c>
      <c r="AV38" s="33">
        <f t="shared" si="58"/>
        <v>12</v>
      </c>
      <c r="AW38" s="33">
        <f t="shared" si="58"/>
        <v>15</v>
      </c>
      <c r="AX38" s="33">
        <f t="shared" si="58"/>
        <v>14</v>
      </c>
      <c r="AY38" s="33">
        <f t="shared" si="58"/>
        <v>17</v>
      </c>
      <c r="AZ38" s="33">
        <f t="shared" si="58"/>
        <v>14</v>
      </c>
      <c r="BA38" s="33">
        <f t="shared" si="58"/>
        <v>13</v>
      </c>
      <c r="BB38" s="33">
        <f t="shared" si="58"/>
        <v>9</v>
      </c>
      <c r="BC38" s="33">
        <f t="shared" si="58"/>
        <v>15</v>
      </c>
      <c r="BD38" s="33">
        <f t="shared" si="4"/>
        <v>15</v>
      </c>
      <c r="BE38" s="33">
        <f t="shared" si="58"/>
        <v>12</v>
      </c>
      <c r="BF38" s="33">
        <f t="shared" si="58"/>
        <v>9</v>
      </c>
      <c r="BG38" s="33">
        <f t="shared" si="58"/>
        <v>13</v>
      </c>
      <c r="BH38" s="33">
        <f t="shared" si="58"/>
        <v>7</v>
      </c>
      <c r="BI38" s="33">
        <f t="shared" si="58"/>
        <v>10</v>
      </c>
      <c r="BJ38" s="33">
        <f t="shared" si="5"/>
        <v>15</v>
      </c>
      <c r="BK38" s="33">
        <f t="shared" si="5"/>
        <v>16</v>
      </c>
      <c r="BL38" s="33">
        <f t="shared" ref="BL38:BM38" si="130">_xlfn.RANK.AVG(BL19,BL$7:BL$24,1)</f>
        <v>5.5</v>
      </c>
      <c r="BM38" s="33">
        <f t="shared" si="130"/>
        <v>8</v>
      </c>
      <c r="BN38" s="33">
        <f t="shared" ref="BN38:BO38" si="131">_xlfn.RANK.AVG(BN19,BN$7:BN$24,1)</f>
        <v>10</v>
      </c>
      <c r="BO38" s="33">
        <f t="shared" si="131"/>
        <v>2</v>
      </c>
      <c r="BP38" s="33">
        <f t="shared" ref="BP38:BQ38" si="132">_xlfn.RANK.AVG(BP19,BP$7:BP$24,1)</f>
        <v>12</v>
      </c>
      <c r="BQ38" s="33">
        <f t="shared" si="132"/>
        <v>11</v>
      </c>
      <c r="BR38" s="33">
        <f t="shared" ref="BR38:BS38" si="133">_xlfn.RANK.AVG(BR19,BR$7:BR$24,1)</f>
        <v>14</v>
      </c>
      <c r="BS38" s="33">
        <f t="shared" si="133"/>
        <v>11</v>
      </c>
      <c r="BT38" s="33">
        <f t="shared" ref="BT38:BU38" si="134">_xlfn.RANK.AVG(BT19,BT$7:BT$24,1)</f>
        <v>13</v>
      </c>
      <c r="BU38" s="33">
        <f t="shared" si="134"/>
        <v>13</v>
      </c>
      <c r="BV38" s="33">
        <f t="shared" ref="BV38:BW38" si="135">_xlfn.RANK.AVG(BV19,BV$7:BV$24,1)</f>
        <v>6</v>
      </c>
      <c r="BW38" s="33">
        <f t="shared" si="135"/>
        <v>5</v>
      </c>
      <c r="BX38" s="33">
        <f t="shared" ref="BX38:BY38" si="136">_xlfn.RANK.AVG(BX19,BX$7:BX$24,1)</f>
        <v>14</v>
      </c>
      <c r="BY38" s="33">
        <f t="shared" si="136"/>
        <v>5</v>
      </c>
      <c r="BZ38" s="33">
        <f t="shared" ref="BZ38:CA38" si="137">_xlfn.RANK.AVG(BZ19,BZ$7:BZ$24,1)</f>
        <v>16</v>
      </c>
      <c r="CA38" s="33">
        <f t="shared" si="137"/>
        <v>12</v>
      </c>
      <c r="CB38" s="33">
        <f t="shared" ref="CB38:CC38" si="138">_xlfn.RANK.AVG(CB19,CB$7:CB$24,1)</f>
        <v>12</v>
      </c>
      <c r="CC38" s="33">
        <f t="shared" si="138"/>
        <v>8</v>
      </c>
      <c r="CD38" s="33">
        <f t="shared" ref="CD38:CE38" si="139">_xlfn.RANK.AVG(CD19,CD$7:CD$24,1)</f>
        <v>14</v>
      </c>
      <c r="CE38" s="33">
        <f t="shared" si="139"/>
        <v>4</v>
      </c>
    </row>
    <row r="39" spans="1:83" x14ac:dyDescent="0.25">
      <c r="A39" s="51"/>
      <c r="B39" s="32" t="s">
        <v>228</v>
      </c>
      <c r="D39" s="33">
        <f t="shared" si="16"/>
        <v>7.833333333333333</v>
      </c>
      <c r="E39" s="33"/>
      <c r="F39" s="33"/>
      <c r="G39" s="33"/>
      <c r="H39" s="33"/>
      <c r="I39" s="33"/>
      <c r="J39" s="33"/>
      <c r="K39" s="33"/>
      <c r="L39" s="33"/>
      <c r="M39" s="33"/>
      <c r="N39" s="33"/>
      <c r="O39" s="33"/>
      <c r="P39" s="33">
        <f t="shared" si="17"/>
        <v>17</v>
      </c>
      <c r="Q39" s="33">
        <f t="shared" si="69"/>
        <v>14</v>
      </c>
      <c r="R39" s="33">
        <f t="shared" si="69"/>
        <v>11</v>
      </c>
      <c r="S39" s="33">
        <f t="shared" si="69"/>
        <v>15</v>
      </c>
      <c r="T39" s="33">
        <f t="shared" si="69"/>
        <v>7</v>
      </c>
      <c r="U39" s="33">
        <f t="shared" si="69"/>
        <v>5</v>
      </c>
      <c r="V39" s="33">
        <f t="shared" si="69"/>
        <v>12</v>
      </c>
      <c r="W39" s="33">
        <f t="shared" si="69"/>
        <v>5</v>
      </c>
      <c r="X39" s="33">
        <f t="shared" si="69"/>
        <v>3</v>
      </c>
      <c r="Y39" s="33">
        <f t="shared" si="69"/>
        <v>4</v>
      </c>
      <c r="Z39" s="33">
        <f t="shared" si="69"/>
        <v>18</v>
      </c>
      <c r="AA39" s="33">
        <f t="shared" si="69"/>
        <v>1</v>
      </c>
      <c r="AB39" s="33">
        <f t="shared" si="69"/>
        <v>11</v>
      </c>
      <c r="AC39" s="33">
        <f t="shared" si="69"/>
        <v>14</v>
      </c>
      <c r="AD39" s="33">
        <f t="shared" si="69"/>
        <v>13</v>
      </c>
      <c r="AE39" s="33">
        <f t="shared" si="69"/>
        <v>1</v>
      </c>
      <c r="AF39" s="33">
        <f t="shared" si="69"/>
        <v>13</v>
      </c>
      <c r="AG39" s="33">
        <f t="shared" si="69"/>
        <v>3</v>
      </c>
      <c r="AH39" s="33">
        <f t="shared" si="69"/>
        <v>13</v>
      </c>
      <c r="AI39" s="33">
        <f t="shared" si="69"/>
        <v>16</v>
      </c>
      <c r="AJ39" s="33">
        <f t="shared" si="69"/>
        <v>18</v>
      </c>
      <c r="AK39" s="33">
        <f t="shared" si="69"/>
        <v>4</v>
      </c>
      <c r="AL39" s="33">
        <f t="shared" si="69"/>
        <v>14</v>
      </c>
      <c r="AM39" s="33">
        <f t="shared" si="69"/>
        <v>1</v>
      </c>
      <c r="AN39" s="33">
        <f t="shared" si="69"/>
        <v>11</v>
      </c>
      <c r="AO39" s="33">
        <f t="shared" si="69"/>
        <v>15</v>
      </c>
      <c r="AP39" s="33">
        <f t="shared" si="69"/>
        <v>16</v>
      </c>
      <c r="AQ39" s="33">
        <f t="shared" si="69"/>
        <v>2</v>
      </c>
      <c r="AR39" s="33">
        <f t="shared" si="69"/>
        <v>17</v>
      </c>
      <c r="AS39" s="33">
        <f t="shared" si="69"/>
        <v>17</v>
      </c>
      <c r="AT39" s="33">
        <f t="shared" si="69"/>
        <v>6</v>
      </c>
      <c r="AU39" s="33">
        <f t="shared" si="58"/>
        <v>2</v>
      </c>
      <c r="AV39" s="33">
        <f t="shared" si="58"/>
        <v>18</v>
      </c>
      <c r="AW39" s="33">
        <f t="shared" si="58"/>
        <v>1</v>
      </c>
      <c r="AX39" s="33">
        <f t="shared" si="58"/>
        <v>11</v>
      </c>
      <c r="AY39" s="33">
        <f t="shared" si="58"/>
        <v>8</v>
      </c>
      <c r="AZ39" s="33">
        <f t="shared" si="58"/>
        <v>3</v>
      </c>
      <c r="BA39" s="33">
        <f t="shared" si="58"/>
        <v>16</v>
      </c>
      <c r="BB39" s="33">
        <f t="shared" si="58"/>
        <v>3</v>
      </c>
      <c r="BC39" s="33">
        <f t="shared" si="58"/>
        <v>16</v>
      </c>
      <c r="BD39" s="33">
        <f t="shared" si="4"/>
        <v>11</v>
      </c>
      <c r="BE39" s="33">
        <f t="shared" si="58"/>
        <v>18</v>
      </c>
      <c r="BF39" s="33">
        <f t="shared" si="58"/>
        <v>18</v>
      </c>
      <c r="BG39" s="33">
        <f t="shared" si="58"/>
        <v>1</v>
      </c>
      <c r="BH39" s="33">
        <f t="shared" si="58"/>
        <v>16</v>
      </c>
      <c r="BI39" s="33">
        <f t="shared" si="58"/>
        <v>1</v>
      </c>
      <c r="BJ39" s="33">
        <f t="shared" si="5"/>
        <v>3</v>
      </c>
      <c r="BK39" s="33">
        <f t="shared" si="5"/>
        <v>3</v>
      </c>
      <c r="BL39" s="33">
        <f t="shared" ref="BL39:BM39" si="140">_xlfn.RANK.AVG(BL20,BL$7:BL$24,1)</f>
        <v>3</v>
      </c>
      <c r="BM39" s="33">
        <f t="shared" si="140"/>
        <v>4</v>
      </c>
      <c r="BN39" s="33">
        <f t="shared" ref="BN39:BO39" si="141">_xlfn.RANK.AVG(BN20,BN$7:BN$24,1)</f>
        <v>18</v>
      </c>
      <c r="BO39" s="33">
        <f t="shared" si="141"/>
        <v>3</v>
      </c>
      <c r="BP39" s="33">
        <f t="shared" ref="BP39:BQ39" si="142">_xlfn.RANK.AVG(BP20,BP$7:BP$24,1)</f>
        <v>2</v>
      </c>
      <c r="BQ39" s="33">
        <f t="shared" si="142"/>
        <v>8</v>
      </c>
      <c r="BR39" s="33">
        <f t="shared" ref="BR39:BS39" si="143">_xlfn.RANK.AVG(BR20,BR$7:BR$24,1)</f>
        <v>18</v>
      </c>
      <c r="BS39" s="33">
        <f t="shared" si="143"/>
        <v>9</v>
      </c>
      <c r="BT39" s="33">
        <f t="shared" ref="BT39:BU39" si="144">_xlfn.RANK.AVG(BT20,BT$7:BT$24,1)</f>
        <v>2</v>
      </c>
      <c r="BU39" s="33">
        <f t="shared" si="144"/>
        <v>1</v>
      </c>
      <c r="BV39" s="33">
        <f t="shared" ref="BV39:BW39" si="145">_xlfn.RANK.AVG(BV20,BV$7:BV$24,1)</f>
        <v>2</v>
      </c>
      <c r="BW39" s="33">
        <f t="shared" si="145"/>
        <v>12</v>
      </c>
      <c r="BX39" s="33">
        <f t="shared" ref="BX39:BY39" si="146">_xlfn.RANK.AVG(BX20,BX$7:BX$24,1)</f>
        <v>10</v>
      </c>
      <c r="BY39" s="33">
        <f t="shared" si="146"/>
        <v>15</v>
      </c>
      <c r="BZ39" s="33">
        <f t="shared" ref="BZ39:CA39" si="147">_xlfn.RANK.AVG(BZ20,BZ$7:BZ$24,1)</f>
        <v>12</v>
      </c>
      <c r="CA39" s="33">
        <f t="shared" si="147"/>
        <v>9</v>
      </c>
      <c r="CB39" s="33">
        <f t="shared" ref="CB39:CC39" si="148">_xlfn.RANK.AVG(CB20,CB$7:CB$24,1)</f>
        <v>11</v>
      </c>
      <c r="CC39" s="33">
        <f t="shared" si="148"/>
        <v>7</v>
      </c>
      <c r="CD39" s="33">
        <f t="shared" ref="CD39:CE39" si="149">_xlfn.RANK.AVG(CD20,CD$7:CD$24,1)</f>
        <v>7</v>
      </c>
      <c r="CE39" s="33">
        <f t="shared" si="149"/>
        <v>15</v>
      </c>
    </row>
    <row r="40" spans="1:83" x14ac:dyDescent="0.25">
      <c r="A40" s="51"/>
      <c r="B40" s="32" t="s">
        <v>182</v>
      </c>
      <c r="D40" s="33">
        <f t="shared" si="16"/>
        <v>10.333333333333334</v>
      </c>
      <c r="E40" s="33"/>
      <c r="F40" s="33"/>
      <c r="G40" s="33"/>
      <c r="H40" s="33"/>
      <c r="I40" s="33"/>
      <c r="J40" s="33"/>
      <c r="K40" s="33"/>
      <c r="L40" s="33"/>
      <c r="M40" s="33"/>
      <c r="N40" s="33"/>
      <c r="O40" s="33"/>
      <c r="P40" s="33">
        <f t="shared" si="17"/>
        <v>6</v>
      </c>
      <c r="Q40" s="33">
        <f t="shared" si="69"/>
        <v>3</v>
      </c>
      <c r="R40" s="33">
        <f t="shared" si="69"/>
        <v>14</v>
      </c>
      <c r="S40" s="33">
        <f t="shared" si="69"/>
        <v>12</v>
      </c>
      <c r="T40" s="33">
        <f t="shared" si="69"/>
        <v>16</v>
      </c>
      <c r="U40" s="33">
        <f t="shared" si="69"/>
        <v>11</v>
      </c>
      <c r="V40" s="33">
        <f t="shared" si="69"/>
        <v>5</v>
      </c>
      <c r="W40" s="33">
        <f t="shared" si="69"/>
        <v>6</v>
      </c>
      <c r="X40" s="33">
        <f t="shared" si="69"/>
        <v>12</v>
      </c>
      <c r="Y40" s="33">
        <f t="shared" si="69"/>
        <v>16</v>
      </c>
      <c r="Z40" s="33">
        <f t="shared" si="69"/>
        <v>3</v>
      </c>
      <c r="AA40" s="33">
        <f t="shared" si="69"/>
        <v>10</v>
      </c>
      <c r="AB40" s="33">
        <f t="shared" si="69"/>
        <v>3</v>
      </c>
      <c r="AC40" s="33">
        <f t="shared" si="69"/>
        <v>10</v>
      </c>
      <c r="AD40" s="33">
        <f t="shared" si="69"/>
        <v>18</v>
      </c>
      <c r="AE40" s="33">
        <f t="shared" si="69"/>
        <v>14</v>
      </c>
      <c r="AF40" s="33">
        <f t="shared" ref="AF40:AT43" si="150">_xlfn.RANK.AVG(AF21,AF$7:AF$24,1)</f>
        <v>14</v>
      </c>
      <c r="AG40" s="33">
        <f t="shared" si="150"/>
        <v>17</v>
      </c>
      <c r="AH40" s="33">
        <f t="shared" si="150"/>
        <v>18</v>
      </c>
      <c r="AI40" s="33">
        <f t="shared" si="150"/>
        <v>18</v>
      </c>
      <c r="AJ40" s="33">
        <f t="shared" si="150"/>
        <v>16</v>
      </c>
      <c r="AK40" s="33">
        <f t="shared" si="150"/>
        <v>13</v>
      </c>
      <c r="AL40" s="33">
        <f t="shared" si="150"/>
        <v>17</v>
      </c>
      <c r="AM40" s="33">
        <f t="shared" si="150"/>
        <v>7</v>
      </c>
      <c r="AN40" s="33">
        <f t="shared" si="150"/>
        <v>7</v>
      </c>
      <c r="AO40" s="33">
        <f t="shared" si="150"/>
        <v>4</v>
      </c>
      <c r="AP40" s="33">
        <f t="shared" si="150"/>
        <v>2</v>
      </c>
      <c r="AQ40" s="33">
        <f t="shared" si="150"/>
        <v>6</v>
      </c>
      <c r="AR40" s="33">
        <f t="shared" si="150"/>
        <v>2</v>
      </c>
      <c r="AS40" s="33">
        <f t="shared" si="150"/>
        <v>3.5</v>
      </c>
      <c r="AT40" s="33">
        <f t="shared" si="150"/>
        <v>13</v>
      </c>
      <c r="AU40" s="33">
        <f t="shared" si="58"/>
        <v>9</v>
      </c>
      <c r="AV40" s="33">
        <f t="shared" si="58"/>
        <v>11</v>
      </c>
      <c r="AW40" s="33">
        <f t="shared" si="58"/>
        <v>18</v>
      </c>
      <c r="AX40" s="33">
        <f t="shared" si="58"/>
        <v>2</v>
      </c>
      <c r="AY40" s="33">
        <f t="shared" si="58"/>
        <v>14</v>
      </c>
      <c r="AZ40" s="33">
        <f t="shared" si="58"/>
        <v>5</v>
      </c>
      <c r="BA40" s="33">
        <f t="shared" si="58"/>
        <v>8</v>
      </c>
      <c r="BB40" s="33">
        <f t="shared" si="58"/>
        <v>14</v>
      </c>
      <c r="BC40" s="33">
        <f t="shared" si="58"/>
        <v>5</v>
      </c>
      <c r="BD40" s="33">
        <f t="shared" si="4"/>
        <v>7</v>
      </c>
      <c r="BE40" s="33">
        <f t="shared" si="58"/>
        <v>13</v>
      </c>
      <c r="BF40" s="33">
        <f t="shared" si="58"/>
        <v>17</v>
      </c>
      <c r="BG40" s="33">
        <f t="shared" si="58"/>
        <v>17</v>
      </c>
      <c r="BH40" s="33">
        <f t="shared" si="58"/>
        <v>13</v>
      </c>
      <c r="BI40" s="33">
        <f t="shared" si="58"/>
        <v>12</v>
      </c>
      <c r="BJ40" s="33">
        <f t="shared" si="5"/>
        <v>2</v>
      </c>
      <c r="BK40" s="33">
        <f t="shared" si="5"/>
        <v>17</v>
      </c>
      <c r="BL40" s="33">
        <f t="shared" ref="BL40:BM40" si="151">_xlfn.RANK.AVG(BL21,BL$7:BL$24,1)</f>
        <v>11</v>
      </c>
      <c r="BM40" s="33">
        <f t="shared" si="151"/>
        <v>11</v>
      </c>
      <c r="BN40" s="33">
        <f t="shared" ref="BN40:BO40" si="152">_xlfn.RANK.AVG(BN21,BN$7:BN$24,1)</f>
        <v>1</v>
      </c>
      <c r="BO40" s="33">
        <f t="shared" si="152"/>
        <v>4.5</v>
      </c>
      <c r="BP40" s="33">
        <f t="shared" ref="BP40:BQ40" si="153">_xlfn.RANK.AVG(BP21,BP$7:BP$24,1)</f>
        <v>4</v>
      </c>
      <c r="BQ40" s="33">
        <f t="shared" si="153"/>
        <v>2</v>
      </c>
      <c r="BR40" s="33">
        <f t="shared" ref="BR40:BS40" si="154">_xlfn.RANK.AVG(BR21,BR$7:BR$24,1)</f>
        <v>5</v>
      </c>
      <c r="BS40" s="33">
        <f t="shared" si="154"/>
        <v>18</v>
      </c>
      <c r="BT40" s="33">
        <f t="shared" ref="BT40:BU40" si="155">_xlfn.RANK.AVG(BT21,BT$7:BT$24,1)</f>
        <v>10</v>
      </c>
      <c r="BU40" s="33">
        <f t="shared" si="155"/>
        <v>16</v>
      </c>
      <c r="BV40" s="33">
        <f t="shared" ref="BV40:BW40" si="156">_xlfn.RANK.AVG(BV21,BV$7:BV$24,1)</f>
        <v>10</v>
      </c>
      <c r="BW40" s="33">
        <f t="shared" si="156"/>
        <v>2</v>
      </c>
      <c r="BX40" s="33">
        <f t="shared" ref="BX40:BY40" si="157">_xlfn.RANK.AVG(BX21,BX$7:BX$24,1)</f>
        <v>9</v>
      </c>
      <c r="BY40" s="33">
        <f t="shared" si="157"/>
        <v>14</v>
      </c>
      <c r="BZ40" s="33">
        <f t="shared" ref="BZ40:CA40" si="158">_xlfn.RANK.AVG(BZ21,BZ$7:BZ$24,1)</f>
        <v>2</v>
      </c>
      <c r="CA40" s="33">
        <f t="shared" si="158"/>
        <v>11</v>
      </c>
      <c r="CB40" s="33">
        <f t="shared" ref="CB40:CC40" si="159">_xlfn.RANK.AVG(CB21,CB$7:CB$24,1)</f>
        <v>15</v>
      </c>
      <c r="CC40" s="33">
        <f t="shared" si="159"/>
        <v>11</v>
      </c>
      <c r="CD40" s="33">
        <f t="shared" ref="CD40:CE40" si="160">_xlfn.RANK.AVG(CD21,CD$7:CD$24,1)</f>
        <v>6</v>
      </c>
      <c r="CE40" s="33">
        <f t="shared" si="160"/>
        <v>17</v>
      </c>
    </row>
    <row r="41" spans="1:83" x14ac:dyDescent="0.25">
      <c r="A41" s="51"/>
      <c r="B41" s="38" t="s">
        <v>184</v>
      </c>
      <c r="D41" s="33">
        <f t="shared" si="16"/>
        <v>15</v>
      </c>
      <c r="E41" s="33"/>
      <c r="F41" s="33"/>
      <c r="G41" s="33"/>
      <c r="H41" s="33"/>
      <c r="I41" s="33"/>
      <c r="J41" s="33"/>
      <c r="K41" s="33"/>
      <c r="L41" s="33"/>
      <c r="M41" s="33"/>
      <c r="N41" s="33"/>
      <c r="O41" s="33"/>
      <c r="P41" s="33">
        <f t="shared" si="17"/>
        <v>2</v>
      </c>
      <c r="Q41" s="33">
        <f t="shared" ref="Q41:AH43" si="161">_xlfn.RANK.AVG(Q22,Q$7:Q$24,1)</f>
        <v>7</v>
      </c>
      <c r="R41" s="33">
        <f t="shared" si="161"/>
        <v>12</v>
      </c>
      <c r="S41" s="33">
        <f t="shared" si="161"/>
        <v>10</v>
      </c>
      <c r="T41" s="33">
        <f t="shared" si="161"/>
        <v>15</v>
      </c>
      <c r="U41" s="33">
        <f t="shared" si="161"/>
        <v>14</v>
      </c>
      <c r="V41" s="33">
        <f t="shared" si="161"/>
        <v>15</v>
      </c>
      <c r="W41" s="33">
        <f t="shared" si="161"/>
        <v>18</v>
      </c>
      <c r="X41" s="33">
        <f t="shared" si="161"/>
        <v>18</v>
      </c>
      <c r="Y41" s="33">
        <f t="shared" si="161"/>
        <v>14</v>
      </c>
      <c r="Z41" s="33">
        <f t="shared" si="161"/>
        <v>14</v>
      </c>
      <c r="AA41" s="33">
        <f t="shared" si="161"/>
        <v>16</v>
      </c>
      <c r="AB41" s="33">
        <f t="shared" si="161"/>
        <v>10</v>
      </c>
      <c r="AC41" s="33">
        <f t="shared" si="161"/>
        <v>11</v>
      </c>
      <c r="AD41" s="33">
        <f t="shared" si="161"/>
        <v>14</v>
      </c>
      <c r="AE41" s="33">
        <f t="shared" si="161"/>
        <v>16</v>
      </c>
      <c r="AF41" s="33">
        <f t="shared" si="161"/>
        <v>12</v>
      </c>
      <c r="AG41" s="33">
        <f t="shared" si="161"/>
        <v>9</v>
      </c>
      <c r="AH41" s="33">
        <f t="shared" si="161"/>
        <v>14</v>
      </c>
      <c r="AI41" s="33">
        <f t="shared" si="150"/>
        <v>17</v>
      </c>
      <c r="AJ41" s="33">
        <f t="shared" si="150"/>
        <v>17</v>
      </c>
      <c r="AK41" s="33">
        <f t="shared" si="150"/>
        <v>15</v>
      </c>
      <c r="AL41" s="33">
        <f t="shared" si="150"/>
        <v>6</v>
      </c>
      <c r="AM41" s="33">
        <f t="shared" si="150"/>
        <v>17</v>
      </c>
      <c r="AN41" s="33">
        <f t="shared" si="150"/>
        <v>9</v>
      </c>
      <c r="AO41" s="33">
        <f t="shared" si="150"/>
        <v>9</v>
      </c>
      <c r="AP41" s="33">
        <f t="shared" si="150"/>
        <v>14</v>
      </c>
      <c r="AQ41" s="33">
        <f t="shared" si="150"/>
        <v>8</v>
      </c>
      <c r="AR41" s="33">
        <f t="shared" si="150"/>
        <v>8</v>
      </c>
      <c r="AS41" s="33">
        <f t="shared" si="150"/>
        <v>12</v>
      </c>
      <c r="AT41" s="33">
        <f t="shared" si="150"/>
        <v>3</v>
      </c>
      <c r="AU41" s="33">
        <f t="shared" si="58"/>
        <v>15</v>
      </c>
      <c r="AV41" s="33">
        <f t="shared" si="58"/>
        <v>7</v>
      </c>
      <c r="AW41" s="33">
        <f t="shared" si="58"/>
        <v>11</v>
      </c>
      <c r="AX41" s="33">
        <f t="shared" si="58"/>
        <v>1</v>
      </c>
      <c r="AY41" s="33">
        <f t="shared" si="58"/>
        <v>2</v>
      </c>
      <c r="AZ41" s="33">
        <f t="shared" si="58"/>
        <v>4</v>
      </c>
      <c r="BA41" s="33">
        <f t="shared" si="58"/>
        <v>12</v>
      </c>
      <c r="BB41" s="33">
        <f t="shared" si="58"/>
        <v>10</v>
      </c>
      <c r="BC41" s="33">
        <f t="shared" si="58"/>
        <v>12</v>
      </c>
      <c r="BD41" s="33">
        <f t="shared" si="4"/>
        <v>13</v>
      </c>
      <c r="BE41" s="33">
        <f t="shared" si="58"/>
        <v>7</v>
      </c>
      <c r="BF41" s="33">
        <f t="shared" si="58"/>
        <v>7</v>
      </c>
      <c r="BG41" s="33">
        <f t="shared" si="58"/>
        <v>12</v>
      </c>
      <c r="BH41" s="33">
        <f t="shared" si="58"/>
        <v>14</v>
      </c>
      <c r="BI41" s="33">
        <f t="shared" si="58"/>
        <v>15</v>
      </c>
      <c r="BJ41" s="33">
        <f t="shared" si="5"/>
        <v>8</v>
      </c>
      <c r="BK41" s="33">
        <f t="shared" si="5"/>
        <v>5</v>
      </c>
      <c r="BL41" s="33">
        <f t="shared" ref="BL41:BM41" si="162">_xlfn.RANK.AVG(BL22,BL$7:BL$24,1)</f>
        <v>2</v>
      </c>
      <c r="BM41" s="33">
        <f t="shared" si="162"/>
        <v>6</v>
      </c>
      <c r="BN41" s="33">
        <f t="shared" ref="BN41:BO41" si="163">_xlfn.RANK.AVG(BN22,BN$7:BN$24,1)</f>
        <v>11</v>
      </c>
      <c r="BO41" s="33">
        <f t="shared" si="163"/>
        <v>7</v>
      </c>
      <c r="BP41" s="33">
        <f t="shared" ref="BP41:BQ41" si="164">_xlfn.RANK.AVG(BP22,BP$7:BP$24,1)</f>
        <v>13</v>
      </c>
      <c r="BQ41" s="33">
        <f t="shared" si="164"/>
        <v>16</v>
      </c>
      <c r="BR41" s="33">
        <f t="shared" ref="BR41:BS41" si="165">_xlfn.RANK.AVG(BR22,BR$7:BR$24,1)</f>
        <v>10</v>
      </c>
      <c r="BS41" s="33">
        <f t="shared" si="165"/>
        <v>16</v>
      </c>
      <c r="BT41" s="33">
        <f t="shared" ref="BT41:BU41" si="166">_xlfn.RANK.AVG(BT22,BT$7:BT$24,1)</f>
        <v>9</v>
      </c>
      <c r="BU41" s="33">
        <f t="shared" si="166"/>
        <v>14</v>
      </c>
      <c r="BV41" s="33">
        <f t="shared" ref="BV41:BW41" si="167">_xlfn.RANK.AVG(BV22,BV$7:BV$24,1)</f>
        <v>11</v>
      </c>
      <c r="BW41" s="33">
        <f t="shared" si="167"/>
        <v>9</v>
      </c>
      <c r="BX41" s="33">
        <f t="shared" ref="BX41:BY41" si="168">_xlfn.RANK.AVG(BX22,BX$7:BX$24,1)</f>
        <v>17</v>
      </c>
      <c r="BY41" s="33">
        <f t="shared" si="168"/>
        <v>11</v>
      </c>
      <c r="BZ41" s="33">
        <f t="shared" ref="BZ41:CA41" si="169">_xlfn.RANK.AVG(BZ22,BZ$7:BZ$24,1)</f>
        <v>7</v>
      </c>
      <c r="CA41" s="33">
        <f t="shared" si="169"/>
        <v>17</v>
      </c>
      <c r="CB41" s="33">
        <f t="shared" ref="CB41:CC41" si="170">_xlfn.RANK.AVG(CB22,CB$7:CB$24,1)</f>
        <v>18</v>
      </c>
      <c r="CC41" s="33">
        <f t="shared" si="170"/>
        <v>14</v>
      </c>
      <c r="CD41" s="33">
        <f t="shared" ref="CD41:CE41" si="171">_xlfn.RANK.AVG(CD22,CD$7:CD$24,1)</f>
        <v>10</v>
      </c>
      <c r="CE41" s="33">
        <f t="shared" si="171"/>
        <v>12</v>
      </c>
    </row>
    <row r="42" spans="1:83" x14ac:dyDescent="0.25">
      <c r="A42" s="51"/>
      <c r="B42" s="32" t="s">
        <v>186</v>
      </c>
      <c r="D42" s="33">
        <f t="shared" si="16"/>
        <v>12.833333333333334</v>
      </c>
      <c r="E42" s="33"/>
      <c r="F42" s="33"/>
      <c r="G42" s="33"/>
      <c r="H42" s="33"/>
      <c r="I42" s="33"/>
      <c r="J42" s="33"/>
      <c r="K42" s="33"/>
      <c r="L42" s="33"/>
      <c r="M42" s="33"/>
      <c r="N42" s="33"/>
      <c r="O42" s="33"/>
      <c r="P42" s="33">
        <f>_xlfn.RANK.AVG(P23,$P$7:$P$24,1)</f>
        <v>15</v>
      </c>
      <c r="Q42" s="33">
        <f t="shared" si="161"/>
        <v>15</v>
      </c>
      <c r="R42" s="33">
        <f t="shared" si="161"/>
        <v>7</v>
      </c>
      <c r="S42" s="33">
        <f t="shared" si="161"/>
        <v>11</v>
      </c>
      <c r="T42" s="33">
        <f t="shared" si="161"/>
        <v>11</v>
      </c>
      <c r="U42" s="33">
        <f t="shared" si="161"/>
        <v>16</v>
      </c>
      <c r="V42" s="33">
        <f t="shared" si="161"/>
        <v>17</v>
      </c>
      <c r="W42" s="33">
        <f t="shared" si="161"/>
        <v>7</v>
      </c>
      <c r="X42" s="33">
        <f t="shared" si="161"/>
        <v>15</v>
      </c>
      <c r="Y42" s="33">
        <f t="shared" si="161"/>
        <v>12</v>
      </c>
      <c r="Z42" s="33">
        <f t="shared" si="161"/>
        <v>4</v>
      </c>
      <c r="AA42" s="33">
        <f t="shared" si="161"/>
        <v>12</v>
      </c>
      <c r="AB42" s="33">
        <f t="shared" si="161"/>
        <v>7</v>
      </c>
      <c r="AC42" s="33">
        <f t="shared" si="161"/>
        <v>13</v>
      </c>
      <c r="AD42" s="33">
        <f t="shared" si="161"/>
        <v>9</v>
      </c>
      <c r="AE42" s="33">
        <f t="shared" si="161"/>
        <v>11</v>
      </c>
      <c r="AF42" s="33">
        <f t="shared" si="161"/>
        <v>6</v>
      </c>
      <c r="AG42" s="33">
        <f t="shared" si="161"/>
        <v>11</v>
      </c>
      <c r="AH42" s="33">
        <f t="shared" si="161"/>
        <v>5</v>
      </c>
      <c r="AI42" s="33">
        <f t="shared" si="150"/>
        <v>13</v>
      </c>
      <c r="AJ42" s="33">
        <f t="shared" si="150"/>
        <v>13</v>
      </c>
      <c r="AK42" s="33">
        <f t="shared" si="150"/>
        <v>9</v>
      </c>
      <c r="AL42" s="33">
        <f t="shared" si="150"/>
        <v>13</v>
      </c>
      <c r="AM42" s="33">
        <f t="shared" si="150"/>
        <v>12</v>
      </c>
      <c r="AN42" s="33">
        <f t="shared" si="150"/>
        <v>16</v>
      </c>
      <c r="AO42" s="33">
        <f t="shared" si="150"/>
        <v>17</v>
      </c>
      <c r="AP42" s="33">
        <f t="shared" si="150"/>
        <v>12</v>
      </c>
      <c r="AQ42" s="33">
        <f t="shared" si="150"/>
        <v>13</v>
      </c>
      <c r="AR42" s="33">
        <f t="shared" si="150"/>
        <v>11</v>
      </c>
      <c r="AS42" s="33">
        <f t="shared" si="150"/>
        <v>16</v>
      </c>
      <c r="AT42" s="33">
        <f t="shared" si="150"/>
        <v>10</v>
      </c>
      <c r="AU42" s="33">
        <f t="shared" si="58"/>
        <v>12</v>
      </c>
      <c r="AV42" s="33">
        <f t="shared" si="58"/>
        <v>8</v>
      </c>
      <c r="AW42" s="33">
        <f t="shared" si="58"/>
        <v>16</v>
      </c>
      <c r="AX42" s="33">
        <f t="shared" si="58"/>
        <v>17</v>
      </c>
      <c r="AY42" s="33">
        <f t="shared" si="58"/>
        <v>13</v>
      </c>
      <c r="AZ42" s="33">
        <f t="shared" si="58"/>
        <v>9</v>
      </c>
      <c r="BA42" s="33">
        <f t="shared" si="58"/>
        <v>14</v>
      </c>
      <c r="BB42" s="33">
        <f t="shared" si="58"/>
        <v>15</v>
      </c>
      <c r="BC42" s="33">
        <f t="shared" si="58"/>
        <v>9</v>
      </c>
      <c r="BD42" s="33">
        <f t="shared" si="4"/>
        <v>12</v>
      </c>
      <c r="BE42" s="33">
        <f t="shared" si="58"/>
        <v>14</v>
      </c>
      <c r="BF42" s="33">
        <f t="shared" si="58"/>
        <v>14</v>
      </c>
      <c r="BG42" s="33">
        <f t="shared" si="58"/>
        <v>11</v>
      </c>
      <c r="BH42" s="33">
        <f t="shared" si="58"/>
        <v>12</v>
      </c>
      <c r="BI42" s="33">
        <f t="shared" si="58"/>
        <v>13</v>
      </c>
      <c r="BJ42" s="33">
        <f t="shared" si="5"/>
        <v>14</v>
      </c>
      <c r="BK42" s="33">
        <f t="shared" si="5"/>
        <v>13</v>
      </c>
      <c r="BL42" s="33">
        <f t="shared" ref="BL42:BM42" si="172">_xlfn.RANK.AVG(BL23,BL$7:BL$24,1)</f>
        <v>12</v>
      </c>
      <c r="BM42" s="33">
        <f t="shared" si="172"/>
        <v>15</v>
      </c>
      <c r="BN42" s="33">
        <f t="shared" ref="BN42:BO42" si="173">_xlfn.RANK.AVG(BN23,BN$7:BN$24,1)</f>
        <v>14</v>
      </c>
      <c r="BO42" s="33">
        <f t="shared" si="173"/>
        <v>14</v>
      </c>
      <c r="BP42" s="33">
        <f t="shared" ref="BP42:BQ42" si="174">_xlfn.RANK.AVG(BP23,BP$7:BP$24,1)</f>
        <v>9</v>
      </c>
      <c r="BQ42" s="33">
        <f t="shared" si="174"/>
        <v>9</v>
      </c>
      <c r="BR42" s="33">
        <f t="shared" ref="BR42:BS42" si="175">_xlfn.RANK.AVG(BR23,BR$7:BR$24,1)</f>
        <v>7</v>
      </c>
      <c r="BS42" s="33">
        <f t="shared" si="175"/>
        <v>10</v>
      </c>
      <c r="BT42" s="33">
        <f t="shared" ref="BT42:BU42" si="176">_xlfn.RANK.AVG(BT23,BT$7:BT$24,1)</f>
        <v>5</v>
      </c>
      <c r="BU42" s="33">
        <f t="shared" si="176"/>
        <v>10</v>
      </c>
      <c r="BV42" s="33">
        <f t="shared" ref="BV42:BW42" si="177">_xlfn.RANK.AVG(BV23,BV$7:BV$24,1)</f>
        <v>5</v>
      </c>
      <c r="BW42" s="33">
        <f t="shared" si="177"/>
        <v>15</v>
      </c>
      <c r="BX42" s="33">
        <f t="shared" ref="BX42:BY42" si="178">_xlfn.RANK.AVG(BX23,BX$7:BX$24,1)</f>
        <v>13</v>
      </c>
      <c r="BY42" s="33">
        <f t="shared" si="178"/>
        <v>8</v>
      </c>
      <c r="BZ42" s="33">
        <f t="shared" ref="BZ42:CA42" si="179">_xlfn.RANK.AVG(BZ23,BZ$7:BZ$24,1)</f>
        <v>14</v>
      </c>
      <c r="CA42" s="33">
        <f t="shared" si="179"/>
        <v>16</v>
      </c>
      <c r="CB42" s="33">
        <f t="shared" ref="CB42:CC42" si="180">_xlfn.RANK.AVG(CB23,CB$7:CB$24,1)</f>
        <v>9</v>
      </c>
      <c r="CC42" s="33">
        <f t="shared" si="180"/>
        <v>10</v>
      </c>
      <c r="CD42" s="33">
        <f t="shared" ref="CD42:CE42" si="181">_xlfn.RANK.AVG(CD23,CD$7:CD$24,1)</f>
        <v>9</v>
      </c>
      <c r="CE42" s="33">
        <f t="shared" si="181"/>
        <v>13</v>
      </c>
    </row>
    <row r="43" spans="1:83" x14ac:dyDescent="0.25">
      <c r="A43" s="51"/>
      <c r="B43" s="38" t="s">
        <v>188</v>
      </c>
      <c r="D43" s="33">
        <f t="shared" si="16"/>
        <v>12.833333333333334</v>
      </c>
      <c r="E43" s="33"/>
      <c r="F43" s="33"/>
      <c r="G43" s="33"/>
      <c r="H43" s="33"/>
      <c r="I43" s="33"/>
      <c r="J43" s="33"/>
      <c r="K43" s="33"/>
      <c r="L43" s="33"/>
      <c r="M43" s="33"/>
      <c r="N43" s="33"/>
      <c r="O43" s="33"/>
      <c r="P43" s="33">
        <f t="shared" si="17"/>
        <v>11</v>
      </c>
      <c r="Q43" s="33">
        <f t="shared" si="161"/>
        <v>5</v>
      </c>
      <c r="R43" s="33">
        <f t="shared" si="161"/>
        <v>8</v>
      </c>
      <c r="S43" s="33">
        <f t="shared" si="161"/>
        <v>16</v>
      </c>
      <c r="T43" s="33">
        <f t="shared" si="161"/>
        <v>14</v>
      </c>
      <c r="U43" s="33">
        <f t="shared" si="161"/>
        <v>13</v>
      </c>
      <c r="V43" s="33">
        <f t="shared" si="161"/>
        <v>13</v>
      </c>
      <c r="W43" s="33">
        <f t="shared" si="161"/>
        <v>10</v>
      </c>
      <c r="X43" s="33">
        <f t="shared" si="161"/>
        <v>11</v>
      </c>
      <c r="Y43" s="33">
        <f t="shared" si="161"/>
        <v>17</v>
      </c>
      <c r="Z43" s="33">
        <f t="shared" si="161"/>
        <v>16</v>
      </c>
      <c r="AA43" s="33">
        <f t="shared" si="161"/>
        <v>17</v>
      </c>
      <c r="AB43" s="33">
        <f t="shared" si="161"/>
        <v>17</v>
      </c>
      <c r="AC43" s="33">
        <f t="shared" si="161"/>
        <v>17</v>
      </c>
      <c r="AD43" s="33">
        <f t="shared" si="161"/>
        <v>17</v>
      </c>
      <c r="AE43" s="33">
        <f t="shared" si="161"/>
        <v>15</v>
      </c>
      <c r="AF43" s="33">
        <f t="shared" si="161"/>
        <v>17</v>
      </c>
      <c r="AG43" s="33">
        <f t="shared" si="161"/>
        <v>7</v>
      </c>
      <c r="AH43" s="33">
        <f t="shared" si="161"/>
        <v>3</v>
      </c>
      <c r="AI43" s="33">
        <f t="shared" si="150"/>
        <v>9</v>
      </c>
      <c r="AJ43" s="33">
        <f t="shared" si="150"/>
        <v>12</v>
      </c>
      <c r="AK43" s="33">
        <f t="shared" si="150"/>
        <v>17</v>
      </c>
      <c r="AL43" s="33">
        <f t="shared" si="150"/>
        <v>5</v>
      </c>
      <c r="AM43" s="33">
        <f t="shared" si="150"/>
        <v>14</v>
      </c>
      <c r="AN43" s="33">
        <f t="shared" si="150"/>
        <v>14</v>
      </c>
      <c r="AO43" s="33">
        <f t="shared" si="150"/>
        <v>8</v>
      </c>
      <c r="AP43" s="33">
        <f t="shared" si="150"/>
        <v>10</v>
      </c>
      <c r="AQ43" s="33">
        <f t="shared" si="150"/>
        <v>11</v>
      </c>
      <c r="AR43" s="33">
        <f t="shared" si="150"/>
        <v>7</v>
      </c>
      <c r="AS43" s="33">
        <f t="shared" si="150"/>
        <v>11</v>
      </c>
      <c r="AT43" s="33">
        <f t="shared" si="150"/>
        <v>12</v>
      </c>
      <c r="AU43" s="33">
        <f t="shared" si="58"/>
        <v>3</v>
      </c>
      <c r="AV43" s="33">
        <f t="shared" si="58"/>
        <v>2</v>
      </c>
      <c r="AW43" s="33">
        <f t="shared" si="58"/>
        <v>2</v>
      </c>
      <c r="AX43" s="33">
        <f t="shared" si="58"/>
        <v>8</v>
      </c>
      <c r="AY43" s="33">
        <f t="shared" si="58"/>
        <v>1</v>
      </c>
      <c r="AZ43" s="33">
        <f t="shared" si="58"/>
        <v>2</v>
      </c>
      <c r="BA43" s="33">
        <f t="shared" si="58"/>
        <v>3</v>
      </c>
      <c r="BB43" s="33">
        <f t="shared" si="58"/>
        <v>4</v>
      </c>
      <c r="BC43" s="33">
        <f t="shared" si="58"/>
        <v>11</v>
      </c>
      <c r="BD43" s="33">
        <f t="shared" si="4"/>
        <v>5</v>
      </c>
      <c r="BE43" s="33">
        <f t="shared" si="58"/>
        <v>3</v>
      </c>
      <c r="BF43" s="33">
        <f t="shared" si="58"/>
        <v>5</v>
      </c>
      <c r="BG43" s="33">
        <f t="shared" si="58"/>
        <v>4</v>
      </c>
      <c r="BH43" s="33">
        <f t="shared" si="58"/>
        <v>5</v>
      </c>
      <c r="BI43" s="33">
        <f t="shared" si="58"/>
        <v>3</v>
      </c>
      <c r="BJ43" s="33">
        <f t="shared" si="5"/>
        <v>6</v>
      </c>
      <c r="BK43" s="33">
        <f t="shared" si="5"/>
        <v>8</v>
      </c>
      <c r="BL43" s="33">
        <f t="shared" ref="BL43:BM43" si="182">_xlfn.RANK.AVG(BL24,BL$7:BL$24,1)</f>
        <v>10</v>
      </c>
      <c r="BM43" s="33">
        <f t="shared" si="182"/>
        <v>7</v>
      </c>
      <c r="BN43" s="33">
        <f t="shared" ref="BN43:BO43" si="183">_xlfn.RANK.AVG(BN24,BN$7:BN$24,1)</f>
        <v>13</v>
      </c>
      <c r="BO43" s="33">
        <f t="shared" si="183"/>
        <v>6</v>
      </c>
      <c r="BP43" s="33">
        <f t="shared" ref="BP43:BQ43" si="184">_xlfn.RANK.AVG(BP24,BP$7:BP$24,1)</f>
        <v>3</v>
      </c>
      <c r="BQ43" s="33">
        <f t="shared" si="184"/>
        <v>4</v>
      </c>
      <c r="BR43" s="33">
        <f t="shared" ref="BR43:BS43" si="185">_xlfn.RANK.AVG(BR24,BR$7:BR$24,1)</f>
        <v>3</v>
      </c>
      <c r="BS43" s="33">
        <f t="shared" si="185"/>
        <v>5</v>
      </c>
      <c r="BT43" s="33">
        <f t="shared" ref="BT43:BU43" si="186">_xlfn.RANK.AVG(BT24,BT$7:BT$24,1)</f>
        <v>15</v>
      </c>
      <c r="BU43" s="33">
        <f t="shared" si="186"/>
        <v>11</v>
      </c>
      <c r="BV43" s="33">
        <f t="shared" ref="BV43:BW43" si="187">_xlfn.RANK.AVG(BV24,BV$7:BV$24,1)</f>
        <v>15</v>
      </c>
      <c r="BW43" s="33">
        <f t="shared" si="187"/>
        <v>16</v>
      </c>
      <c r="BX43" s="33">
        <f t="shared" ref="BX43:BY43" si="188">_xlfn.RANK.AVG(BX24,BX$7:BX$24,1)</f>
        <v>15</v>
      </c>
      <c r="BY43" s="33">
        <f t="shared" si="188"/>
        <v>17</v>
      </c>
      <c r="BZ43" s="33">
        <f t="shared" ref="BZ43:CA43" si="189">_xlfn.RANK.AVG(BZ24,BZ$7:BZ$24,1)</f>
        <v>8</v>
      </c>
      <c r="CA43" s="33">
        <f t="shared" si="189"/>
        <v>13</v>
      </c>
      <c r="CB43" s="33">
        <f t="shared" ref="CB43:CC43" si="190">_xlfn.RANK.AVG(CB24,CB$7:CB$24,1)</f>
        <v>17</v>
      </c>
      <c r="CC43" s="33">
        <f t="shared" si="190"/>
        <v>17</v>
      </c>
      <c r="CD43" s="33">
        <f t="shared" ref="CD43:CE43" si="191">_xlfn.RANK.AVG(CD24,CD$7:CD$24,1)</f>
        <v>12</v>
      </c>
      <c r="CE43" s="33">
        <f t="shared" si="191"/>
        <v>16</v>
      </c>
    </row>
    <row r="44" spans="1:83" s="39" customFormat="1" hidden="1" x14ac:dyDescent="0.25">
      <c r="E44" s="40"/>
      <c r="F44" s="40"/>
      <c r="G44" s="40"/>
      <c r="H44" s="40"/>
      <c r="I44" s="40"/>
      <c r="J44" s="40"/>
      <c r="K44" s="40"/>
      <c r="L44" s="40"/>
      <c r="M44" s="40"/>
      <c r="N44" s="40"/>
      <c r="O44" s="40"/>
      <c r="P44" s="40"/>
      <c r="Q44" s="40"/>
      <c r="R44" s="40"/>
      <c r="S44" s="40"/>
      <c r="T44" s="40"/>
      <c r="U44" s="40"/>
      <c r="V44" s="40"/>
      <c r="W44" s="40"/>
      <c r="X44" s="40"/>
    </row>
    <row r="45" spans="1:83" s="34" customFormat="1" hidden="1" x14ac:dyDescent="0.25">
      <c r="A45" s="51" t="s">
        <v>472</v>
      </c>
      <c r="B45" s="38" t="s">
        <v>166</v>
      </c>
      <c r="C45" s="21"/>
      <c r="D45" s="33">
        <f>SUM(S45:X45)</f>
        <v>59</v>
      </c>
      <c r="E45" s="41"/>
      <c r="F45" s="41"/>
      <c r="G45" s="33"/>
      <c r="H45" s="33"/>
      <c r="I45" s="33"/>
      <c r="J45" s="33"/>
      <c r="K45" s="33">
        <v>0</v>
      </c>
      <c r="L45" s="33">
        <v>3</v>
      </c>
      <c r="M45" s="33">
        <v>-4</v>
      </c>
      <c r="N45" s="33">
        <v>5</v>
      </c>
      <c r="O45" s="33">
        <v>13</v>
      </c>
      <c r="P45" s="33">
        <v>4</v>
      </c>
      <c r="Q45" s="33">
        <v>-2</v>
      </c>
      <c r="R45" s="33">
        <v>-5</v>
      </c>
      <c r="S45" s="33">
        <v>14</v>
      </c>
      <c r="T45" s="33">
        <v>5</v>
      </c>
      <c r="U45" s="33">
        <v>2</v>
      </c>
      <c r="V45" s="33">
        <v>13</v>
      </c>
      <c r="W45" s="33">
        <v>15</v>
      </c>
      <c r="X45" s="33">
        <v>10</v>
      </c>
      <c r="Y45" s="33">
        <v>-4</v>
      </c>
      <c r="Z45" s="33">
        <v>6</v>
      </c>
      <c r="AA45" s="33">
        <v>14</v>
      </c>
      <c r="AB45" s="33">
        <v>14</v>
      </c>
      <c r="AC45" s="33">
        <v>10</v>
      </c>
      <c r="AD45" s="33">
        <v>4</v>
      </c>
      <c r="AE45" s="33">
        <v>4</v>
      </c>
      <c r="AF45" s="33">
        <v>12</v>
      </c>
      <c r="AG45" s="33">
        <v>9</v>
      </c>
      <c r="AH45" s="33">
        <v>6</v>
      </c>
      <c r="AI45" s="33">
        <v>3</v>
      </c>
      <c r="AJ45" s="33">
        <v>0</v>
      </c>
      <c r="AK45" s="33">
        <v>15</v>
      </c>
      <c r="AL45" s="33">
        <v>-4</v>
      </c>
      <c r="AM45" s="33">
        <v>-1</v>
      </c>
      <c r="AN45" s="33">
        <v>8</v>
      </c>
      <c r="AO45" s="33">
        <v>13</v>
      </c>
      <c r="AP45" s="33">
        <v>5</v>
      </c>
      <c r="AQ45" s="33">
        <v>12</v>
      </c>
      <c r="AR45" s="33">
        <v>-3</v>
      </c>
      <c r="AS45" s="33">
        <v>-2</v>
      </c>
      <c r="AT45" s="33">
        <v>-2</v>
      </c>
      <c r="AU45" s="33">
        <v>7</v>
      </c>
      <c r="AV45" s="33">
        <v>12</v>
      </c>
      <c r="AW45" s="33">
        <v>8</v>
      </c>
      <c r="AX45" s="33">
        <v>6</v>
      </c>
      <c r="AY45" s="33">
        <v>1</v>
      </c>
      <c r="AZ45" s="33">
        <v>0</v>
      </c>
      <c r="BA45" s="33">
        <v>13</v>
      </c>
      <c r="BB45" s="33">
        <v>13</v>
      </c>
      <c r="BC45" s="33">
        <v>15</v>
      </c>
      <c r="BD45" s="33">
        <v>12</v>
      </c>
      <c r="BE45" s="33">
        <v>12</v>
      </c>
      <c r="BF45" s="33">
        <v>-2</v>
      </c>
      <c r="BG45" s="33">
        <v>-2</v>
      </c>
      <c r="BH45" s="33">
        <v>0</v>
      </c>
      <c r="BI45" s="33">
        <v>9</v>
      </c>
      <c r="BJ45" s="33">
        <v>0</v>
      </c>
      <c r="BK45" s="33">
        <v>9</v>
      </c>
      <c r="BL45" s="33">
        <v>12</v>
      </c>
      <c r="BM45" s="33">
        <v>13</v>
      </c>
      <c r="BN45" s="33">
        <v>10</v>
      </c>
      <c r="BO45" s="33">
        <v>9</v>
      </c>
      <c r="BP45" s="33">
        <v>10</v>
      </c>
      <c r="BQ45" s="33">
        <v>0</v>
      </c>
      <c r="BR45" s="33">
        <v>8</v>
      </c>
      <c r="BS45" s="33">
        <v>0</v>
      </c>
      <c r="BT45" s="33">
        <v>13</v>
      </c>
      <c r="BU45" s="33"/>
    </row>
    <row r="46" spans="1:83" s="34" customFormat="1" hidden="1" x14ac:dyDescent="0.25">
      <c r="A46" s="51"/>
      <c r="B46" s="38" t="s">
        <v>226</v>
      </c>
      <c r="D46" s="33">
        <f t="shared" ref="D46:D62" si="192">SUM(S46:X46)</f>
        <v>28</v>
      </c>
      <c r="E46" s="41"/>
      <c r="F46" s="41"/>
      <c r="G46" s="33"/>
      <c r="H46" s="33"/>
      <c r="I46" s="33"/>
      <c r="J46" s="33"/>
      <c r="K46" s="33">
        <v>13</v>
      </c>
      <c r="L46" s="33">
        <v>-7</v>
      </c>
      <c r="M46" s="33">
        <v>0</v>
      </c>
      <c r="N46" s="33">
        <v>12</v>
      </c>
      <c r="O46" s="33">
        <v>0</v>
      </c>
      <c r="P46" s="33">
        <v>0</v>
      </c>
      <c r="Q46" s="33">
        <v>-16</v>
      </c>
      <c r="R46" s="33">
        <v>3</v>
      </c>
      <c r="S46" s="33">
        <v>15</v>
      </c>
      <c r="T46" s="33">
        <v>6</v>
      </c>
      <c r="U46" s="33">
        <v>-3</v>
      </c>
      <c r="V46" s="33">
        <v>-1</v>
      </c>
      <c r="W46" s="33">
        <v>12</v>
      </c>
      <c r="X46" s="33">
        <v>-1</v>
      </c>
      <c r="Y46" s="33">
        <v>6</v>
      </c>
      <c r="Z46" s="33">
        <v>0</v>
      </c>
      <c r="AA46" s="33">
        <v>-2</v>
      </c>
      <c r="AB46" s="33">
        <v>12</v>
      </c>
      <c r="AC46" s="33">
        <v>-1</v>
      </c>
      <c r="AD46" s="33">
        <v>3</v>
      </c>
      <c r="AE46" s="33">
        <v>-1</v>
      </c>
      <c r="AF46" s="33">
        <v>0</v>
      </c>
      <c r="AG46" s="33">
        <v>-0.5</v>
      </c>
      <c r="AH46" s="33">
        <v>-1</v>
      </c>
      <c r="AI46" s="33">
        <v>-1</v>
      </c>
      <c r="AJ46" s="33">
        <v>8</v>
      </c>
      <c r="AK46" s="33">
        <v>-2</v>
      </c>
      <c r="AL46" s="33">
        <v>-6</v>
      </c>
      <c r="AM46" s="33">
        <v>-2</v>
      </c>
      <c r="AN46" s="33">
        <v>-2</v>
      </c>
      <c r="AO46" s="33">
        <v>0</v>
      </c>
      <c r="AP46" s="33">
        <v>-3</v>
      </c>
      <c r="AQ46" s="33">
        <v>0</v>
      </c>
      <c r="AR46" s="33">
        <v>-4</v>
      </c>
      <c r="AS46" s="33">
        <v>-3</v>
      </c>
      <c r="AT46" s="33">
        <v>6</v>
      </c>
      <c r="AU46" s="33">
        <v>14</v>
      </c>
      <c r="AV46" s="33">
        <v>7</v>
      </c>
      <c r="AW46" s="33">
        <v>0</v>
      </c>
      <c r="AX46" s="33">
        <v>12</v>
      </c>
      <c r="AY46" s="33">
        <v>14</v>
      </c>
      <c r="AZ46" s="33">
        <v>9</v>
      </c>
      <c r="BA46" s="33">
        <v>0</v>
      </c>
      <c r="BB46" s="33">
        <v>-2</v>
      </c>
      <c r="BC46" s="33">
        <v>-2</v>
      </c>
      <c r="BD46" s="33">
        <v>-2</v>
      </c>
      <c r="BE46" s="33">
        <v>-3</v>
      </c>
      <c r="BF46" s="33">
        <v>-3</v>
      </c>
      <c r="BG46" s="33">
        <v>0</v>
      </c>
      <c r="BH46" s="33">
        <v>11</v>
      </c>
      <c r="BI46" s="33">
        <v>12</v>
      </c>
      <c r="BJ46" s="33">
        <v>10</v>
      </c>
      <c r="BK46" s="33">
        <v>12</v>
      </c>
      <c r="BL46" s="33">
        <v>11</v>
      </c>
      <c r="BM46" s="33">
        <v>12</v>
      </c>
      <c r="BN46" s="33">
        <v>-1</v>
      </c>
      <c r="BO46" s="33">
        <v>-4</v>
      </c>
      <c r="BP46" s="33">
        <v>-3</v>
      </c>
      <c r="BQ46" s="33">
        <v>-3</v>
      </c>
      <c r="BR46" s="33">
        <v>-2</v>
      </c>
      <c r="BS46" s="33">
        <v>0</v>
      </c>
      <c r="BT46" s="33">
        <v>7</v>
      </c>
      <c r="BU46" s="33"/>
    </row>
    <row r="47" spans="1:83" s="34" customFormat="1" hidden="1" x14ac:dyDescent="0.25">
      <c r="A47" s="51"/>
      <c r="B47" s="38" t="s">
        <v>227</v>
      </c>
      <c r="D47" s="33">
        <f t="shared" si="192"/>
        <v>36</v>
      </c>
      <c r="E47" s="41"/>
      <c r="F47" s="41"/>
      <c r="G47" s="33"/>
      <c r="H47" s="33"/>
      <c r="I47" s="33"/>
      <c r="J47" s="33"/>
      <c r="K47" s="33">
        <v>10</v>
      </c>
      <c r="L47" s="33">
        <v>7</v>
      </c>
      <c r="M47" s="33">
        <v>8</v>
      </c>
      <c r="N47" s="33">
        <v>-3</v>
      </c>
      <c r="O47" s="33">
        <v>-3</v>
      </c>
      <c r="P47" s="33">
        <v>-9</v>
      </c>
      <c r="Q47" s="33">
        <v>-17</v>
      </c>
      <c r="R47" s="33">
        <v>-8</v>
      </c>
      <c r="S47" s="33">
        <v>0</v>
      </c>
      <c r="T47" s="33">
        <v>11</v>
      </c>
      <c r="U47" s="33">
        <v>13</v>
      </c>
      <c r="V47" s="33">
        <v>16</v>
      </c>
      <c r="W47" s="33">
        <v>0</v>
      </c>
      <c r="X47" s="33">
        <v>-4</v>
      </c>
      <c r="Y47" s="33">
        <v>0</v>
      </c>
      <c r="Z47" s="33">
        <v>0</v>
      </c>
      <c r="AA47" s="33">
        <v>13</v>
      </c>
      <c r="AB47" s="33">
        <v>17</v>
      </c>
      <c r="AC47" s="33">
        <v>17</v>
      </c>
      <c r="AD47" s="33">
        <v>17</v>
      </c>
      <c r="AE47" s="33">
        <v>16</v>
      </c>
      <c r="AF47" s="33">
        <v>17</v>
      </c>
      <c r="AG47" s="33">
        <v>16.5</v>
      </c>
      <c r="AH47" s="33">
        <v>16</v>
      </c>
      <c r="AI47" s="33">
        <v>10</v>
      </c>
      <c r="AJ47" s="33">
        <v>0</v>
      </c>
      <c r="AK47" s="33">
        <v>9</v>
      </c>
      <c r="AL47" s="33">
        <v>-7</v>
      </c>
      <c r="AM47" s="33">
        <v>-3</v>
      </c>
      <c r="AN47" s="33">
        <v>13</v>
      </c>
      <c r="AO47" s="33">
        <v>0</v>
      </c>
      <c r="AP47" s="33">
        <v>10</v>
      </c>
      <c r="AQ47" s="33">
        <v>11</v>
      </c>
      <c r="AR47" s="33">
        <v>0</v>
      </c>
      <c r="AS47" s="33">
        <v>-1</v>
      </c>
      <c r="AT47" s="33">
        <v>-1</v>
      </c>
      <c r="AU47" s="33">
        <v>11</v>
      </c>
      <c r="AV47" s="33">
        <v>0</v>
      </c>
      <c r="AW47" s="33">
        <v>0</v>
      </c>
      <c r="AX47" s="33">
        <v>0</v>
      </c>
      <c r="AY47" s="33">
        <v>0</v>
      </c>
      <c r="AZ47" s="33">
        <v>13</v>
      </c>
      <c r="BA47" s="33">
        <v>12</v>
      </c>
      <c r="BB47" s="33">
        <v>9</v>
      </c>
      <c r="BC47" s="33">
        <v>14</v>
      </c>
      <c r="BD47" s="33">
        <v>-3</v>
      </c>
      <c r="BE47" s="33">
        <v>6</v>
      </c>
      <c r="BF47" s="33">
        <v>0</v>
      </c>
      <c r="BG47" s="33">
        <v>13</v>
      </c>
      <c r="BH47" s="33">
        <v>9</v>
      </c>
      <c r="BI47" s="33">
        <v>-4</v>
      </c>
      <c r="BJ47" s="33">
        <v>-1</v>
      </c>
      <c r="BK47" s="33">
        <v>-4</v>
      </c>
      <c r="BL47" s="33">
        <v>0</v>
      </c>
      <c r="BM47" s="33">
        <v>-3</v>
      </c>
      <c r="BN47" s="33">
        <v>-2</v>
      </c>
      <c r="BO47" s="33">
        <v>0</v>
      </c>
      <c r="BP47" s="33">
        <v>11</v>
      </c>
      <c r="BQ47" s="33">
        <v>9</v>
      </c>
      <c r="BR47" s="33">
        <v>0</v>
      </c>
      <c r="BS47" s="33">
        <v>0</v>
      </c>
      <c r="BT47" s="33">
        <v>14</v>
      </c>
      <c r="BU47" s="33"/>
    </row>
    <row r="48" spans="1:83" s="34" customFormat="1" hidden="1" x14ac:dyDescent="0.25">
      <c r="A48" s="51"/>
      <c r="B48" s="32" t="s">
        <v>168</v>
      </c>
      <c r="D48" s="33">
        <f t="shared" si="192"/>
        <v>37</v>
      </c>
      <c r="E48" s="41"/>
      <c r="F48" s="41"/>
      <c r="G48" s="33"/>
      <c r="H48" s="33"/>
      <c r="I48" s="33"/>
      <c r="J48" s="33"/>
      <c r="K48" s="33">
        <v>7</v>
      </c>
      <c r="L48" s="33">
        <v>-5</v>
      </c>
      <c r="M48" s="33">
        <v>1</v>
      </c>
      <c r="N48" s="33">
        <v>6</v>
      </c>
      <c r="O48" s="33">
        <v>4</v>
      </c>
      <c r="P48" s="33">
        <v>3</v>
      </c>
      <c r="Q48" s="33">
        <v>-7</v>
      </c>
      <c r="R48" s="33">
        <v>-11</v>
      </c>
      <c r="S48" s="33">
        <v>8</v>
      </c>
      <c r="T48" s="33">
        <v>4</v>
      </c>
      <c r="U48" s="33">
        <v>6</v>
      </c>
      <c r="V48" s="33">
        <v>4</v>
      </c>
      <c r="W48" s="33">
        <v>10</v>
      </c>
      <c r="X48" s="33">
        <v>5</v>
      </c>
      <c r="Y48" s="33">
        <v>-2</v>
      </c>
      <c r="Z48" s="33">
        <v>10</v>
      </c>
      <c r="AA48" s="33">
        <v>6</v>
      </c>
      <c r="AB48" s="33">
        <v>5</v>
      </c>
      <c r="AC48" s="33">
        <v>8</v>
      </c>
      <c r="AD48" s="33">
        <v>13</v>
      </c>
      <c r="AE48" s="33">
        <v>8</v>
      </c>
      <c r="AF48" s="33">
        <v>5</v>
      </c>
      <c r="AG48" s="33">
        <v>4</v>
      </c>
      <c r="AH48" s="33">
        <v>3</v>
      </c>
      <c r="AI48" s="33">
        <v>4</v>
      </c>
      <c r="AJ48" s="33">
        <v>6</v>
      </c>
      <c r="AK48" s="33">
        <v>8</v>
      </c>
      <c r="AL48" s="33">
        <v>6</v>
      </c>
      <c r="AM48" s="33">
        <v>7</v>
      </c>
      <c r="AN48" s="33">
        <v>6</v>
      </c>
      <c r="AO48" s="33">
        <v>6</v>
      </c>
      <c r="AP48" s="33">
        <v>12</v>
      </c>
      <c r="AQ48" s="33">
        <v>14</v>
      </c>
      <c r="AR48" s="33">
        <v>7</v>
      </c>
      <c r="AS48" s="33">
        <v>7</v>
      </c>
      <c r="AT48" s="33">
        <v>0</v>
      </c>
      <c r="AU48" s="33">
        <v>13</v>
      </c>
      <c r="AV48" s="33">
        <v>8</v>
      </c>
      <c r="AW48" s="33">
        <v>1</v>
      </c>
      <c r="AX48" s="33">
        <v>4</v>
      </c>
      <c r="AY48" s="33">
        <v>11</v>
      </c>
      <c r="AZ48" s="33">
        <v>5</v>
      </c>
      <c r="BA48" s="33">
        <v>2</v>
      </c>
      <c r="BB48" s="33">
        <v>10</v>
      </c>
      <c r="BC48" s="33">
        <v>1</v>
      </c>
      <c r="BD48" s="33">
        <v>10</v>
      </c>
      <c r="BE48" s="33">
        <v>4</v>
      </c>
      <c r="BF48" s="33">
        <v>-1</v>
      </c>
      <c r="BG48" s="33">
        <v>9</v>
      </c>
      <c r="BH48" s="33">
        <v>-2</v>
      </c>
      <c r="BI48" s="33">
        <v>-3</v>
      </c>
      <c r="BJ48" s="33">
        <v>0</v>
      </c>
      <c r="BK48" s="33">
        <v>7</v>
      </c>
      <c r="BL48" s="33">
        <v>2</v>
      </c>
      <c r="BM48" s="33">
        <v>4</v>
      </c>
      <c r="BN48" s="33">
        <v>4</v>
      </c>
      <c r="BO48" s="33">
        <v>8</v>
      </c>
      <c r="BP48" s="33">
        <v>9</v>
      </c>
      <c r="BQ48" s="33">
        <v>-2</v>
      </c>
      <c r="BR48" s="33">
        <v>10</v>
      </c>
      <c r="BS48" s="33">
        <v>5</v>
      </c>
      <c r="BT48" s="33">
        <v>0</v>
      </c>
      <c r="BU48" s="33"/>
    </row>
    <row r="49" spans="1:83" s="34" customFormat="1" hidden="1" x14ac:dyDescent="0.25">
      <c r="A49" s="51"/>
      <c r="B49" s="38" t="s">
        <v>170</v>
      </c>
      <c r="D49" s="33">
        <f t="shared" si="192"/>
        <v>34</v>
      </c>
      <c r="E49" s="41"/>
      <c r="F49" s="41"/>
      <c r="G49" s="33"/>
      <c r="H49" s="33"/>
      <c r="I49" s="33"/>
      <c r="J49" s="33"/>
      <c r="K49" s="33">
        <v>-3</v>
      </c>
      <c r="L49" s="33">
        <v>0</v>
      </c>
      <c r="M49" s="33">
        <v>-7</v>
      </c>
      <c r="N49" s="33">
        <v>2</v>
      </c>
      <c r="O49" s="33">
        <v>5</v>
      </c>
      <c r="P49" s="33">
        <v>-6</v>
      </c>
      <c r="Q49" s="33">
        <v>-10</v>
      </c>
      <c r="R49" s="33">
        <v>-12</v>
      </c>
      <c r="S49" s="33">
        <v>3</v>
      </c>
      <c r="T49" s="33">
        <v>12</v>
      </c>
      <c r="U49" s="33">
        <v>3</v>
      </c>
      <c r="V49" s="33">
        <v>8</v>
      </c>
      <c r="W49" s="33">
        <v>7</v>
      </c>
      <c r="X49" s="33">
        <v>1</v>
      </c>
      <c r="Y49" s="33">
        <v>-1</v>
      </c>
      <c r="Z49" s="33">
        <v>-1</v>
      </c>
      <c r="AA49" s="33">
        <v>8</v>
      </c>
      <c r="AB49" s="33">
        <v>2</v>
      </c>
      <c r="AC49" s="33">
        <v>9</v>
      </c>
      <c r="AD49" s="33">
        <v>5</v>
      </c>
      <c r="AE49" s="33">
        <v>2</v>
      </c>
      <c r="AF49" s="33">
        <v>2</v>
      </c>
      <c r="AG49" s="33">
        <v>8.5</v>
      </c>
      <c r="AH49" s="33">
        <v>15</v>
      </c>
      <c r="AI49" s="33">
        <v>13</v>
      </c>
      <c r="AJ49" s="33">
        <v>1</v>
      </c>
      <c r="AK49" s="33">
        <v>-1</v>
      </c>
      <c r="AL49" s="33">
        <v>-1</v>
      </c>
      <c r="AM49" s="33">
        <v>12</v>
      </c>
      <c r="AN49" s="33">
        <v>12</v>
      </c>
      <c r="AO49" s="33">
        <v>12</v>
      </c>
      <c r="AP49" s="33">
        <v>11</v>
      </c>
      <c r="AQ49" s="33">
        <v>5</v>
      </c>
      <c r="AR49" s="33">
        <v>11</v>
      </c>
      <c r="AS49" s="33">
        <v>8</v>
      </c>
      <c r="AT49" s="33">
        <v>11</v>
      </c>
      <c r="AU49" s="33">
        <v>10</v>
      </c>
      <c r="AV49" s="33">
        <v>0</v>
      </c>
      <c r="AW49" s="33">
        <v>2</v>
      </c>
      <c r="AX49" s="33">
        <v>7</v>
      </c>
      <c r="AY49" s="33">
        <v>6</v>
      </c>
      <c r="AZ49" s="33">
        <v>11</v>
      </c>
      <c r="BA49" s="33">
        <v>11</v>
      </c>
      <c r="BB49" s="33">
        <v>3</v>
      </c>
      <c r="BC49" s="33">
        <v>11</v>
      </c>
      <c r="BD49" s="33">
        <v>4</v>
      </c>
      <c r="BE49" s="33">
        <v>5</v>
      </c>
      <c r="BF49" s="33">
        <v>3</v>
      </c>
      <c r="BG49" s="33">
        <v>4</v>
      </c>
      <c r="BH49" s="33">
        <v>1</v>
      </c>
      <c r="BI49" s="33">
        <v>-1</v>
      </c>
      <c r="BJ49" s="33">
        <v>2</v>
      </c>
      <c r="BK49" s="33">
        <v>1</v>
      </c>
      <c r="BL49" s="33">
        <v>9</v>
      </c>
      <c r="BM49" s="33">
        <v>7</v>
      </c>
      <c r="BN49" s="33">
        <v>7</v>
      </c>
      <c r="BO49" s="33">
        <v>6</v>
      </c>
      <c r="BP49" s="33">
        <v>3</v>
      </c>
      <c r="BQ49" s="33">
        <v>2</v>
      </c>
      <c r="BR49" s="33">
        <v>7</v>
      </c>
      <c r="BS49" s="33">
        <v>3</v>
      </c>
      <c r="BT49" s="33">
        <v>2</v>
      </c>
      <c r="BU49" s="33"/>
    </row>
    <row r="50" spans="1:83" s="34" customFormat="1" hidden="1" x14ac:dyDescent="0.25">
      <c r="A50" s="51"/>
      <c r="B50" s="32" t="s">
        <v>192</v>
      </c>
      <c r="D50" s="33">
        <f t="shared" si="192"/>
        <v>35</v>
      </c>
      <c r="E50" s="41"/>
      <c r="F50" s="41"/>
      <c r="G50" s="33"/>
      <c r="H50" s="33"/>
      <c r="I50" s="33"/>
      <c r="J50" s="33"/>
      <c r="K50" s="33">
        <v>5</v>
      </c>
      <c r="L50" s="33">
        <v>5</v>
      </c>
      <c r="M50" s="33">
        <v>2</v>
      </c>
      <c r="N50" s="33">
        <v>7</v>
      </c>
      <c r="O50" s="33">
        <v>9</v>
      </c>
      <c r="P50" s="33">
        <v>1</v>
      </c>
      <c r="Q50" s="33"/>
      <c r="R50" s="33">
        <v>2</v>
      </c>
      <c r="S50" s="33">
        <v>5</v>
      </c>
      <c r="T50" s="33">
        <v>2</v>
      </c>
      <c r="U50" s="33">
        <v>4</v>
      </c>
      <c r="V50" s="33">
        <v>7</v>
      </c>
      <c r="W50" s="33">
        <v>8</v>
      </c>
      <c r="X50" s="33">
        <v>9</v>
      </c>
      <c r="Y50" s="33">
        <v>3</v>
      </c>
      <c r="Z50" s="33">
        <v>9</v>
      </c>
      <c r="AA50" s="33">
        <v>4</v>
      </c>
      <c r="AB50" s="33">
        <v>9</v>
      </c>
      <c r="AC50" s="33">
        <v>7</v>
      </c>
      <c r="AD50" s="33">
        <v>15</v>
      </c>
      <c r="AE50" s="33">
        <v>5</v>
      </c>
      <c r="AF50" s="33">
        <v>3</v>
      </c>
      <c r="AG50" s="33">
        <v>5.5</v>
      </c>
      <c r="AH50" s="33">
        <v>8</v>
      </c>
      <c r="AI50" s="33">
        <v>7</v>
      </c>
      <c r="AJ50" s="33">
        <v>5</v>
      </c>
      <c r="AK50" s="33">
        <v>6</v>
      </c>
      <c r="AL50" s="33">
        <v>2</v>
      </c>
      <c r="AM50" s="33">
        <v>8</v>
      </c>
      <c r="AN50" s="33">
        <v>3</v>
      </c>
      <c r="AO50" s="33">
        <v>1</v>
      </c>
      <c r="AP50" s="33">
        <v>0</v>
      </c>
      <c r="AQ50" s="33">
        <v>7</v>
      </c>
      <c r="AR50" s="33">
        <v>-1</v>
      </c>
      <c r="AS50" s="33">
        <v>1</v>
      </c>
      <c r="AT50" s="33">
        <v>8</v>
      </c>
      <c r="AU50" s="33">
        <v>4</v>
      </c>
      <c r="AV50" s="33">
        <v>-1</v>
      </c>
      <c r="AW50" s="33">
        <v>3</v>
      </c>
      <c r="AX50" s="33">
        <v>2</v>
      </c>
      <c r="AY50" s="33">
        <v>4</v>
      </c>
      <c r="AZ50" s="33">
        <v>-2</v>
      </c>
      <c r="BA50" s="33">
        <v>1</v>
      </c>
      <c r="BB50" s="33">
        <v>2</v>
      </c>
      <c r="BC50" s="33">
        <v>13</v>
      </c>
      <c r="BD50" s="33">
        <v>1</v>
      </c>
      <c r="BE50" s="33">
        <v>7</v>
      </c>
      <c r="BF50" s="33">
        <v>6</v>
      </c>
      <c r="BG50" s="33">
        <v>12</v>
      </c>
      <c r="BH50" s="33">
        <v>8</v>
      </c>
      <c r="BI50" s="33">
        <v>8</v>
      </c>
      <c r="BJ50" s="33">
        <v>3</v>
      </c>
      <c r="BK50" s="33">
        <v>11</v>
      </c>
      <c r="BL50" s="33">
        <v>10</v>
      </c>
      <c r="BM50" s="33">
        <v>11</v>
      </c>
      <c r="BN50" s="33">
        <v>2</v>
      </c>
      <c r="BO50" s="33">
        <v>7</v>
      </c>
      <c r="BP50" s="33">
        <v>7</v>
      </c>
      <c r="BQ50" s="33">
        <v>4</v>
      </c>
      <c r="BR50" s="33">
        <v>6</v>
      </c>
      <c r="BS50" s="33">
        <v>9</v>
      </c>
      <c r="BT50" s="33">
        <v>12</v>
      </c>
      <c r="BU50" s="33"/>
    </row>
    <row r="51" spans="1:83" s="34" customFormat="1" hidden="1" x14ac:dyDescent="0.25">
      <c r="A51" s="51"/>
      <c r="B51" s="38" t="s">
        <v>172</v>
      </c>
      <c r="D51" s="33">
        <f t="shared" si="192"/>
        <v>61</v>
      </c>
      <c r="E51" s="41"/>
      <c r="F51" s="41"/>
      <c r="G51" s="33"/>
      <c r="H51" s="33"/>
      <c r="I51" s="33"/>
      <c r="J51" s="33"/>
      <c r="K51" s="33">
        <v>3</v>
      </c>
      <c r="L51" s="33">
        <v>8</v>
      </c>
      <c r="M51" s="33">
        <v>7</v>
      </c>
      <c r="N51" s="33">
        <v>10</v>
      </c>
      <c r="O51" s="33">
        <v>6</v>
      </c>
      <c r="P51" s="33">
        <v>5</v>
      </c>
      <c r="Q51" s="33">
        <v>-4</v>
      </c>
      <c r="R51" s="33">
        <v>-6</v>
      </c>
      <c r="S51" s="33">
        <v>11</v>
      </c>
      <c r="T51" s="33">
        <v>9</v>
      </c>
      <c r="U51" s="33">
        <v>9</v>
      </c>
      <c r="V51" s="33">
        <v>9</v>
      </c>
      <c r="W51" s="33">
        <v>11</v>
      </c>
      <c r="X51" s="33">
        <v>12</v>
      </c>
      <c r="Y51" s="33">
        <v>10</v>
      </c>
      <c r="Z51" s="33">
        <v>5</v>
      </c>
      <c r="AA51" s="33">
        <v>3</v>
      </c>
      <c r="AB51" s="33">
        <v>6</v>
      </c>
      <c r="AC51" s="33">
        <v>6</v>
      </c>
      <c r="AD51" s="33">
        <v>8</v>
      </c>
      <c r="AE51" s="33">
        <v>6</v>
      </c>
      <c r="AF51" s="33">
        <v>10</v>
      </c>
      <c r="AG51" s="33">
        <v>11.5</v>
      </c>
      <c r="AH51" s="33">
        <v>13</v>
      </c>
      <c r="AI51" s="33">
        <v>11</v>
      </c>
      <c r="AJ51" s="33">
        <v>11</v>
      </c>
      <c r="AK51" s="33">
        <v>11</v>
      </c>
      <c r="AL51" s="33">
        <v>7</v>
      </c>
      <c r="AM51" s="33">
        <v>1</v>
      </c>
      <c r="AN51" s="33">
        <v>-1</v>
      </c>
      <c r="AO51" s="33">
        <v>4</v>
      </c>
      <c r="AP51" s="33">
        <v>1</v>
      </c>
      <c r="AQ51" s="33">
        <v>4</v>
      </c>
      <c r="AR51" s="33">
        <v>4</v>
      </c>
      <c r="AS51" s="33">
        <v>2</v>
      </c>
      <c r="AT51" s="33">
        <v>9</v>
      </c>
      <c r="AU51" s="33">
        <v>1</v>
      </c>
      <c r="AV51" s="33">
        <v>6</v>
      </c>
      <c r="AW51" s="33">
        <v>9</v>
      </c>
      <c r="AX51" s="33">
        <v>5</v>
      </c>
      <c r="AY51" s="33">
        <v>5</v>
      </c>
      <c r="AZ51" s="33">
        <v>1</v>
      </c>
      <c r="BA51" s="33">
        <v>4</v>
      </c>
      <c r="BB51" s="33">
        <v>1</v>
      </c>
      <c r="BC51" s="33">
        <v>4</v>
      </c>
      <c r="BD51" s="33">
        <v>-1</v>
      </c>
      <c r="BE51" s="33">
        <v>0</v>
      </c>
      <c r="BF51" s="33">
        <v>11</v>
      </c>
      <c r="BG51" s="33">
        <v>3</v>
      </c>
      <c r="BH51" s="33">
        <v>10</v>
      </c>
      <c r="BI51" s="33">
        <v>11</v>
      </c>
      <c r="BJ51" s="33">
        <v>9</v>
      </c>
      <c r="BK51" s="33">
        <v>6</v>
      </c>
      <c r="BL51" s="33">
        <v>1</v>
      </c>
      <c r="BM51" s="33">
        <v>3</v>
      </c>
      <c r="BN51" s="33">
        <v>9</v>
      </c>
      <c r="BO51" s="33">
        <v>4</v>
      </c>
      <c r="BP51" s="33">
        <v>1</v>
      </c>
      <c r="BQ51" s="33">
        <v>3</v>
      </c>
      <c r="BR51" s="33">
        <v>4</v>
      </c>
      <c r="BS51" s="33">
        <v>0</v>
      </c>
      <c r="BT51" s="33">
        <v>9</v>
      </c>
      <c r="BU51" s="33"/>
    </row>
    <row r="52" spans="1:83" s="34" customFormat="1" hidden="1" x14ac:dyDescent="0.25">
      <c r="A52" s="51"/>
      <c r="B52" s="32" t="s">
        <v>174</v>
      </c>
      <c r="D52" s="33">
        <f t="shared" si="192"/>
        <v>6</v>
      </c>
      <c r="G52" s="33"/>
      <c r="H52" s="33"/>
      <c r="I52" s="33"/>
      <c r="J52" s="33"/>
      <c r="K52" s="33">
        <v>1</v>
      </c>
      <c r="L52" s="33">
        <v>1</v>
      </c>
      <c r="M52" s="33">
        <v>6</v>
      </c>
      <c r="N52" s="33">
        <v>3</v>
      </c>
      <c r="O52" s="33">
        <v>-2</v>
      </c>
      <c r="P52" s="33">
        <v>-1</v>
      </c>
      <c r="Q52" s="33">
        <v>-3</v>
      </c>
      <c r="R52" s="33">
        <v>-1</v>
      </c>
      <c r="S52" s="33">
        <v>2</v>
      </c>
      <c r="T52" s="33">
        <v>-1</v>
      </c>
      <c r="U52" s="33">
        <v>-2</v>
      </c>
      <c r="V52" s="33">
        <v>3</v>
      </c>
      <c r="W52" s="33">
        <v>2</v>
      </c>
      <c r="X52" s="33">
        <v>2</v>
      </c>
      <c r="Y52" s="33">
        <v>8</v>
      </c>
      <c r="Z52" s="33">
        <v>1</v>
      </c>
      <c r="AA52" s="33">
        <v>2</v>
      </c>
      <c r="AB52" s="33">
        <v>4</v>
      </c>
      <c r="AC52" s="33">
        <v>2</v>
      </c>
      <c r="AD52" s="33">
        <v>9</v>
      </c>
      <c r="AE52" s="33">
        <v>10</v>
      </c>
      <c r="AF52" s="33">
        <v>11</v>
      </c>
      <c r="AG52" s="33">
        <v>10.5</v>
      </c>
      <c r="AH52" s="33">
        <v>10</v>
      </c>
      <c r="AI52" s="33">
        <v>15</v>
      </c>
      <c r="AJ52" s="33">
        <v>4</v>
      </c>
      <c r="AK52" s="33">
        <v>3</v>
      </c>
      <c r="AL52" s="33">
        <v>-5</v>
      </c>
      <c r="AM52" s="33">
        <v>0</v>
      </c>
      <c r="AN52" s="33">
        <v>7</v>
      </c>
      <c r="AO52" s="33">
        <v>0</v>
      </c>
      <c r="AP52" s="33">
        <v>-1</v>
      </c>
      <c r="AQ52" s="33">
        <v>3</v>
      </c>
      <c r="AR52" s="33">
        <v>1</v>
      </c>
      <c r="AS52" s="33">
        <v>9</v>
      </c>
      <c r="AT52" s="33">
        <v>13</v>
      </c>
      <c r="AU52" s="33">
        <v>12</v>
      </c>
      <c r="AV52" s="33">
        <v>5</v>
      </c>
      <c r="AW52" s="33">
        <v>-1</v>
      </c>
      <c r="AX52" s="33">
        <v>-1</v>
      </c>
      <c r="AY52" s="33">
        <v>10</v>
      </c>
      <c r="AZ52" s="33">
        <v>12</v>
      </c>
      <c r="BA52" s="33">
        <v>3</v>
      </c>
      <c r="BB52" s="33">
        <v>-1</v>
      </c>
      <c r="BC52" s="33">
        <v>5</v>
      </c>
      <c r="BD52" s="33">
        <v>5</v>
      </c>
      <c r="BE52" s="33">
        <v>9</v>
      </c>
      <c r="BF52" s="33">
        <v>7</v>
      </c>
      <c r="BG52" s="33">
        <v>7</v>
      </c>
      <c r="BH52" s="33">
        <v>-3</v>
      </c>
      <c r="BI52" s="33">
        <v>1</v>
      </c>
      <c r="BJ52" s="33">
        <v>-3</v>
      </c>
      <c r="BK52" s="33">
        <v>2</v>
      </c>
      <c r="BL52" s="33">
        <v>0</v>
      </c>
      <c r="BM52" s="33">
        <v>-1</v>
      </c>
      <c r="BN52" s="33">
        <v>0</v>
      </c>
      <c r="BO52" s="33">
        <v>2</v>
      </c>
      <c r="BP52" s="33">
        <v>6</v>
      </c>
      <c r="BQ52" s="33">
        <v>5</v>
      </c>
      <c r="BR52" s="33">
        <v>3</v>
      </c>
      <c r="BS52" s="33">
        <v>6</v>
      </c>
      <c r="BT52" s="33">
        <v>11</v>
      </c>
      <c r="BU52" s="33"/>
    </row>
    <row r="53" spans="1:83" s="34" customFormat="1" hidden="1" x14ac:dyDescent="0.25">
      <c r="A53" s="51"/>
      <c r="B53" s="38" t="s">
        <v>176</v>
      </c>
      <c r="D53" s="33">
        <f t="shared" si="192"/>
        <v>54</v>
      </c>
      <c r="G53" s="33"/>
      <c r="H53" s="33"/>
      <c r="I53" s="33"/>
      <c r="J53" s="33"/>
      <c r="K53" s="33">
        <v>4</v>
      </c>
      <c r="L53" s="33">
        <v>4</v>
      </c>
      <c r="M53" s="33">
        <v>9</v>
      </c>
      <c r="N53" s="33">
        <v>11</v>
      </c>
      <c r="O53" s="33">
        <v>12</v>
      </c>
      <c r="P53" s="33">
        <v>0</v>
      </c>
      <c r="Q53" s="33">
        <v>-9</v>
      </c>
      <c r="R53" s="33">
        <v>-3</v>
      </c>
      <c r="S53" s="33">
        <v>6</v>
      </c>
      <c r="T53" s="33">
        <v>3</v>
      </c>
      <c r="U53" s="33">
        <v>11</v>
      </c>
      <c r="V53" s="33">
        <v>12</v>
      </c>
      <c r="W53" s="33">
        <v>9</v>
      </c>
      <c r="X53" s="33">
        <v>13</v>
      </c>
      <c r="Y53" s="33">
        <v>11</v>
      </c>
      <c r="Z53" s="33">
        <v>0</v>
      </c>
      <c r="AA53" s="33">
        <v>7</v>
      </c>
      <c r="AB53" s="33">
        <v>15</v>
      </c>
      <c r="AC53" s="33">
        <v>15</v>
      </c>
      <c r="AD53" s="33">
        <v>7</v>
      </c>
      <c r="AE53" s="33">
        <v>14</v>
      </c>
      <c r="AF53" s="33">
        <v>16</v>
      </c>
      <c r="AG53" s="33">
        <v>14</v>
      </c>
      <c r="AH53" s="33">
        <v>12</v>
      </c>
      <c r="AI53" s="33">
        <v>6</v>
      </c>
      <c r="AJ53" s="33">
        <v>16</v>
      </c>
      <c r="AK53" s="33">
        <v>10</v>
      </c>
      <c r="AL53" s="33">
        <v>1</v>
      </c>
      <c r="AM53" s="33">
        <v>13</v>
      </c>
      <c r="AN53" s="33">
        <v>2</v>
      </c>
      <c r="AO53" s="33">
        <v>5</v>
      </c>
      <c r="AP53" s="33">
        <v>9</v>
      </c>
      <c r="AQ53" s="33">
        <v>15</v>
      </c>
      <c r="AR53" s="33">
        <v>9</v>
      </c>
      <c r="AS53" s="33">
        <v>0</v>
      </c>
      <c r="AT53" s="33">
        <v>0</v>
      </c>
      <c r="AU53" s="33">
        <v>-1</v>
      </c>
      <c r="AV53" s="33">
        <v>0</v>
      </c>
      <c r="AW53" s="33">
        <v>6</v>
      </c>
      <c r="AX53" s="33">
        <v>8</v>
      </c>
      <c r="AY53" s="33">
        <v>3</v>
      </c>
      <c r="AZ53" s="33">
        <v>10</v>
      </c>
      <c r="BA53" s="33">
        <v>-1</v>
      </c>
      <c r="BB53" s="33">
        <v>12</v>
      </c>
      <c r="BC53" s="33">
        <v>0</v>
      </c>
      <c r="BD53" s="33">
        <v>13</v>
      </c>
      <c r="BE53" s="33">
        <v>0</v>
      </c>
      <c r="BF53" s="33">
        <v>1</v>
      </c>
      <c r="BG53" s="33">
        <v>5</v>
      </c>
      <c r="BH53" s="33">
        <v>5</v>
      </c>
      <c r="BI53" s="33">
        <v>-2</v>
      </c>
      <c r="BJ53" s="33">
        <v>7</v>
      </c>
      <c r="BK53" s="33">
        <v>5</v>
      </c>
      <c r="BL53" s="33">
        <v>7</v>
      </c>
      <c r="BM53" s="33">
        <v>2</v>
      </c>
      <c r="BN53" s="33">
        <v>8</v>
      </c>
      <c r="BO53" s="33">
        <v>3</v>
      </c>
      <c r="BP53" s="33">
        <v>8</v>
      </c>
      <c r="BQ53" s="33">
        <v>0</v>
      </c>
      <c r="BR53" s="33">
        <v>11</v>
      </c>
      <c r="BS53" s="33">
        <v>-1</v>
      </c>
      <c r="BT53" s="33">
        <v>4</v>
      </c>
      <c r="BU53" s="33"/>
    </row>
    <row r="54" spans="1:83" s="34" customFormat="1" hidden="1" x14ac:dyDescent="0.25">
      <c r="A54" s="51"/>
      <c r="B54" s="38" t="s">
        <v>467</v>
      </c>
      <c r="D54" s="33">
        <f t="shared" si="192"/>
        <v>21</v>
      </c>
      <c r="G54" s="33"/>
      <c r="H54" s="33"/>
      <c r="I54" s="33"/>
      <c r="J54" s="33"/>
      <c r="K54" s="33">
        <v>12</v>
      </c>
      <c r="L54" s="33">
        <v>-4</v>
      </c>
      <c r="M54" s="33">
        <v>-1</v>
      </c>
      <c r="N54" s="33">
        <v>-4</v>
      </c>
      <c r="O54" s="33">
        <v>11</v>
      </c>
      <c r="P54" s="33">
        <v>-8</v>
      </c>
      <c r="Q54" s="33">
        <v>-5</v>
      </c>
      <c r="R54" s="33">
        <v>-13</v>
      </c>
      <c r="S54" s="33">
        <v>0</v>
      </c>
      <c r="T54" s="33">
        <v>-3</v>
      </c>
      <c r="U54" s="33">
        <v>-1</v>
      </c>
      <c r="V54" s="33">
        <v>5</v>
      </c>
      <c r="W54" s="33">
        <v>14</v>
      </c>
      <c r="X54" s="33">
        <v>6</v>
      </c>
      <c r="Y54" s="33">
        <v>5</v>
      </c>
      <c r="Z54" s="33">
        <v>0</v>
      </c>
      <c r="AA54" s="33">
        <v>5</v>
      </c>
      <c r="AB54" s="33">
        <v>16</v>
      </c>
      <c r="AC54" s="33">
        <v>12</v>
      </c>
      <c r="AD54" s="33">
        <v>14</v>
      </c>
      <c r="AE54" s="33">
        <v>3</v>
      </c>
      <c r="AF54" s="33">
        <v>1</v>
      </c>
      <c r="AG54" s="33">
        <v>1.5</v>
      </c>
      <c r="AH54" s="33">
        <v>2</v>
      </c>
      <c r="AI54" s="33">
        <v>9</v>
      </c>
      <c r="AJ54" s="33">
        <v>3</v>
      </c>
      <c r="AK54" s="33">
        <v>-3</v>
      </c>
      <c r="AL54" s="33">
        <v>0</v>
      </c>
      <c r="AM54" s="33">
        <v>10</v>
      </c>
      <c r="AN54" s="33">
        <v>0</v>
      </c>
      <c r="AO54" s="33">
        <v>11</v>
      </c>
      <c r="AP54" s="33">
        <v>13</v>
      </c>
      <c r="AQ54" s="33">
        <v>10</v>
      </c>
      <c r="AR54" s="33">
        <v>13</v>
      </c>
      <c r="AS54" s="33">
        <v>0</v>
      </c>
      <c r="AT54" s="33">
        <v>14</v>
      </c>
      <c r="AU54" s="33">
        <v>15</v>
      </c>
      <c r="AV54" s="33">
        <v>11</v>
      </c>
      <c r="AW54" s="33">
        <v>10</v>
      </c>
      <c r="AX54" s="33">
        <v>-3</v>
      </c>
      <c r="AY54" s="33">
        <v>0</v>
      </c>
      <c r="AZ54" s="33">
        <v>8</v>
      </c>
      <c r="BA54" s="33">
        <v>-2</v>
      </c>
      <c r="BB54" s="33">
        <v>-3</v>
      </c>
      <c r="BC54" s="33">
        <v>-1</v>
      </c>
      <c r="BD54" s="33">
        <v>0</v>
      </c>
      <c r="BE54" s="33">
        <v>-2</v>
      </c>
      <c r="BF54" s="33">
        <v>10</v>
      </c>
      <c r="BG54" s="33">
        <v>0</v>
      </c>
      <c r="BH54" s="33">
        <v>-4</v>
      </c>
      <c r="BI54" s="33">
        <v>5</v>
      </c>
      <c r="BJ54" s="33">
        <v>-2</v>
      </c>
      <c r="BK54" s="33">
        <v>-2</v>
      </c>
      <c r="BL54" s="33">
        <v>-2</v>
      </c>
      <c r="BM54" s="33">
        <v>10</v>
      </c>
      <c r="BN54" s="33">
        <v>-3</v>
      </c>
      <c r="BO54" s="33">
        <v>-5</v>
      </c>
      <c r="BP54" s="33">
        <v>0</v>
      </c>
      <c r="BQ54" s="33">
        <v>7</v>
      </c>
      <c r="BR54" s="33">
        <v>0</v>
      </c>
      <c r="BS54" s="33">
        <v>0</v>
      </c>
      <c r="BT54" s="33">
        <v>0</v>
      </c>
      <c r="BU54" s="33"/>
    </row>
    <row r="55" spans="1:83" s="34" customFormat="1" hidden="1" x14ac:dyDescent="0.25">
      <c r="A55" s="51"/>
      <c r="B55" s="32" t="s">
        <v>468</v>
      </c>
      <c r="D55" s="33">
        <f t="shared" si="192"/>
        <v>2</v>
      </c>
      <c r="G55" s="33"/>
      <c r="H55" s="33"/>
      <c r="I55" s="33"/>
      <c r="J55" s="33"/>
      <c r="K55" s="33">
        <v>-2</v>
      </c>
      <c r="L55" s="33">
        <v>-6</v>
      </c>
      <c r="M55" s="33">
        <v>4</v>
      </c>
      <c r="N55" s="33">
        <v>-1</v>
      </c>
      <c r="O55" s="33">
        <v>1</v>
      </c>
      <c r="P55" s="33">
        <v>-7</v>
      </c>
      <c r="Q55" s="33">
        <v>-13</v>
      </c>
      <c r="R55" s="33">
        <v>-10</v>
      </c>
      <c r="S55" s="33">
        <v>-1</v>
      </c>
      <c r="T55" s="33">
        <v>-2</v>
      </c>
      <c r="U55" s="33">
        <v>0</v>
      </c>
      <c r="V55" s="33">
        <v>2</v>
      </c>
      <c r="W55" s="33">
        <v>5</v>
      </c>
      <c r="X55" s="33">
        <v>-2</v>
      </c>
      <c r="Y55" s="33">
        <v>-5</v>
      </c>
      <c r="Z55" s="33">
        <v>0</v>
      </c>
      <c r="AA55" s="33">
        <v>-1</v>
      </c>
      <c r="AB55" s="33">
        <v>-1</v>
      </c>
      <c r="AC55" s="33">
        <v>3</v>
      </c>
      <c r="AD55" s="33">
        <v>6</v>
      </c>
      <c r="AE55" s="33">
        <v>15</v>
      </c>
      <c r="AF55" s="33">
        <v>6</v>
      </c>
      <c r="AG55" s="33">
        <v>5</v>
      </c>
      <c r="AH55" s="33">
        <v>4</v>
      </c>
      <c r="AI55" s="33">
        <v>5</v>
      </c>
      <c r="AJ55" s="33">
        <v>7</v>
      </c>
      <c r="AK55" s="33">
        <v>7</v>
      </c>
      <c r="AL55" s="33">
        <v>0</v>
      </c>
      <c r="AM55" s="33">
        <v>3</v>
      </c>
      <c r="AN55" s="33">
        <v>10</v>
      </c>
      <c r="AO55" s="33">
        <v>2</v>
      </c>
      <c r="AP55" s="33">
        <v>0</v>
      </c>
      <c r="AQ55" s="33">
        <v>13</v>
      </c>
      <c r="AR55" s="33">
        <v>6</v>
      </c>
      <c r="AS55" s="33">
        <v>0</v>
      </c>
      <c r="AT55" s="33">
        <v>12</v>
      </c>
      <c r="AU55" s="33">
        <v>5</v>
      </c>
      <c r="AV55" s="33">
        <v>10</v>
      </c>
      <c r="AW55" s="33">
        <v>-3</v>
      </c>
      <c r="AX55" s="33">
        <v>9</v>
      </c>
      <c r="AY55" s="33">
        <v>8</v>
      </c>
      <c r="AZ55" s="33">
        <v>14</v>
      </c>
      <c r="BA55" s="33">
        <v>14</v>
      </c>
      <c r="BB55" s="33">
        <v>7</v>
      </c>
      <c r="BC55" s="33">
        <v>7</v>
      </c>
      <c r="BD55" s="33">
        <v>14</v>
      </c>
      <c r="BE55" s="33">
        <v>11</v>
      </c>
      <c r="BF55" s="33">
        <v>9</v>
      </c>
      <c r="BG55" s="33">
        <v>11</v>
      </c>
      <c r="BH55" s="33">
        <v>0</v>
      </c>
      <c r="BI55" s="33">
        <v>6</v>
      </c>
      <c r="BJ55" s="33">
        <v>0</v>
      </c>
      <c r="BK55" s="33">
        <v>-3</v>
      </c>
      <c r="BL55" s="33">
        <v>0</v>
      </c>
      <c r="BM55" s="33">
        <v>-4</v>
      </c>
      <c r="BN55" s="33">
        <v>11</v>
      </c>
      <c r="BO55" s="33">
        <v>10</v>
      </c>
      <c r="BP55" s="33">
        <v>0</v>
      </c>
      <c r="BQ55" s="33">
        <v>8</v>
      </c>
      <c r="BR55" s="33">
        <v>-3</v>
      </c>
      <c r="BS55" s="33">
        <v>-2</v>
      </c>
      <c r="BT55" s="33">
        <v>-1</v>
      </c>
      <c r="BU55" s="33"/>
    </row>
    <row r="56" spans="1:83" s="34" customFormat="1" hidden="1" x14ac:dyDescent="0.25">
      <c r="A56" s="51"/>
      <c r="B56" s="38" t="s">
        <v>178</v>
      </c>
      <c r="D56" s="33">
        <f t="shared" si="192"/>
        <v>17</v>
      </c>
      <c r="G56" s="33"/>
      <c r="H56" s="33"/>
      <c r="I56" s="33"/>
      <c r="J56" s="33"/>
      <c r="K56" s="33">
        <v>9</v>
      </c>
      <c r="L56" s="33">
        <v>-1</v>
      </c>
      <c r="M56" s="33">
        <v>5</v>
      </c>
      <c r="N56" s="33">
        <v>1</v>
      </c>
      <c r="O56" s="33">
        <v>2</v>
      </c>
      <c r="P56" s="33">
        <v>-4</v>
      </c>
      <c r="Q56" s="33">
        <v>-11</v>
      </c>
      <c r="R56" s="33">
        <v>-7</v>
      </c>
      <c r="S56" s="33">
        <v>4</v>
      </c>
      <c r="T56" s="33">
        <v>0</v>
      </c>
      <c r="U56" s="33">
        <v>0</v>
      </c>
      <c r="V56" s="33">
        <v>1</v>
      </c>
      <c r="W56" s="33">
        <v>4</v>
      </c>
      <c r="X56" s="33">
        <v>8</v>
      </c>
      <c r="Y56" s="33">
        <v>2</v>
      </c>
      <c r="Z56" s="33">
        <v>4</v>
      </c>
      <c r="AA56" s="33">
        <v>1</v>
      </c>
      <c r="AB56" s="33">
        <v>1</v>
      </c>
      <c r="AC56" s="33">
        <v>4</v>
      </c>
      <c r="AD56" s="33">
        <v>2</v>
      </c>
      <c r="AE56" s="33">
        <v>1</v>
      </c>
      <c r="AF56" s="33">
        <v>4</v>
      </c>
      <c r="AG56" s="33">
        <v>7.5</v>
      </c>
      <c r="AH56" s="33">
        <v>11</v>
      </c>
      <c r="AI56" s="33">
        <v>2</v>
      </c>
      <c r="AJ56" s="33">
        <v>2</v>
      </c>
      <c r="AK56" s="33">
        <v>2</v>
      </c>
      <c r="AL56" s="33">
        <v>3</v>
      </c>
      <c r="AM56" s="33">
        <v>4</v>
      </c>
      <c r="AN56" s="33">
        <v>1</v>
      </c>
      <c r="AO56" s="33">
        <v>7</v>
      </c>
      <c r="AP56" s="33">
        <v>6</v>
      </c>
      <c r="AQ56" s="33">
        <v>9</v>
      </c>
      <c r="AR56" s="33">
        <v>5</v>
      </c>
      <c r="AS56" s="33">
        <v>3</v>
      </c>
      <c r="AT56" s="33">
        <v>3</v>
      </c>
      <c r="AU56" s="33">
        <v>6</v>
      </c>
      <c r="AV56" s="33">
        <v>4</v>
      </c>
      <c r="AW56" s="33">
        <v>0</v>
      </c>
      <c r="AX56" s="33">
        <v>3</v>
      </c>
      <c r="AY56" s="33">
        <v>7</v>
      </c>
      <c r="AZ56" s="33">
        <v>6</v>
      </c>
      <c r="BA56" s="33">
        <v>5</v>
      </c>
      <c r="BB56" s="33">
        <v>4</v>
      </c>
      <c r="BC56" s="33">
        <v>3</v>
      </c>
      <c r="BD56" s="33">
        <v>3</v>
      </c>
      <c r="BE56" s="33">
        <v>-1</v>
      </c>
      <c r="BF56" s="33">
        <v>4</v>
      </c>
      <c r="BG56" s="33">
        <v>-1</v>
      </c>
      <c r="BH56" s="33">
        <v>-1</v>
      </c>
      <c r="BI56" s="33">
        <v>3</v>
      </c>
      <c r="BJ56" s="33">
        <v>5</v>
      </c>
      <c r="BK56" s="33">
        <v>3</v>
      </c>
      <c r="BL56" s="33">
        <v>5</v>
      </c>
      <c r="BM56" s="33">
        <v>0</v>
      </c>
      <c r="BN56" s="33">
        <v>1</v>
      </c>
      <c r="BO56" s="33">
        <v>0</v>
      </c>
      <c r="BP56" s="33">
        <v>-1</v>
      </c>
      <c r="BQ56" s="33">
        <v>-1</v>
      </c>
      <c r="BR56" s="33">
        <v>1</v>
      </c>
      <c r="BS56" s="33">
        <v>2</v>
      </c>
      <c r="BT56" s="33">
        <v>3</v>
      </c>
      <c r="BU56" s="33"/>
    </row>
    <row r="57" spans="1:83" hidden="1" x14ac:dyDescent="0.25">
      <c r="A57" s="51"/>
      <c r="B57" s="38" t="s">
        <v>180</v>
      </c>
      <c r="D57" s="33">
        <f t="shared" si="192"/>
        <v>23</v>
      </c>
      <c r="E57" s="34"/>
      <c r="F57" s="34"/>
      <c r="G57" s="33"/>
      <c r="H57" s="33"/>
      <c r="I57" s="33"/>
      <c r="J57" s="33"/>
      <c r="K57" s="33">
        <v>2</v>
      </c>
      <c r="L57" s="33">
        <v>-3</v>
      </c>
      <c r="M57" s="33">
        <v>-3</v>
      </c>
      <c r="N57" s="33">
        <v>8</v>
      </c>
      <c r="O57" s="33">
        <v>8</v>
      </c>
      <c r="P57" s="33">
        <v>2</v>
      </c>
      <c r="Q57" s="33">
        <v>-1</v>
      </c>
      <c r="R57" s="33">
        <v>0</v>
      </c>
      <c r="S57" s="33">
        <v>1</v>
      </c>
      <c r="T57" s="33">
        <v>7</v>
      </c>
      <c r="U57" s="33">
        <v>7</v>
      </c>
      <c r="V57" s="33">
        <v>6</v>
      </c>
      <c r="W57" s="33">
        <v>-1</v>
      </c>
      <c r="X57" s="33">
        <v>3</v>
      </c>
      <c r="Y57" s="33">
        <v>0</v>
      </c>
      <c r="Z57" s="33">
        <v>3</v>
      </c>
      <c r="AA57" s="33">
        <v>10</v>
      </c>
      <c r="AB57" s="33">
        <v>8</v>
      </c>
      <c r="AC57" s="33">
        <v>14</v>
      </c>
      <c r="AD57" s="33">
        <v>1</v>
      </c>
      <c r="AE57" s="33">
        <v>7</v>
      </c>
      <c r="AF57" s="33">
        <v>8</v>
      </c>
      <c r="AG57" s="33">
        <v>6.5</v>
      </c>
      <c r="AH57" s="33">
        <v>5</v>
      </c>
      <c r="AI57" s="33">
        <v>1</v>
      </c>
      <c r="AJ57" s="33">
        <v>9</v>
      </c>
      <c r="AK57" s="33">
        <v>1</v>
      </c>
      <c r="AL57" s="33">
        <v>5</v>
      </c>
      <c r="AM57" s="33">
        <v>6</v>
      </c>
      <c r="AN57" s="33">
        <v>5</v>
      </c>
      <c r="AO57" s="33">
        <v>10</v>
      </c>
      <c r="AP57" s="33">
        <v>3</v>
      </c>
      <c r="AQ57" s="33">
        <v>1</v>
      </c>
      <c r="AR57" s="33">
        <v>10</v>
      </c>
      <c r="AS57" s="33">
        <v>4</v>
      </c>
      <c r="AT57" s="33">
        <v>4</v>
      </c>
      <c r="AU57" s="33">
        <v>0</v>
      </c>
      <c r="AV57" s="33">
        <v>9</v>
      </c>
      <c r="AW57" s="33">
        <v>7</v>
      </c>
      <c r="AX57" s="33">
        <v>10</v>
      </c>
      <c r="AY57" s="33">
        <v>13</v>
      </c>
      <c r="AZ57" s="33">
        <v>7</v>
      </c>
      <c r="BA57" s="33">
        <v>10</v>
      </c>
      <c r="BB57" s="33">
        <v>5</v>
      </c>
      <c r="BC57" s="33">
        <v>8</v>
      </c>
      <c r="BD57" s="33">
        <v>8</v>
      </c>
      <c r="BE57" s="33">
        <v>8</v>
      </c>
      <c r="BF57" s="33">
        <v>5</v>
      </c>
      <c r="BG57" s="33">
        <v>8</v>
      </c>
      <c r="BH57" s="33">
        <v>2</v>
      </c>
      <c r="BI57" s="33">
        <v>2</v>
      </c>
      <c r="BJ57" s="33">
        <v>6</v>
      </c>
      <c r="BK57" s="33">
        <v>8</v>
      </c>
      <c r="BL57" s="33">
        <v>3</v>
      </c>
      <c r="BM57" s="33">
        <v>6</v>
      </c>
      <c r="BN57" s="33">
        <v>3</v>
      </c>
      <c r="BO57" s="33">
        <v>-2</v>
      </c>
      <c r="BP57" s="33">
        <v>5</v>
      </c>
      <c r="BQ57" s="33">
        <v>1</v>
      </c>
      <c r="BR57" s="33">
        <v>9</v>
      </c>
      <c r="BS57" s="33">
        <v>4</v>
      </c>
      <c r="BT57" s="33">
        <v>8</v>
      </c>
      <c r="BU57" s="33"/>
    </row>
    <row r="58" spans="1:83" hidden="1" x14ac:dyDescent="0.25">
      <c r="A58" s="51"/>
      <c r="B58" s="32" t="s">
        <v>228</v>
      </c>
      <c r="D58" s="33">
        <f t="shared" si="192"/>
        <v>56</v>
      </c>
      <c r="E58" s="34"/>
      <c r="F58" s="34"/>
      <c r="G58" s="33"/>
      <c r="H58" s="33"/>
      <c r="I58" s="33"/>
      <c r="J58" s="33"/>
      <c r="K58" s="33">
        <v>8</v>
      </c>
      <c r="L58" s="33">
        <v>9</v>
      </c>
      <c r="M58" s="33">
        <v>-5</v>
      </c>
      <c r="N58" s="33">
        <v>0</v>
      </c>
      <c r="O58" s="33">
        <v>10</v>
      </c>
      <c r="P58" s="33">
        <v>0</v>
      </c>
      <c r="Q58" s="33">
        <v>-12</v>
      </c>
      <c r="R58" s="33">
        <v>0</v>
      </c>
      <c r="S58" s="33">
        <v>13</v>
      </c>
      <c r="T58" s="33">
        <v>8</v>
      </c>
      <c r="U58" s="33">
        <v>10</v>
      </c>
      <c r="V58" s="33">
        <v>15</v>
      </c>
      <c r="W58" s="33">
        <v>13</v>
      </c>
      <c r="X58" s="33">
        <v>-3</v>
      </c>
      <c r="Y58" s="33">
        <v>-3</v>
      </c>
      <c r="Z58" s="33">
        <v>8</v>
      </c>
      <c r="AA58" s="33">
        <v>-3</v>
      </c>
      <c r="AB58" s="33">
        <v>11</v>
      </c>
      <c r="AC58" s="33">
        <v>1</v>
      </c>
      <c r="AD58" s="33">
        <v>12</v>
      </c>
      <c r="AE58" s="33">
        <v>-2</v>
      </c>
      <c r="AF58" s="33">
        <v>13</v>
      </c>
      <c r="AG58" s="33">
        <v>13.5</v>
      </c>
      <c r="AH58" s="33">
        <v>14</v>
      </c>
      <c r="AI58" s="33">
        <v>17</v>
      </c>
      <c r="AJ58" s="33">
        <v>14</v>
      </c>
      <c r="AK58" s="33">
        <v>5</v>
      </c>
      <c r="AL58" s="33">
        <v>-2</v>
      </c>
      <c r="AM58" s="33">
        <v>-4</v>
      </c>
      <c r="AN58" s="33">
        <v>0</v>
      </c>
      <c r="AO58" s="33">
        <v>14</v>
      </c>
      <c r="AP58" s="33">
        <v>8</v>
      </c>
      <c r="AQ58" s="33">
        <v>0</v>
      </c>
      <c r="AR58" s="33">
        <v>12</v>
      </c>
      <c r="AS58" s="33">
        <v>11</v>
      </c>
      <c r="AT58" s="33">
        <v>5</v>
      </c>
      <c r="AU58" s="33">
        <v>-2</v>
      </c>
      <c r="AV58" s="33">
        <v>13</v>
      </c>
      <c r="AW58" s="33">
        <v>-4</v>
      </c>
      <c r="AX58" s="33">
        <v>0</v>
      </c>
      <c r="AY58" s="33">
        <v>-2</v>
      </c>
      <c r="AZ58" s="33">
        <v>0</v>
      </c>
      <c r="BA58" s="33">
        <v>0</v>
      </c>
      <c r="BB58" s="33">
        <v>-4</v>
      </c>
      <c r="BC58" s="33">
        <v>12</v>
      </c>
      <c r="BD58" s="33">
        <v>11</v>
      </c>
      <c r="BE58" s="33">
        <v>10</v>
      </c>
      <c r="BF58" s="33">
        <v>14</v>
      </c>
      <c r="BG58" s="33">
        <v>-3</v>
      </c>
      <c r="BH58" s="33">
        <v>6</v>
      </c>
      <c r="BI58" s="33">
        <v>-5</v>
      </c>
      <c r="BJ58" s="33">
        <v>-4</v>
      </c>
      <c r="BK58" s="33">
        <v>0</v>
      </c>
      <c r="BL58" s="33">
        <v>0</v>
      </c>
      <c r="BM58" s="33">
        <v>-2</v>
      </c>
      <c r="BN58" s="33">
        <v>13</v>
      </c>
      <c r="BO58" s="33">
        <v>-6</v>
      </c>
      <c r="BP58" s="33">
        <v>0</v>
      </c>
      <c r="BQ58" s="33">
        <v>0</v>
      </c>
      <c r="BR58" s="33">
        <v>12</v>
      </c>
      <c r="BS58" s="33">
        <v>0</v>
      </c>
      <c r="BT58" s="33">
        <v>-2</v>
      </c>
      <c r="BU58" s="33"/>
    </row>
    <row r="59" spans="1:83" hidden="1" x14ac:dyDescent="0.25">
      <c r="A59" s="51"/>
      <c r="B59" s="32" t="s">
        <v>182</v>
      </c>
      <c r="D59" s="33">
        <f t="shared" si="192"/>
        <v>32</v>
      </c>
      <c r="E59" s="34"/>
      <c r="F59" s="34"/>
      <c r="G59" s="33"/>
      <c r="H59" s="33"/>
      <c r="I59" s="33"/>
      <c r="J59" s="33"/>
      <c r="K59" s="33">
        <v>0</v>
      </c>
      <c r="L59" s="33">
        <v>2</v>
      </c>
      <c r="M59" s="33">
        <v>10</v>
      </c>
      <c r="N59" s="33">
        <v>0</v>
      </c>
      <c r="O59" s="33">
        <v>0</v>
      </c>
      <c r="P59" s="33">
        <v>-5</v>
      </c>
      <c r="Q59" s="33">
        <v>-14</v>
      </c>
      <c r="R59" s="33">
        <v>1</v>
      </c>
      <c r="S59" s="33">
        <v>10</v>
      </c>
      <c r="T59" s="33">
        <v>13</v>
      </c>
      <c r="U59" s="33">
        <v>1</v>
      </c>
      <c r="V59" s="33">
        <v>0</v>
      </c>
      <c r="W59" s="33">
        <v>1</v>
      </c>
      <c r="X59" s="33">
        <v>7</v>
      </c>
      <c r="Y59" s="33">
        <v>7</v>
      </c>
      <c r="Z59" s="33">
        <v>-2</v>
      </c>
      <c r="AA59" s="33">
        <v>0</v>
      </c>
      <c r="AB59" s="33">
        <v>3</v>
      </c>
      <c r="AC59" s="33">
        <v>11</v>
      </c>
      <c r="AD59" s="33">
        <v>18</v>
      </c>
      <c r="AE59" s="33">
        <v>9</v>
      </c>
      <c r="AF59" s="33">
        <v>14</v>
      </c>
      <c r="AG59" s="33">
        <v>15.5</v>
      </c>
      <c r="AH59" s="33">
        <v>17</v>
      </c>
      <c r="AI59" s="33">
        <v>16</v>
      </c>
      <c r="AJ59" s="33">
        <v>15</v>
      </c>
      <c r="AK59" s="33">
        <v>13</v>
      </c>
      <c r="AL59" s="33">
        <v>8</v>
      </c>
      <c r="AM59" s="33">
        <v>2</v>
      </c>
      <c r="AN59" s="33">
        <v>0</v>
      </c>
      <c r="AO59" s="33">
        <v>0</v>
      </c>
      <c r="AP59" s="33">
        <v>-2</v>
      </c>
      <c r="AQ59" s="33">
        <v>0</v>
      </c>
      <c r="AR59" s="33">
        <v>-2</v>
      </c>
      <c r="AS59" s="33">
        <v>0</v>
      </c>
      <c r="AT59" s="33">
        <v>2</v>
      </c>
      <c r="AU59" s="33">
        <v>3</v>
      </c>
      <c r="AV59" s="33">
        <v>3</v>
      </c>
      <c r="AW59" s="33">
        <v>11</v>
      </c>
      <c r="AX59" s="33">
        <v>-2</v>
      </c>
      <c r="AY59" s="33">
        <v>12</v>
      </c>
      <c r="AZ59" s="33">
        <v>3</v>
      </c>
      <c r="BA59" s="33">
        <v>7</v>
      </c>
      <c r="BB59" s="33">
        <v>11</v>
      </c>
      <c r="BC59" s="33">
        <v>2</v>
      </c>
      <c r="BD59" s="33">
        <v>2</v>
      </c>
      <c r="BE59" s="33">
        <v>1</v>
      </c>
      <c r="BF59" s="33">
        <v>13</v>
      </c>
      <c r="BG59" s="33">
        <v>1</v>
      </c>
      <c r="BH59" s="33">
        <v>3</v>
      </c>
      <c r="BI59" s="33">
        <v>10</v>
      </c>
      <c r="BJ59" s="33">
        <v>-5</v>
      </c>
      <c r="BK59" s="33">
        <v>13</v>
      </c>
      <c r="BL59" s="33">
        <v>8</v>
      </c>
      <c r="BM59" s="33">
        <v>5</v>
      </c>
      <c r="BN59" s="33">
        <v>0</v>
      </c>
      <c r="BO59" s="33">
        <v>-3</v>
      </c>
      <c r="BP59" s="33">
        <v>0</v>
      </c>
      <c r="BQ59" s="33">
        <v>-4</v>
      </c>
      <c r="BR59" s="33">
        <v>0</v>
      </c>
      <c r="BS59" s="33">
        <v>8</v>
      </c>
      <c r="BT59" s="33">
        <v>10</v>
      </c>
      <c r="BU59" s="33"/>
    </row>
    <row r="60" spans="1:83" hidden="1" x14ac:dyDescent="0.25">
      <c r="A60" s="51"/>
      <c r="B60" s="38" t="s">
        <v>184</v>
      </c>
      <c r="D60" s="33">
        <f t="shared" si="192"/>
        <v>67</v>
      </c>
      <c r="E60" s="34"/>
      <c r="F60" s="34"/>
      <c r="G60" s="33"/>
      <c r="H60" s="33"/>
      <c r="I60" s="33"/>
      <c r="J60" s="33"/>
      <c r="K60" s="33">
        <v>6</v>
      </c>
      <c r="L60" s="33"/>
      <c r="M60" s="33">
        <v>3</v>
      </c>
      <c r="N60" s="33">
        <v>9</v>
      </c>
      <c r="O60" s="33">
        <v>7</v>
      </c>
      <c r="P60" s="33">
        <v>-3</v>
      </c>
      <c r="Q60" s="33">
        <v>-15</v>
      </c>
      <c r="R60" s="33">
        <v>-2</v>
      </c>
      <c r="S60" s="33">
        <v>7</v>
      </c>
      <c r="T60" s="33">
        <v>14</v>
      </c>
      <c r="U60" s="33">
        <v>5</v>
      </c>
      <c r="V60" s="33">
        <v>11</v>
      </c>
      <c r="W60" s="33">
        <v>16</v>
      </c>
      <c r="X60" s="33">
        <v>14</v>
      </c>
      <c r="Y60" s="33">
        <v>9</v>
      </c>
      <c r="Z60" s="33">
        <v>0</v>
      </c>
      <c r="AA60" s="33">
        <v>11</v>
      </c>
      <c r="AB60" s="33">
        <v>7</v>
      </c>
      <c r="AC60" s="33">
        <v>5</v>
      </c>
      <c r="AD60" s="33">
        <v>10</v>
      </c>
      <c r="AE60" s="33">
        <v>11</v>
      </c>
      <c r="AF60" s="33">
        <v>9</v>
      </c>
      <c r="AG60" s="33">
        <v>5</v>
      </c>
      <c r="AH60" s="33">
        <v>1</v>
      </c>
      <c r="AI60" s="33">
        <v>14</v>
      </c>
      <c r="AJ60" s="33">
        <v>13</v>
      </c>
      <c r="AK60" s="33">
        <v>14</v>
      </c>
      <c r="AL60" s="33">
        <v>-3</v>
      </c>
      <c r="AM60" s="33">
        <v>11</v>
      </c>
      <c r="AN60" s="33">
        <v>4</v>
      </c>
      <c r="AO60" s="33">
        <v>8</v>
      </c>
      <c r="AP60" s="33">
        <v>2</v>
      </c>
      <c r="AQ60" s="33">
        <v>2</v>
      </c>
      <c r="AR60" s="33">
        <v>2</v>
      </c>
      <c r="AS60" s="33">
        <v>5</v>
      </c>
      <c r="AT60" s="33">
        <v>1</v>
      </c>
      <c r="AU60" s="33">
        <v>9</v>
      </c>
      <c r="AV60" s="33">
        <v>2</v>
      </c>
      <c r="AW60" s="33">
        <v>4</v>
      </c>
      <c r="AX60" s="33">
        <v>-4</v>
      </c>
      <c r="AY60" s="33">
        <v>2</v>
      </c>
      <c r="AZ60" s="33">
        <v>2</v>
      </c>
      <c r="BA60" s="33">
        <v>9</v>
      </c>
      <c r="BB60" s="33">
        <v>6</v>
      </c>
      <c r="BC60" s="33">
        <v>9</v>
      </c>
      <c r="BD60" s="33">
        <v>9</v>
      </c>
      <c r="BE60" s="33">
        <v>0</v>
      </c>
      <c r="BF60" s="33">
        <v>8</v>
      </c>
      <c r="BG60" s="33">
        <v>10</v>
      </c>
      <c r="BH60" s="33">
        <v>7</v>
      </c>
      <c r="BI60" s="33">
        <v>7</v>
      </c>
      <c r="BJ60" s="33">
        <v>1</v>
      </c>
      <c r="BK60" s="33">
        <v>-1</v>
      </c>
      <c r="BL60" s="33">
        <v>-1</v>
      </c>
      <c r="BM60" s="33">
        <v>1</v>
      </c>
      <c r="BN60" s="33">
        <v>12</v>
      </c>
      <c r="BO60" s="33">
        <v>1</v>
      </c>
      <c r="BP60" s="33">
        <v>4</v>
      </c>
      <c r="BQ60" s="33">
        <v>6</v>
      </c>
      <c r="BR60" s="33">
        <v>5</v>
      </c>
      <c r="BS60" s="33">
        <v>7</v>
      </c>
      <c r="BT60" s="33">
        <v>6</v>
      </c>
      <c r="BU60" s="33"/>
    </row>
    <row r="61" spans="1:83" hidden="1" x14ac:dyDescent="0.25">
      <c r="A61" s="51"/>
      <c r="B61" s="32" t="s">
        <v>186</v>
      </c>
      <c r="D61" s="33">
        <f t="shared" si="192"/>
        <v>53</v>
      </c>
      <c r="E61" s="34"/>
      <c r="F61" s="34"/>
      <c r="G61" s="33"/>
      <c r="H61" s="33"/>
      <c r="I61" s="33"/>
      <c r="J61" s="33"/>
      <c r="K61" s="33">
        <v>11</v>
      </c>
      <c r="L61" s="33">
        <v>6</v>
      </c>
      <c r="M61" s="33">
        <v>-2</v>
      </c>
      <c r="N61" s="33">
        <v>4</v>
      </c>
      <c r="O61" s="33">
        <v>-1</v>
      </c>
      <c r="P61" s="33">
        <v>0</v>
      </c>
      <c r="Q61" s="33">
        <v>-6</v>
      </c>
      <c r="R61" s="33">
        <v>-9</v>
      </c>
      <c r="S61" s="33">
        <v>9</v>
      </c>
      <c r="T61" s="33">
        <v>1</v>
      </c>
      <c r="U61" s="33">
        <v>12</v>
      </c>
      <c r="V61" s="33">
        <v>14</v>
      </c>
      <c r="W61" s="33">
        <v>6</v>
      </c>
      <c r="X61" s="33">
        <v>11</v>
      </c>
      <c r="Y61" s="33">
        <v>1</v>
      </c>
      <c r="Z61" s="33">
        <v>2</v>
      </c>
      <c r="AA61" s="33">
        <v>9</v>
      </c>
      <c r="AB61" s="33">
        <v>10</v>
      </c>
      <c r="AC61" s="33">
        <v>13</v>
      </c>
      <c r="AD61" s="33">
        <v>11</v>
      </c>
      <c r="AE61" s="33">
        <v>13</v>
      </c>
      <c r="AF61" s="33">
        <v>7</v>
      </c>
      <c r="AG61" s="33">
        <v>8</v>
      </c>
      <c r="AH61" s="33">
        <v>9</v>
      </c>
      <c r="AI61" s="33">
        <v>12</v>
      </c>
      <c r="AJ61" s="33">
        <v>10</v>
      </c>
      <c r="AK61" s="33">
        <v>4</v>
      </c>
      <c r="AL61" s="33">
        <v>4</v>
      </c>
      <c r="AM61" s="33">
        <v>5</v>
      </c>
      <c r="AN61" s="33">
        <v>9</v>
      </c>
      <c r="AO61" s="33">
        <v>9</v>
      </c>
      <c r="AP61" s="33">
        <v>7</v>
      </c>
      <c r="AQ61" s="33">
        <v>8</v>
      </c>
      <c r="AR61" s="33">
        <v>8</v>
      </c>
      <c r="AS61" s="33">
        <v>10</v>
      </c>
      <c r="AT61" s="33">
        <v>7</v>
      </c>
      <c r="AU61" s="33">
        <v>8</v>
      </c>
      <c r="AV61" s="33">
        <v>0</v>
      </c>
      <c r="AW61" s="33">
        <v>5</v>
      </c>
      <c r="AX61" s="33">
        <v>11</v>
      </c>
      <c r="AY61" s="33">
        <v>9</v>
      </c>
      <c r="AZ61" s="33">
        <v>4</v>
      </c>
      <c r="BA61" s="33">
        <v>8</v>
      </c>
      <c r="BB61" s="33">
        <v>8</v>
      </c>
      <c r="BC61" s="33">
        <v>6</v>
      </c>
      <c r="BD61" s="33">
        <v>7</v>
      </c>
      <c r="BE61" s="33">
        <v>2</v>
      </c>
      <c r="BF61" s="33">
        <v>12</v>
      </c>
      <c r="BG61" s="33">
        <v>2</v>
      </c>
      <c r="BH61" s="33">
        <v>4</v>
      </c>
      <c r="BI61" s="33">
        <v>4</v>
      </c>
      <c r="BJ61" s="33">
        <v>8</v>
      </c>
      <c r="BK61" s="33">
        <v>4</v>
      </c>
      <c r="BL61" s="33">
        <v>6</v>
      </c>
      <c r="BM61" s="33">
        <v>8</v>
      </c>
      <c r="BN61" s="33">
        <v>5</v>
      </c>
      <c r="BO61" s="33">
        <v>5</v>
      </c>
      <c r="BP61" s="33">
        <v>2</v>
      </c>
      <c r="BQ61" s="33">
        <v>0</v>
      </c>
      <c r="BR61" s="33">
        <v>2</v>
      </c>
      <c r="BS61" s="33">
        <v>1</v>
      </c>
      <c r="BT61" s="33">
        <v>1</v>
      </c>
      <c r="BU61" s="33"/>
    </row>
    <row r="62" spans="1:83" hidden="1" x14ac:dyDescent="0.25">
      <c r="A62" s="51"/>
      <c r="B62" s="38" t="s">
        <v>188</v>
      </c>
      <c r="D62" s="33">
        <f t="shared" si="192"/>
        <v>47</v>
      </c>
      <c r="E62" s="41"/>
      <c r="F62" s="41"/>
      <c r="G62" s="33"/>
      <c r="H62" s="33"/>
      <c r="I62" s="33"/>
      <c r="J62" s="33"/>
      <c r="K62" s="33">
        <v>-1</v>
      </c>
      <c r="L62" s="33">
        <v>-2</v>
      </c>
      <c r="M62" s="33">
        <v>-6</v>
      </c>
      <c r="N62" s="33">
        <v>-2</v>
      </c>
      <c r="O62" s="33">
        <v>3</v>
      </c>
      <c r="P62" s="33">
        <v>-2</v>
      </c>
      <c r="Q62" s="33">
        <v>-8</v>
      </c>
      <c r="R62" s="33">
        <v>-4</v>
      </c>
      <c r="S62" s="33">
        <v>12</v>
      </c>
      <c r="T62" s="33">
        <v>10</v>
      </c>
      <c r="U62" s="33">
        <v>8</v>
      </c>
      <c r="V62" s="33">
        <v>10</v>
      </c>
      <c r="W62" s="33">
        <v>3</v>
      </c>
      <c r="X62" s="33">
        <v>4</v>
      </c>
      <c r="Y62" s="33">
        <v>4</v>
      </c>
      <c r="Z62" s="33">
        <v>7</v>
      </c>
      <c r="AA62" s="33">
        <v>12</v>
      </c>
      <c r="AB62" s="33">
        <v>13</v>
      </c>
      <c r="AC62" s="33">
        <v>16</v>
      </c>
      <c r="AD62" s="33">
        <v>16</v>
      </c>
      <c r="AE62" s="33">
        <v>12</v>
      </c>
      <c r="AF62" s="33">
        <v>15</v>
      </c>
      <c r="AG62" s="33">
        <v>11</v>
      </c>
      <c r="AH62" s="33">
        <v>7</v>
      </c>
      <c r="AI62" s="33">
        <v>8</v>
      </c>
      <c r="AJ62" s="33">
        <v>12</v>
      </c>
      <c r="AK62" s="33">
        <v>12</v>
      </c>
      <c r="AL62" s="33">
        <v>0</v>
      </c>
      <c r="AM62" s="33">
        <v>9</v>
      </c>
      <c r="AN62" s="33">
        <v>11</v>
      </c>
      <c r="AO62" s="33">
        <v>3</v>
      </c>
      <c r="AP62" s="33">
        <v>4</v>
      </c>
      <c r="AQ62" s="33">
        <v>6</v>
      </c>
      <c r="AR62" s="33">
        <v>3</v>
      </c>
      <c r="AS62" s="33">
        <v>6</v>
      </c>
      <c r="AT62" s="33">
        <v>10</v>
      </c>
      <c r="AU62" s="33">
        <v>2</v>
      </c>
      <c r="AV62" s="33">
        <v>1</v>
      </c>
      <c r="AW62" s="33">
        <v>-2</v>
      </c>
      <c r="AX62" s="33">
        <v>1</v>
      </c>
      <c r="AY62" s="33">
        <v>-1</v>
      </c>
      <c r="AZ62" s="33">
        <v>-1</v>
      </c>
      <c r="BA62" s="33">
        <v>6</v>
      </c>
      <c r="BB62" s="33">
        <v>0</v>
      </c>
      <c r="BC62" s="33">
        <v>10</v>
      </c>
      <c r="BD62" s="33">
        <v>6</v>
      </c>
      <c r="BE62" s="33">
        <v>3</v>
      </c>
      <c r="BF62" s="33">
        <v>2</v>
      </c>
      <c r="BG62" s="33">
        <v>6</v>
      </c>
      <c r="BH62" s="33">
        <v>0</v>
      </c>
      <c r="BI62" s="33">
        <v>0</v>
      </c>
      <c r="BJ62" s="33">
        <v>4</v>
      </c>
      <c r="BK62" s="33">
        <v>10</v>
      </c>
      <c r="BL62" s="33">
        <v>4</v>
      </c>
      <c r="BM62" s="33">
        <v>9</v>
      </c>
      <c r="BN62" s="33">
        <v>6</v>
      </c>
      <c r="BO62" s="33">
        <v>-1</v>
      </c>
      <c r="BP62" s="33">
        <v>-2</v>
      </c>
      <c r="BQ62" s="33">
        <v>0</v>
      </c>
      <c r="BR62" s="33">
        <v>-1</v>
      </c>
      <c r="BS62" s="33">
        <v>0</v>
      </c>
      <c r="BT62" s="33">
        <v>5</v>
      </c>
      <c r="BU62" s="33"/>
    </row>
    <row r="63" spans="1:83" s="39" customFormat="1" x14ac:dyDescent="0.25">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row>
    <row r="64" spans="1:83" s="34" customFormat="1" ht="13.9" customHeight="1" x14ac:dyDescent="0.25">
      <c r="A64" s="36" t="s">
        <v>473</v>
      </c>
      <c r="B64" s="35"/>
      <c r="C64" s="21"/>
      <c r="D64" s="21"/>
      <c r="E64" s="37"/>
      <c r="F64" s="37"/>
      <c r="G64" s="37"/>
      <c r="H64" s="37"/>
      <c r="I64" s="37"/>
      <c r="J64" s="37" t="e">
        <f t="shared" ref="J64:BZ64" si="193">AVERAGE(J65:J82)</f>
        <v>#DIV/0!</v>
      </c>
      <c r="K64" s="37">
        <f t="shared" si="193"/>
        <v>1.8888888888888888</v>
      </c>
      <c r="L64" s="37">
        <f t="shared" si="193"/>
        <v>3.7777777777777777</v>
      </c>
      <c r="M64" s="37">
        <f t="shared" si="193"/>
        <v>1.8888888888888888</v>
      </c>
      <c r="N64" s="37">
        <f t="shared" si="193"/>
        <v>2.5</v>
      </c>
      <c r="O64" s="37">
        <f t="shared" si="193"/>
        <v>7.5</v>
      </c>
      <c r="P64" s="37">
        <f t="shared" si="193"/>
        <v>-1.6666666666666667</v>
      </c>
      <c r="Q64" s="37">
        <f t="shared" si="193"/>
        <v>-7.3888888888888893</v>
      </c>
      <c r="R64" s="37">
        <f t="shared" si="193"/>
        <v>-5.7777777777777777</v>
      </c>
      <c r="S64" s="37">
        <f t="shared" si="193"/>
        <v>6.6111111111111107</v>
      </c>
      <c r="T64" s="37">
        <f t="shared" si="193"/>
        <v>4.166666666666667</v>
      </c>
      <c r="U64" s="37">
        <f t="shared" si="193"/>
        <v>3.5</v>
      </c>
      <c r="V64" s="37">
        <f t="shared" si="193"/>
        <v>5.666666666666667</v>
      </c>
      <c r="W64" s="37">
        <f t="shared" si="193"/>
        <v>6.6111111111111107</v>
      </c>
      <c r="X64" s="37">
        <f t="shared" si="193"/>
        <v>4.7222222222222223</v>
      </c>
      <c r="Y64" s="37">
        <f t="shared" si="193"/>
        <v>2.2222222222222223</v>
      </c>
      <c r="Z64" s="37">
        <f t="shared" si="193"/>
        <v>1.6666666666666667</v>
      </c>
      <c r="AA64" s="37">
        <f t="shared" si="193"/>
        <v>3.5</v>
      </c>
      <c r="AB64" s="37">
        <f t="shared" si="193"/>
        <v>8.5</v>
      </c>
      <c r="AC64" s="37">
        <f t="shared" si="193"/>
        <v>8.4444444444444446</v>
      </c>
      <c r="AD64" s="37">
        <f t="shared" si="193"/>
        <v>9.5</v>
      </c>
      <c r="AE64" s="37">
        <f t="shared" si="193"/>
        <v>7.5</v>
      </c>
      <c r="AF64" s="37">
        <f t="shared" si="193"/>
        <v>7.5</v>
      </c>
      <c r="AG64" s="37">
        <f t="shared" si="193"/>
        <v>4.7222222222222223</v>
      </c>
      <c r="AH64" s="37">
        <f t="shared" si="193"/>
        <v>8.5</v>
      </c>
      <c r="AI64" s="37">
        <f t="shared" si="193"/>
        <v>7.5555555555555554</v>
      </c>
      <c r="AJ64" s="37">
        <f t="shared" si="193"/>
        <v>9.5</v>
      </c>
      <c r="AK64" s="37">
        <f t="shared" si="193"/>
        <v>4.7222222222222223</v>
      </c>
      <c r="AL64" s="37">
        <f t="shared" si="193"/>
        <v>2.5</v>
      </c>
      <c r="AM64" s="37">
        <f t="shared" si="193"/>
        <v>3.3333333333333335</v>
      </c>
      <c r="AN64" s="37">
        <f t="shared" si="193"/>
        <v>6.5</v>
      </c>
      <c r="AO64" s="37">
        <f t="shared" si="193"/>
        <v>5</v>
      </c>
      <c r="AP64" s="37">
        <f t="shared" si="193"/>
        <v>6.5</v>
      </c>
      <c r="AQ64" s="37">
        <f t="shared" si="193"/>
        <v>4.8888888888888893</v>
      </c>
      <c r="AR64" s="37">
        <f t="shared" si="193"/>
        <v>2.8333333333333335</v>
      </c>
      <c r="AS64" s="37">
        <f t="shared" si="193"/>
        <v>4.2777777777777777</v>
      </c>
      <c r="AT64" s="37">
        <f t="shared" si="193"/>
        <v>4.8888888888888893</v>
      </c>
      <c r="AU64" s="37">
        <f t="shared" si="193"/>
        <v>4.8888888888888893</v>
      </c>
      <c r="AV64" s="37">
        <f t="shared" si="193"/>
        <v>3.7777777777777777</v>
      </c>
      <c r="AW64" s="37">
        <f t="shared" si="193"/>
        <v>-1.1666666666666667</v>
      </c>
      <c r="AX64" s="37">
        <f t="shared" si="193"/>
        <v>3.1111111111111112</v>
      </c>
      <c r="AY64" s="37">
        <f t="shared" si="193"/>
        <v>5.5</v>
      </c>
      <c r="AZ64" s="37">
        <f t="shared" si="193"/>
        <v>3.7777777777777777</v>
      </c>
      <c r="BA64" s="37">
        <f t="shared" si="193"/>
        <v>7.5</v>
      </c>
      <c r="BB64" s="37">
        <f t="shared" si="193"/>
        <v>3.6111111111111112</v>
      </c>
      <c r="BC64" s="37">
        <f t="shared" si="193"/>
        <v>4.5</v>
      </c>
      <c r="BD64" s="37">
        <f t="shared" si="193"/>
        <v>4.7222222222222223</v>
      </c>
      <c r="BE64" s="37">
        <f t="shared" si="193"/>
        <v>4</v>
      </c>
      <c r="BF64" s="37">
        <f t="shared" si="193"/>
        <v>3.7777777777777777</v>
      </c>
      <c r="BG64" s="37">
        <f t="shared" si="193"/>
        <v>3.7777777777777777</v>
      </c>
      <c r="BH64" s="37">
        <f t="shared" si="193"/>
        <v>3.5</v>
      </c>
      <c r="BI64" s="37">
        <f t="shared" si="193"/>
        <v>1.3333333333333333</v>
      </c>
      <c r="BJ64" s="37">
        <f t="shared" si="193"/>
        <v>0.83333333333333337</v>
      </c>
      <c r="BK64" s="37">
        <f t="shared" si="193"/>
        <v>5</v>
      </c>
      <c r="BL64" s="37">
        <f t="shared" si="193"/>
        <v>3.5</v>
      </c>
      <c r="BM64" s="37">
        <f t="shared" si="193"/>
        <v>4</v>
      </c>
      <c r="BN64" s="37">
        <f t="shared" si="193"/>
        <v>2.7222222222222223</v>
      </c>
      <c r="BO64" s="37">
        <f t="shared" si="193"/>
        <v>-0.72222222222222221</v>
      </c>
      <c r="BP64" s="37">
        <f t="shared" si="193"/>
        <v>1.8888888888888888</v>
      </c>
      <c r="BQ64" s="37">
        <f t="shared" si="193"/>
        <v>1.1666666666666667</v>
      </c>
      <c r="BR64" s="37">
        <f t="shared" si="193"/>
        <v>3.3333333333333335</v>
      </c>
      <c r="BS64" s="37">
        <f t="shared" si="193"/>
        <v>4</v>
      </c>
      <c r="BT64" s="37">
        <f t="shared" si="193"/>
        <v>4.7222222222222223</v>
      </c>
      <c r="BU64" s="37">
        <f t="shared" si="193"/>
        <v>0.66666666666666663</v>
      </c>
      <c r="BV64" s="37">
        <f t="shared" si="193"/>
        <v>2.3529411764705883</v>
      </c>
      <c r="BW64" s="37">
        <f t="shared" si="193"/>
        <v>3.1111111111111112</v>
      </c>
      <c r="BX64" s="37">
        <f t="shared" si="193"/>
        <v>1.9444444444444444</v>
      </c>
      <c r="BY64" s="37">
        <f t="shared" si="193"/>
        <v>1.1666666666666667</v>
      </c>
      <c r="BZ64" s="37">
        <f t="shared" si="193"/>
        <v>-0.3888888888888889</v>
      </c>
      <c r="CA64" s="37">
        <f>AVERAGE(CA65:CA82)</f>
        <v>1.4444444444444444</v>
      </c>
      <c r="CB64" s="37">
        <f>AVERAGE(CB65:CB82)</f>
        <v>0</v>
      </c>
      <c r="CC64" s="37">
        <f>AVERAGE(CC65:CC82)</f>
        <v>4.8888888888888893</v>
      </c>
      <c r="CD64" s="37">
        <f>AVERAGE(CD65:CD82)</f>
        <v>1.3333333333333333</v>
      </c>
      <c r="CE64" s="37">
        <f>AVERAGE(CE65:CE82)</f>
        <v>3.5</v>
      </c>
    </row>
    <row r="65" spans="1:83" ht="14.25" customHeight="1" x14ac:dyDescent="0.25">
      <c r="A65" s="51" t="s">
        <v>474</v>
      </c>
      <c r="B65" s="38" t="s">
        <v>166</v>
      </c>
      <c r="D65" s="33">
        <f>SUM(S65:X65)</f>
        <v>44</v>
      </c>
      <c r="E65" s="41"/>
      <c r="F65" s="41"/>
      <c r="G65" s="33"/>
      <c r="H65" s="33"/>
      <c r="I65" s="33"/>
      <c r="J65" s="33"/>
      <c r="K65" s="33">
        <v>8</v>
      </c>
      <c r="L65" s="33">
        <v>4</v>
      </c>
      <c r="M65" s="33">
        <v>5</v>
      </c>
      <c r="N65" s="33">
        <v>8</v>
      </c>
      <c r="O65" s="33">
        <v>16</v>
      </c>
      <c r="P65" s="33">
        <v>3</v>
      </c>
      <c r="Q65" s="33">
        <v>-2</v>
      </c>
      <c r="R65" s="33">
        <v>-5</v>
      </c>
      <c r="S65" s="33">
        <v>14</v>
      </c>
      <c r="T65" s="33">
        <v>0</v>
      </c>
      <c r="U65" s="33">
        <v>9</v>
      </c>
      <c r="V65" s="33">
        <v>5</v>
      </c>
      <c r="W65" s="33">
        <v>12</v>
      </c>
      <c r="X65" s="33">
        <v>4</v>
      </c>
      <c r="Y65" s="33">
        <v>-2</v>
      </c>
      <c r="Z65" s="33">
        <v>-2</v>
      </c>
      <c r="AA65" s="33">
        <v>10</v>
      </c>
      <c r="AB65" s="33">
        <v>13</v>
      </c>
      <c r="AC65" s="33">
        <v>1</v>
      </c>
      <c r="AD65" s="33">
        <v>3</v>
      </c>
      <c r="AE65" s="33">
        <v>10</v>
      </c>
      <c r="AF65" s="33">
        <v>10</v>
      </c>
      <c r="AG65" s="33">
        <v>12</v>
      </c>
      <c r="AH65" s="33">
        <v>3</v>
      </c>
      <c r="AI65" s="33">
        <v>9</v>
      </c>
      <c r="AJ65" s="33">
        <v>3</v>
      </c>
      <c r="AK65" s="33">
        <v>12</v>
      </c>
      <c r="AL65" s="33">
        <v>-3</v>
      </c>
      <c r="AM65" s="33">
        <v>-3</v>
      </c>
      <c r="AN65" s="33">
        <v>5</v>
      </c>
      <c r="AO65" s="33">
        <v>10</v>
      </c>
      <c r="AP65" s="33">
        <v>5</v>
      </c>
      <c r="AQ65" s="33">
        <v>13</v>
      </c>
      <c r="AR65" s="33">
        <v>-4</v>
      </c>
      <c r="AS65" s="33">
        <v>0</v>
      </c>
      <c r="AT65" s="33">
        <v>0</v>
      </c>
      <c r="AU65" s="33">
        <v>7</v>
      </c>
      <c r="AV65" s="33">
        <v>9</v>
      </c>
      <c r="AW65" s="33">
        <v>0</v>
      </c>
      <c r="AX65" s="33">
        <v>10</v>
      </c>
      <c r="AY65" s="33">
        <v>5</v>
      </c>
      <c r="AZ65" s="33">
        <v>12</v>
      </c>
      <c r="BA65" s="33">
        <v>14</v>
      </c>
      <c r="BB65" s="33">
        <v>11</v>
      </c>
      <c r="BC65" s="33">
        <v>13</v>
      </c>
      <c r="BD65" s="33">
        <v>12</v>
      </c>
      <c r="BE65" s="33">
        <v>12</v>
      </c>
      <c r="BF65" s="33">
        <v>-2</v>
      </c>
      <c r="BG65" s="33">
        <v>5</v>
      </c>
      <c r="BH65" s="33">
        <v>0</v>
      </c>
      <c r="BI65" s="33">
        <v>8</v>
      </c>
      <c r="BJ65" s="33">
        <v>0</v>
      </c>
      <c r="BK65" s="33">
        <v>11</v>
      </c>
      <c r="BL65" s="33">
        <v>8</v>
      </c>
      <c r="BM65" s="33">
        <v>12</v>
      </c>
      <c r="BN65" s="33">
        <v>0</v>
      </c>
      <c r="BO65" s="33">
        <v>-5</v>
      </c>
      <c r="BP65" s="33">
        <v>8</v>
      </c>
      <c r="BQ65" s="33">
        <v>-3</v>
      </c>
      <c r="BR65" s="33">
        <v>8</v>
      </c>
      <c r="BS65" s="33">
        <v>12</v>
      </c>
      <c r="BT65" s="33">
        <v>12</v>
      </c>
      <c r="BU65" s="33">
        <v>0</v>
      </c>
      <c r="BV65" s="33">
        <v>10</v>
      </c>
      <c r="BW65" s="33">
        <v>-3</v>
      </c>
      <c r="BX65" s="33">
        <v>6</v>
      </c>
      <c r="BY65" s="33">
        <v>8</v>
      </c>
      <c r="BZ65" s="33">
        <v>6</v>
      </c>
      <c r="CA65" s="33">
        <v>0</v>
      </c>
      <c r="CB65" s="33">
        <v>-7</v>
      </c>
      <c r="CC65" s="33">
        <v>-1</v>
      </c>
      <c r="CD65" s="33">
        <v>9</v>
      </c>
      <c r="CE65" s="33">
        <v>12</v>
      </c>
    </row>
    <row r="66" spans="1:83" x14ac:dyDescent="0.25">
      <c r="A66" s="51"/>
      <c r="B66" s="38" t="s">
        <v>226</v>
      </c>
      <c r="C66" s="34"/>
      <c r="D66" s="33">
        <f t="shared" ref="D66:D82" si="194">SUM(S66:X66)</f>
        <v>17</v>
      </c>
      <c r="E66" s="41"/>
      <c r="F66" s="41"/>
      <c r="G66" s="33"/>
      <c r="H66" s="33"/>
      <c r="I66" s="33"/>
      <c r="J66" s="33"/>
      <c r="K66" s="33">
        <v>9</v>
      </c>
      <c r="L66" s="33">
        <v>-4</v>
      </c>
      <c r="M66" s="33">
        <v>0</v>
      </c>
      <c r="N66" s="33">
        <v>10</v>
      </c>
      <c r="O66" s="33">
        <v>9</v>
      </c>
      <c r="P66" s="33">
        <v>0</v>
      </c>
      <c r="Q66" s="33">
        <v>-15</v>
      </c>
      <c r="R66" s="33">
        <v>1</v>
      </c>
      <c r="S66" s="33">
        <v>15</v>
      </c>
      <c r="T66" s="33">
        <v>0</v>
      </c>
      <c r="U66" s="33">
        <v>-4</v>
      </c>
      <c r="V66" s="33">
        <v>-2</v>
      </c>
      <c r="W66" s="33">
        <v>8</v>
      </c>
      <c r="X66" s="33">
        <v>0</v>
      </c>
      <c r="Y66" s="33">
        <v>-3</v>
      </c>
      <c r="Z66" s="33">
        <v>6</v>
      </c>
      <c r="AA66" s="33">
        <v>0</v>
      </c>
      <c r="AB66" s="33">
        <v>6</v>
      </c>
      <c r="AC66" s="33">
        <v>-1</v>
      </c>
      <c r="AD66" s="33">
        <v>5</v>
      </c>
      <c r="AE66" s="33">
        <v>-1</v>
      </c>
      <c r="AF66" s="33">
        <v>0</v>
      </c>
      <c r="AG66" s="33">
        <v>0</v>
      </c>
      <c r="AH66" s="33">
        <v>-1</v>
      </c>
      <c r="AI66" s="33">
        <v>0</v>
      </c>
      <c r="AJ66" s="33">
        <v>10</v>
      </c>
      <c r="AK66" s="33">
        <v>-2</v>
      </c>
      <c r="AL66" s="33">
        <v>0</v>
      </c>
      <c r="AM66" s="33">
        <v>0</v>
      </c>
      <c r="AN66" s="33">
        <v>-2</v>
      </c>
      <c r="AO66" s="33">
        <v>0</v>
      </c>
      <c r="AP66" s="33">
        <v>-2</v>
      </c>
      <c r="AQ66" s="33">
        <v>0</v>
      </c>
      <c r="AR66" s="33">
        <v>-5</v>
      </c>
      <c r="AS66" s="33">
        <v>-1</v>
      </c>
      <c r="AT66" s="33">
        <v>4</v>
      </c>
      <c r="AU66" s="33">
        <v>9</v>
      </c>
      <c r="AV66" s="33">
        <v>8</v>
      </c>
      <c r="AW66" s="33">
        <v>0</v>
      </c>
      <c r="AX66" s="33">
        <v>11</v>
      </c>
      <c r="AY66" s="33">
        <v>13</v>
      </c>
      <c r="AZ66" s="33">
        <v>5</v>
      </c>
      <c r="BA66" s="33">
        <v>0</v>
      </c>
      <c r="BB66" s="33">
        <v>0</v>
      </c>
      <c r="BC66" s="33">
        <v>-3</v>
      </c>
      <c r="BD66" s="33">
        <v>-1</v>
      </c>
      <c r="BE66" s="33">
        <v>-3</v>
      </c>
      <c r="BF66" s="33">
        <v>-4</v>
      </c>
      <c r="BG66" s="33">
        <v>-3</v>
      </c>
      <c r="BH66" s="33">
        <v>11</v>
      </c>
      <c r="BI66" s="33">
        <v>9</v>
      </c>
      <c r="BJ66" s="33">
        <v>8</v>
      </c>
      <c r="BK66" s="33">
        <v>0</v>
      </c>
      <c r="BL66" s="33">
        <v>7</v>
      </c>
      <c r="BM66" s="33">
        <v>11</v>
      </c>
      <c r="BN66" s="33">
        <v>0</v>
      </c>
      <c r="BO66" s="33">
        <v>-6</v>
      </c>
      <c r="BP66" s="33">
        <v>-6</v>
      </c>
      <c r="BQ66" s="33">
        <v>-5</v>
      </c>
      <c r="BR66" s="33">
        <v>-2</v>
      </c>
      <c r="BS66" s="33">
        <v>-3</v>
      </c>
      <c r="BT66" s="33">
        <v>6</v>
      </c>
      <c r="BU66" s="33">
        <v>0</v>
      </c>
      <c r="BV66" s="33">
        <v>9</v>
      </c>
      <c r="BW66" s="33">
        <v>0</v>
      </c>
      <c r="BX66" s="33">
        <v>0</v>
      </c>
      <c r="BY66" s="33">
        <v>0</v>
      </c>
      <c r="BZ66" s="33">
        <v>0</v>
      </c>
      <c r="CA66" s="33">
        <v>-4</v>
      </c>
      <c r="CB66" s="33">
        <v>-4</v>
      </c>
      <c r="CC66" s="33">
        <v>0</v>
      </c>
      <c r="CD66" s="33">
        <v>-4</v>
      </c>
      <c r="CE66" s="33">
        <v>8</v>
      </c>
    </row>
    <row r="67" spans="1:83" x14ac:dyDescent="0.25">
      <c r="A67" s="51"/>
      <c r="B67" s="38" t="s">
        <v>227</v>
      </c>
      <c r="C67" s="34"/>
      <c r="D67" s="33">
        <f t="shared" si="194"/>
        <v>43</v>
      </c>
      <c r="E67" s="41"/>
      <c r="F67" s="41"/>
      <c r="G67" s="33"/>
      <c r="H67" s="33"/>
      <c r="I67" s="33"/>
      <c r="J67" s="33"/>
      <c r="K67" s="33">
        <v>0</v>
      </c>
      <c r="L67" s="33">
        <v>0</v>
      </c>
      <c r="M67" s="33">
        <v>8</v>
      </c>
      <c r="N67" s="33">
        <v>0</v>
      </c>
      <c r="O67" s="33">
        <v>-1</v>
      </c>
      <c r="P67" s="33">
        <v>-8</v>
      </c>
      <c r="Q67" s="33">
        <v>-16</v>
      </c>
      <c r="R67" s="33">
        <v>-9</v>
      </c>
      <c r="S67" s="33">
        <v>11</v>
      </c>
      <c r="T67" s="33">
        <v>9</v>
      </c>
      <c r="U67" s="33">
        <v>12</v>
      </c>
      <c r="V67" s="33">
        <v>14</v>
      </c>
      <c r="W67" s="33">
        <v>0</v>
      </c>
      <c r="X67" s="33">
        <v>-3</v>
      </c>
      <c r="Y67" s="33">
        <v>-5</v>
      </c>
      <c r="Z67" s="33">
        <v>-3</v>
      </c>
      <c r="AA67" s="33">
        <v>0</v>
      </c>
      <c r="AB67" s="33">
        <v>17</v>
      </c>
      <c r="AC67" s="33">
        <v>17</v>
      </c>
      <c r="AD67" s="33">
        <v>11</v>
      </c>
      <c r="AE67" s="33">
        <v>16</v>
      </c>
      <c r="AF67" s="33">
        <v>16</v>
      </c>
      <c r="AG67" s="33">
        <v>-3</v>
      </c>
      <c r="AH67" s="33">
        <v>16</v>
      </c>
      <c r="AI67" s="33">
        <v>8</v>
      </c>
      <c r="AJ67" s="33">
        <v>9</v>
      </c>
      <c r="AK67" s="33">
        <v>8</v>
      </c>
      <c r="AL67" s="33">
        <v>-4</v>
      </c>
      <c r="AM67" s="33">
        <v>-2</v>
      </c>
      <c r="AN67" s="33">
        <v>15</v>
      </c>
      <c r="AO67" s="33">
        <v>0</v>
      </c>
      <c r="AP67" s="33">
        <v>14</v>
      </c>
      <c r="AQ67" s="33">
        <v>9</v>
      </c>
      <c r="AR67" s="33">
        <v>0</v>
      </c>
      <c r="AS67" s="33">
        <v>0</v>
      </c>
      <c r="AT67" s="33">
        <v>-2</v>
      </c>
      <c r="AU67" s="33">
        <v>0</v>
      </c>
      <c r="AV67" s="33">
        <v>0</v>
      </c>
      <c r="AW67" s="33">
        <v>-7</v>
      </c>
      <c r="AX67" s="33">
        <v>0</v>
      </c>
      <c r="AY67" s="33">
        <v>0</v>
      </c>
      <c r="AZ67" s="33">
        <v>11</v>
      </c>
      <c r="BA67" s="33">
        <v>16</v>
      </c>
      <c r="BB67" s="33">
        <v>0</v>
      </c>
      <c r="BC67" s="33">
        <v>12</v>
      </c>
      <c r="BD67" s="33">
        <v>-3</v>
      </c>
      <c r="BE67" s="33">
        <v>8</v>
      </c>
      <c r="BF67" s="33">
        <v>-3</v>
      </c>
      <c r="BG67" s="33">
        <v>10</v>
      </c>
      <c r="BH67" s="33">
        <v>0</v>
      </c>
      <c r="BI67" s="33">
        <v>-5</v>
      </c>
      <c r="BJ67" s="33">
        <v>-3</v>
      </c>
      <c r="BK67" s="33">
        <v>-1</v>
      </c>
      <c r="BL67" s="33">
        <v>0</v>
      </c>
      <c r="BM67" s="33">
        <v>0</v>
      </c>
      <c r="BN67" s="33">
        <v>-3</v>
      </c>
      <c r="BO67" s="33">
        <v>-4</v>
      </c>
      <c r="BP67" s="33">
        <v>10</v>
      </c>
      <c r="BQ67" s="33">
        <v>8</v>
      </c>
      <c r="BR67" s="33">
        <v>0</v>
      </c>
      <c r="BS67" s="33">
        <v>0</v>
      </c>
      <c r="BT67" s="33">
        <v>13</v>
      </c>
      <c r="BU67" s="33">
        <v>7</v>
      </c>
      <c r="BV67" s="33">
        <v>0</v>
      </c>
      <c r="BW67" s="33">
        <v>8</v>
      </c>
      <c r="BX67" s="33">
        <v>0</v>
      </c>
      <c r="BY67" s="33">
        <v>0</v>
      </c>
      <c r="BZ67" s="33">
        <v>5</v>
      </c>
      <c r="CA67" s="33">
        <v>0</v>
      </c>
      <c r="CB67" s="33">
        <v>-5</v>
      </c>
      <c r="CC67" s="33">
        <v>11</v>
      </c>
      <c r="CD67" s="33">
        <v>0</v>
      </c>
      <c r="CE67" s="33">
        <v>-5</v>
      </c>
    </row>
    <row r="68" spans="1:83" x14ac:dyDescent="0.25">
      <c r="A68" s="51"/>
      <c r="B68" s="32" t="s">
        <v>168</v>
      </c>
      <c r="C68" s="34"/>
      <c r="D68" s="33">
        <f t="shared" si="194"/>
        <v>34</v>
      </c>
      <c r="E68" s="41"/>
      <c r="F68" s="41"/>
      <c r="G68" s="33"/>
      <c r="H68" s="33"/>
      <c r="I68" s="33"/>
      <c r="J68" s="33"/>
      <c r="K68" s="33">
        <v>0</v>
      </c>
      <c r="L68" s="33">
        <v>2</v>
      </c>
      <c r="M68" s="33">
        <v>-3</v>
      </c>
      <c r="N68" s="33">
        <v>2</v>
      </c>
      <c r="O68" s="33">
        <v>12</v>
      </c>
      <c r="P68" s="33">
        <v>1</v>
      </c>
      <c r="Q68" s="33">
        <v>-7</v>
      </c>
      <c r="R68" s="33">
        <v>-8</v>
      </c>
      <c r="S68" s="33">
        <v>7</v>
      </c>
      <c r="T68" s="33">
        <v>5</v>
      </c>
      <c r="U68" s="33">
        <v>1</v>
      </c>
      <c r="V68" s="33">
        <v>0</v>
      </c>
      <c r="W68" s="33">
        <v>14</v>
      </c>
      <c r="X68" s="33">
        <v>7</v>
      </c>
      <c r="Y68" s="33">
        <v>3</v>
      </c>
      <c r="Z68" s="33">
        <v>4</v>
      </c>
      <c r="AA68" s="33">
        <v>9</v>
      </c>
      <c r="AB68" s="33">
        <v>3</v>
      </c>
      <c r="AC68" s="33">
        <v>7</v>
      </c>
      <c r="AD68" s="33">
        <v>13</v>
      </c>
      <c r="AE68" s="33">
        <v>1</v>
      </c>
      <c r="AF68" s="33">
        <v>1</v>
      </c>
      <c r="AG68" s="33">
        <v>9</v>
      </c>
      <c r="AH68" s="33">
        <v>8</v>
      </c>
      <c r="AI68" s="33">
        <v>5</v>
      </c>
      <c r="AJ68" s="33">
        <v>15</v>
      </c>
      <c r="AK68" s="33">
        <v>13</v>
      </c>
      <c r="AL68" s="33">
        <v>9</v>
      </c>
      <c r="AM68" s="33">
        <v>10</v>
      </c>
      <c r="AN68" s="33">
        <v>7</v>
      </c>
      <c r="AO68" s="33">
        <v>5</v>
      </c>
      <c r="AP68" s="33">
        <v>15</v>
      </c>
      <c r="AQ68" s="33">
        <v>-2</v>
      </c>
      <c r="AR68" s="33">
        <v>3</v>
      </c>
      <c r="AS68" s="33">
        <v>0</v>
      </c>
      <c r="AT68" s="33">
        <v>0</v>
      </c>
      <c r="AU68" s="33">
        <v>5</v>
      </c>
      <c r="AV68" s="33">
        <v>3</v>
      </c>
      <c r="AW68" s="33">
        <v>-2</v>
      </c>
      <c r="AX68" s="33">
        <v>0</v>
      </c>
      <c r="AY68" s="33">
        <v>12</v>
      </c>
      <c r="AZ68" s="33">
        <v>7</v>
      </c>
      <c r="BA68" s="33">
        <v>1</v>
      </c>
      <c r="BB68" s="33">
        <v>4</v>
      </c>
      <c r="BC68" s="33">
        <v>4</v>
      </c>
      <c r="BD68" s="33">
        <v>8</v>
      </c>
      <c r="BE68" s="33">
        <v>-2</v>
      </c>
      <c r="BF68" s="33">
        <v>1</v>
      </c>
      <c r="BG68" s="33">
        <v>-2</v>
      </c>
      <c r="BH68" s="33">
        <v>3</v>
      </c>
      <c r="BI68" s="33">
        <v>-2</v>
      </c>
      <c r="BJ68" s="33">
        <v>0</v>
      </c>
      <c r="BK68" s="33">
        <v>8</v>
      </c>
      <c r="BL68" s="33">
        <v>2</v>
      </c>
      <c r="BM68" s="33">
        <v>9</v>
      </c>
      <c r="BN68" s="33">
        <v>1</v>
      </c>
      <c r="BO68" s="33">
        <v>5</v>
      </c>
      <c r="BP68" s="33">
        <v>7</v>
      </c>
      <c r="BQ68" s="33">
        <v>-4</v>
      </c>
      <c r="BR68" s="33">
        <v>1</v>
      </c>
      <c r="BS68" s="33">
        <v>4</v>
      </c>
      <c r="BT68" s="33">
        <v>0</v>
      </c>
      <c r="BU68" s="33">
        <v>-3</v>
      </c>
      <c r="BV68" s="33">
        <v>2</v>
      </c>
      <c r="BW68" s="33">
        <v>10</v>
      </c>
      <c r="BX68" s="33">
        <v>0</v>
      </c>
      <c r="BY68" s="33">
        <v>-3</v>
      </c>
      <c r="BZ68" s="33">
        <v>-1</v>
      </c>
      <c r="CA68" s="33">
        <v>-1</v>
      </c>
      <c r="CB68" s="33">
        <v>-6</v>
      </c>
      <c r="CC68" s="33">
        <v>-2</v>
      </c>
      <c r="CD68" s="33">
        <v>-5</v>
      </c>
      <c r="CE68" s="33">
        <v>-4</v>
      </c>
    </row>
    <row r="69" spans="1:83" x14ac:dyDescent="0.25">
      <c r="A69" s="51"/>
      <c r="B69" s="38" t="s">
        <v>170</v>
      </c>
      <c r="C69" s="34"/>
      <c r="D69" s="33">
        <f t="shared" si="194"/>
        <v>37</v>
      </c>
      <c r="E69" s="41"/>
      <c r="F69" s="41"/>
      <c r="G69" s="33"/>
      <c r="H69" s="33"/>
      <c r="I69" s="33"/>
      <c r="J69" s="33"/>
      <c r="K69" s="33">
        <v>-5</v>
      </c>
      <c r="L69" s="33">
        <v>0</v>
      </c>
      <c r="M69" s="33">
        <v>-6</v>
      </c>
      <c r="N69" s="33">
        <v>3</v>
      </c>
      <c r="O69" s="33">
        <v>4</v>
      </c>
      <c r="P69" s="33">
        <v>-6</v>
      </c>
      <c r="Q69" s="33">
        <v>-9</v>
      </c>
      <c r="R69" s="33">
        <v>-12</v>
      </c>
      <c r="S69" s="33">
        <v>0</v>
      </c>
      <c r="T69" s="33">
        <v>8</v>
      </c>
      <c r="U69" s="33">
        <v>7</v>
      </c>
      <c r="V69" s="33">
        <v>9</v>
      </c>
      <c r="W69" s="33">
        <v>10</v>
      </c>
      <c r="X69" s="33">
        <v>3</v>
      </c>
      <c r="Y69" s="33">
        <v>0</v>
      </c>
      <c r="Z69" s="33">
        <v>-1</v>
      </c>
      <c r="AA69" s="33">
        <v>3</v>
      </c>
      <c r="AB69" s="33">
        <v>1</v>
      </c>
      <c r="AC69" s="33">
        <v>6</v>
      </c>
      <c r="AD69" s="33">
        <v>7</v>
      </c>
      <c r="AE69" s="33">
        <v>3</v>
      </c>
      <c r="AF69" s="33">
        <v>4</v>
      </c>
      <c r="AG69" s="33">
        <v>10</v>
      </c>
      <c r="AH69" s="33">
        <v>13</v>
      </c>
      <c r="AI69" s="33">
        <v>4</v>
      </c>
      <c r="AJ69" s="33">
        <v>1</v>
      </c>
      <c r="AK69" s="33">
        <v>-1</v>
      </c>
      <c r="AL69" s="33">
        <v>1</v>
      </c>
      <c r="AM69" s="33">
        <v>9</v>
      </c>
      <c r="AN69" s="33">
        <v>14</v>
      </c>
      <c r="AO69" s="33">
        <v>9</v>
      </c>
      <c r="AP69" s="33">
        <v>13</v>
      </c>
      <c r="AQ69" s="33">
        <v>-1</v>
      </c>
      <c r="AR69" s="33">
        <v>9</v>
      </c>
      <c r="AS69" s="33">
        <v>12</v>
      </c>
      <c r="AT69" s="33">
        <v>10</v>
      </c>
      <c r="AU69" s="33">
        <v>2</v>
      </c>
      <c r="AV69" s="33">
        <v>-1</v>
      </c>
      <c r="AW69" s="33">
        <v>-4</v>
      </c>
      <c r="AX69" s="33">
        <v>7</v>
      </c>
      <c r="AY69" s="33">
        <v>7</v>
      </c>
      <c r="AZ69" s="33">
        <v>6</v>
      </c>
      <c r="BA69" s="33">
        <v>9</v>
      </c>
      <c r="BB69" s="33">
        <v>8</v>
      </c>
      <c r="BC69" s="33">
        <v>11</v>
      </c>
      <c r="BD69" s="33">
        <v>7</v>
      </c>
      <c r="BE69" s="33">
        <v>7</v>
      </c>
      <c r="BF69" s="33">
        <v>5</v>
      </c>
      <c r="BG69" s="33">
        <v>9</v>
      </c>
      <c r="BH69" s="33">
        <v>2</v>
      </c>
      <c r="BI69" s="33">
        <v>-3</v>
      </c>
      <c r="BJ69" s="33">
        <v>4</v>
      </c>
      <c r="BK69" s="33">
        <v>1</v>
      </c>
      <c r="BL69" s="33">
        <v>5</v>
      </c>
      <c r="BM69" s="33">
        <v>3</v>
      </c>
      <c r="BN69" s="33">
        <v>8</v>
      </c>
      <c r="BO69" s="33">
        <v>-3</v>
      </c>
      <c r="BP69" s="33">
        <v>1</v>
      </c>
      <c r="BQ69" s="33">
        <v>4</v>
      </c>
      <c r="BR69" s="33">
        <v>7</v>
      </c>
      <c r="BS69" s="33">
        <v>3</v>
      </c>
      <c r="BT69" s="33">
        <v>-1</v>
      </c>
      <c r="BU69" s="33">
        <v>-4</v>
      </c>
      <c r="BV69" s="33">
        <v>8</v>
      </c>
      <c r="BW69" s="33">
        <v>-1</v>
      </c>
      <c r="BX69" s="33">
        <v>-1</v>
      </c>
      <c r="BY69" s="33">
        <v>5</v>
      </c>
      <c r="BZ69" s="33">
        <v>3</v>
      </c>
      <c r="CA69" s="33">
        <v>1</v>
      </c>
      <c r="CB69" s="33">
        <v>-3</v>
      </c>
      <c r="CC69" s="33">
        <v>12</v>
      </c>
      <c r="CD69" s="33">
        <v>3</v>
      </c>
      <c r="CE69" s="33">
        <v>1</v>
      </c>
    </row>
    <row r="70" spans="1:83" x14ac:dyDescent="0.25">
      <c r="A70" s="51"/>
      <c r="B70" s="32" t="s">
        <v>192</v>
      </c>
      <c r="C70" s="34"/>
      <c r="D70" s="33">
        <f t="shared" si="194"/>
        <v>28</v>
      </c>
      <c r="E70" s="41"/>
      <c r="F70" s="41"/>
      <c r="G70" s="33"/>
      <c r="H70" s="33"/>
      <c r="I70" s="33"/>
      <c r="J70" s="33"/>
      <c r="K70" s="33">
        <v>1</v>
      </c>
      <c r="L70" s="33">
        <v>7</v>
      </c>
      <c r="M70" s="33">
        <v>7</v>
      </c>
      <c r="N70" s="33">
        <v>6</v>
      </c>
      <c r="O70" s="33">
        <v>10</v>
      </c>
      <c r="P70" s="33">
        <v>0</v>
      </c>
      <c r="Q70" s="33">
        <v>1</v>
      </c>
      <c r="R70" s="33">
        <v>0</v>
      </c>
      <c r="S70" s="33">
        <v>2</v>
      </c>
      <c r="T70" s="33">
        <v>2</v>
      </c>
      <c r="U70" s="33">
        <v>4</v>
      </c>
      <c r="V70" s="33">
        <v>2</v>
      </c>
      <c r="W70" s="33">
        <v>9</v>
      </c>
      <c r="X70" s="33">
        <v>9</v>
      </c>
      <c r="Y70" s="33">
        <v>5</v>
      </c>
      <c r="Z70" s="33">
        <v>7</v>
      </c>
      <c r="AA70" s="33">
        <v>2</v>
      </c>
      <c r="AB70" s="33">
        <v>4</v>
      </c>
      <c r="AC70" s="33">
        <v>4</v>
      </c>
      <c r="AD70" s="33">
        <v>16</v>
      </c>
      <c r="AE70" s="33">
        <v>5</v>
      </c>
      <c r="AF70" s="33">
        <v>5</v>
      </c>
      <c r="AG70" s="33">
        <v>5</v>
      </c>
      <c r="AH70" s="33">
        <v>3</v>
      </c>
      <c r="AI70" s="33">
        <v>3</v>
      </c>
      <c r="AJ70" s="33">
        <v>5</v>
      </c>
      <c r="AK70" s="33">
        <v>4</v>
      </c>
      <c r="AL70" s="33">
        <v>3</v>
      </c>
      <c r="AM70" s="33">
        <v>5</v>
      </c>
      <c r="AN70" s="33">
        <v>3</v>
      </c>
      <c r="AO70" s="33">
        <v>1</v>
      </c>
      <c r="AP70" s="33">
        <v>4</v>
      </c>
      <c r="AQ70" s="33">
        <v>3</v>
      </c>
      <c r="AR70" s="33">
        <v>0</v>
      </c>
      <c r="AS70" s="33">
        <v>2</v>
      </c>
      <c r="AT70" s="33">
        <v>2</v>
      </c>
      <c r="AU70" s="33">
        <v>4</v>
      </c>
      <c r="AV70" s="33">
        <v>0</v>
      </c>
      <c r="AW70" s="33">
        <v>0</v>
      </c>
      <c r="AX70" s="33">
        <v>2</v>
      </c>
      <c r="AY70" s="33">
        <v>4</v>
      </c>
      <c r="AZ70" s="33">
        <v>-2</v>
      </c>
      <c r="BA70" s="33">
        <v>8</v>
      </c>
      <c r="BB70" s="33">
        <v>1</v>
      </c>
      <c r="BC70" s="33">
        <v>6</v>
      </c>
      <c r="BD70" s="33">
        <v>1</v>
      </c>
      <c r="BE70" s="33">
        <v>2</v>
      </c>
      <c r="BF70" s="33">
        <v>4</v>
      </c>
      <c r="BG70" s="33">
        <v>11</v>
      </c>
      <c r="BH70" s="33">
        <v>6</v>
      </c>
      <c r="BI70" s="33">
        <v>3</v>
      </c>
      <c r="BJ70" s="33">
        <v>1</v>
      </c>
      <c r="BK70" s="33">
        <v>7</v>
      </c>
      <c r="BL70" s="33">
        <v>3</v>
      </c>
      <c r="BM70" s="33">
        <v>5</v>
      </c>
      <c r="BN70" s="33">
        <v>6</v>
      </c>
      <c r="BO70" s="33">
        <v>0</v>
      </c>
      <c r="BP70" s="33">
        <v>4</v>
      </c>
      <c r="BQ70" s="33">
        <v>5</v>
      </c>
      <c r="BR70" s="33">
        <v>6</v>
      </c>
      <c r="BS70" s="33">
        <v>11</v>
      </c>
      <c r="BT70" s="33">
        <v>3</v>
      </c>
      <c r="BU70" s="33">
        <v>6</v>
      </c>
      <c r="BV70" s="33">
        <v>7</v>
      </c>
      <c r="BW70" s="33">
        <v>9</v>
      </c>
      <c r="BX70" s="33">
        <v>5</v>
      </c>
      <c r="BY70" s="33">
        <v>-2</v>
      </c>
      <c r="BZ70" s="33">
        <v>0</v>
      </c>
      <c r="CA70" s="33">
        <v>7</v>
      </c>
      <c r="CB70" s="33">
        <v>5</v>
      </c>
      <c r="CC70" s="33">
        <v>4</v>
      </c>
      <c r="CD70" s="33">
        <v>2</v>
      </c>
      <c r="CE70" s="33">
        <v>-2</v>
      </c>
    </row>
    <row r="71" spans="1:83" x14ac:dyDescent="0.25">
      <c r="A71" s="51"/>
      <c r="B71" s="38" t="s">
        <v>172</v>
      </c>
      <c r="C71" s="34"/>
      <c r="D71" s="33">
        <f t="shared" si="194"/>
        <v>63</v>
      </c>
      <c r="E71" s="34"/>
      <c r="F71" s="34"/>
      <c r="G71" s="33"/>
      <c r="H71" s="33"/>
      <c r="I71" s="33"/>
      <c r="J71" s="33"/>
      <c r="K71" s="33">
        <v>5</v>
      </c>
      <c r="L71" s="33">
        <v>10</v>
      </c>
      <c r="M71" s="33">
        <v>6</v>
      </c>
      <c r="N71" s="33">
        <v>5</v>
      </c>
      <c r="O71" s="33">
        <v>5</v>
      </c>
      <c r="P71" s="33">
        <v>4</v>
      </c>
      <c r="Q71" s="33">
        <v>-1</v>
      </c>
      <c r="R71" s="33">
        <v>-3</v>
      </c>
      <c r="S71" s="33">
        <v>10</v>
      </c>
      <c r="T71" s="33">
        <v>11</v>
      </c>
      <c r="U71" s="33">
        <v>8</v>
      </c>
      <c r="V71" s="33">
        <v>11</v>
      </c>
      <c r="W71" s="33">
        <v>13</v>
      </c>
      <c r="X71" s="33">
        <v>10</v>
      </c>
      <c r="Y71" s="33">
        <v>8</v>
      </c>
      <c r="Z71" s="33">
        <v>0</v>
      </c>
      <c r="AA71" s="33">
        <v>1</v>
      </c>
      <c r="AB71" s="33">
        <v>10</v>
      </c>
      <c r="AC71" s="33">
        <v>5</v>
      </c>
      <c r="AD71" s="33">
        <v>12</v>
      </c>
      <c r="AE71" s="33">
        <v>7</v>
      </c>
      <c r="AF71" s="33">
        <v>9</v>
      </c>
      <c r="AG71" s="33">
        <v>6</v>
      </c>
      <c r="AH71" s="33">
        <v>5</v>
      </c>
      <c r="AI71" s="33">
        <v>7</v>
      </c>
      <c r="AJ71" s="33">
        <v>12</v>
      </c>
      <c r="AK71" s="33">
        <v>5</v>
      </c>
      <c r="AL71" s="33">
        <v>7</v>
      </c>
      <c r="AM71" s="33">
        <v>0</v>
      </c>
      <c r="AN71" s="33">
        <v>-1</v>
      </c>
      <c r="AO71" s="33">
        <v>3</v>
      </c>
      <c r="AP71" s="33">
        <v>2</v>
      </c>
      <c r="AQ71" s="33">
        <v>5</v>
      </c>
      <c r="AR71" s="33">
        <v>1</v>
      </c>
      <c r="AS71" s="33">
        <v>4</v>
      </c>
      <c r="AT71" s="33">
        <v>5</v>
      </c>
      <c r="AU71" s="33">
        <v>1</v>
      </c>
      <c r="AV71" s="33">
        <v>4</v>
      </c>
      <c r="AW71" s="33">
        <v>4</v>
      </c>
      <c r="AX71" s="33">
        <v>1</v>
      </c>
      <c r="AY71" s="33">
        <v>1</v>
      </c>
      <c r="AZ71" s="33">
        <v>1</v>
      </c>
      <c r="BA71" s="33">
        <v>12</v>
      </c>
      <c r="BB71" s="33">
        <v>0</v>
      </c>
      <c r="BC71" s="33">
        <v>2</v>
      </c>
      <c r="BD71" s="33">
        <v>2</v>
      </c>
      <c r="BE71" s="33">
        <v>-1</v>
      </c>
      <c r="BF71" s="33">
        <v>7</v>
      </c>
      <c r="BG71" s="33">
        <v>3</v>
      </c>
      <c r="BH71" s="33">
        <v>7</v>
      </c>
      <c r="BI71" s="33">
        <v>6</v>
      </c>
      <c r="BJ71" s="33">
        <v>6</v>
      </c>
      <c r="BK71" s="33">
        <v>6</v>
      </c>
      <c r="BL71" s="33">
        <v>1</v>
      </c>
      <c r="BM71" s="33">
        <v>1</v>
      </c>
      <c r="BN71" s="33">
        <v>5</v>
      </c>
      <c r="BO71" s="33">
        <v>1</v>
      </c>
      <c r="BP71" s="33">
        <v>-1</v>
      </c>
      <c r="BQ71" s="33">
        <v>1</v>
      </c>
      <c r="BR71" s="33">
        <v>3</v>
      </c>
      <c r="BS71" s="33">
        <v>-1</v>
      </c>
      <c r="BT71" s="33">
        <v>5</v>
      </c>
      <c r="BU71" s="33">
        <v>2</v>
      </c>
      <c r="BV71" s="33">
        <v>4</v>
      </c>
      <c r="BW71" s="33">
        <v>6</v>
      </c>
      <c r="BX71" s="33">
        <v>1</v>
      </c>
      <c r="BY71" s="33">
        <v>1</v>
      </c>
      <c r="BZ71" s="33">
        <v>0</v>
      </c>
      <c r="CA71" s="33">
        <v>0</v>
      </c>
      <c r="CB71" s="33">
        <v>-1</v>
      </c>
      <c r="CC71" s="33">
        <v>5</v>
      </c>
      <c r="CD71" s="33">
        <v>7</v>
      </c>
      <c r="CE71" s="33">
        <v>5</v>
      </c>
    </row>
    <row r="72" spans="1:83" x14ac:dyDescent="0.25">
      <c r="A72" s="51"/>
      <c r="B72" s="32" t="s">
        <v>174</v>
      </c>
      <c r="C72" s="34"/>
      <c r="D72" s="33">
        <f t="shared" si="194"/>
        <v>3</v>
      </c>
      <c r="E72" s="34"/>
      <c r="F72" s="34"/>
      <c r="G72" s="33"/>
      <c r="H72" s="33"/>
      <c r="I72" s="33"/>
      <c r="J72" s="33"/>
      <c r="K72" s="33">
        <v>2</v>
      </c>
      <c r="L72" s="33">
        <v>9</v>
      </c>
      <c r="M72" s="33">
        <v>4</v>
      </c>
      <c r="N72" s="33">
        <v>0</v>
      </c>
      <c r="O72" s="33">
        <v>2</v>
      </c>
      <c r="P72" s="33">
        <v>-1</v>
      </c>
      <c r="Q72" s="33">
        <v>-5</v>
      </c>
      <c r="R72" s="33">
        <v>0</v>
      </c>
      <c r="S72" s="33">
        <v>4</v>
      </c>
      <c r="T72" s="33">
        <v>0</v>
      </c>
      <c r="U72" s="33">
        <v>-2</v>
      </c>
      <c r="V72" s="33">
        <v>1</v>
      </c>
      <c r="W72" s="33">
        <v>1</v>
      </c>
      <c r="X72" s="33">
        <v>-1</v>
      </c>
      <c r="Y72" s="33">
        <v>4</v>
      </c>
      <c r="Z72" s="33">
        <v>2</v>
      </c>
      <c r="AA72" s="33">
        <v>0</v>
      </c>
      <c r="AB72" s="33">
        <v>2</v>
      </c>
      <c r="AC72" s="33">
        <v>2</v>
      </c>
      <c r="AD72" s="33">
        <v>10</v>
      </c>
      <c r="AE72" s="33">
        <v>6</v>
      </c>
      <c r="AF72" s="33">
        <v>3</v>
      </c>
      <c r="AG72" s="33">
        <v>13</v>
      </c>
      <c r="AH72" s="33">
        <v>4</v>
      </c>
      <c r="AI72" s="33">
        <v>11</v>
      </c>
      <c r="AJ72" s="33">
        <v>2</v>
      </c>
      <c r="AK72" s="33">
        <v>0</v>
      </c>
      <c r="AL72" s="33">
        <v>-2</v>
      </c>
      <c r="AM72" s="33">
        <v>-1</v>
      </c>
      <c r="AN72" s="33">
        <v>6</v>
      </c>
      <c r="AO72" s="33">
        <v>-1</v>
      </c>
      <c r="AP72" s="33">
        <v>-1</v>
      </c>
      <c r="AQ72" s="33">
        <v>0</v>
      </c>
      <c r="AR72" s="33">
        <v>-2</v>
      </c>
      <c r="AS72" s="33">
        <v>10</v>
      </c>
      <c r="AT72" s="33">
        <v>8</v>
      </c>
      <c r="AU72" s="33">
        <v>12</v>
      </c>
      <c r="AV72" s="33">
        <v>-2</v>
      </c>
      <c r="AW72" s="33">
        <v>-5</v>
      </c>
      <c r="AX72" s="33">
        <v>-3</v>
      </c>
      <c r="AY72" s="33">
        <v>-2</v>
      </c>
      <c r="AZ72" s="33">
        <v>8</v>
      </c>
      <c r="BA72" s="33">
        <v>2</v>
      </c>
      <c r="BB72" s="33">
        <v>0</v>
      </c>
      <c r="BC72" s="33">
        <v>-1</v>
      </c>
      <c r="BD72" s="33">
        <v>6</v>
      </c>
      <c r="BE72" s="33">
        <v>4</v>
      </c>
      <c r="BF72" s="33">
        <v>10</v>
      </c>
      <c r="BG72" s="33">
        <v>1</v>
      </c>
      <c r="BH72" s="33">
        <v>-2</v>
      </c>
      <c r="BI72" s="33">
        <v>0</v>
      </c>
      <c r="BJ72" s="33">
        <v>-4</v>
      </c>
      <c r="BK72" s="33">
        <v>12</v>
      </c>
      <c r="BL72" s="33">
        <v>0</v>
      </c>
      <c r="BM72" s="33">
        <v>-2</v>
      </c>
      <c r="BN72" s="33">
        <v>2</v>
      </c>
      <c r="BO72" s="33">
        <v>-1</v>
      </c>
      <c r="BP72" s="33">
        <v>-4</v>
      </c>
      <c r="BQ72" s="33">
        <v>6</v>
      </c>
      <c r="BR72" s="33">
        <v>4</v>
      </c>
      <c r="BS72" s="33">
        <v>10</v>
      </c>
      <c r="BT72" s="33">
        <v>9</v>
      </c>
      <c r="BU72" s="33">
        <v>-2</v>
      </c>
      <c r="BV72" s="33">
        <v>-2</v>
      </c>
      <c r="BW72" s="33">
        <v>0</v>
      </c>
      <c r="BX72" s="33">
        <v>2</v>
      </c>
      <c r="BY72" s="33">
        <v>3</v>
      </c>
      <c r="BZ72" s="33">
        <v>1</v>
      </c>
      <c r="CA72" s="33">
        <v>0</v>
      </c>
      <c r="CB72" s="33">
        <v>0</v>
      </c>
      <c r="CC72" s="33">
        <v>10</v>
      </c>
      <c r="CD72" s="33">
        <v>5</v>
      </c>
      <c r="CE72" s="33">
        <v>3</v>
      </c>
    </row>
    <row r="73" spans="1:83" x14ac:dyDescent="0.25">
      <c r="A73" s="51"/>
      <c r="B73" s="38" t="s">
        <v>176</v>
      </c>
      <c r="C73" s="34"/>
      <c r="D73" s="33">
        <f t="shared" si="194"/>
        <v>44</v>
      </c>
      <c r="E73" s="34"/>
      <c r="F73" s="34"/>
      <c r="G73" s="33"/>
      <c r="H73" s="33"/>
      <c r="I73" s="33"/>
      <c r="J73" s="33"/>
      <c r="K73" s="33">
        <v>4</v>
      </c>
      <c r="L73" s="33">
        <v>5</v>
      </c>
      <c r="M73" s="33">
        <v>9</v>
      </c>
      <c r="N73" s="33">
        <v>9</v>
      </c>
      <c r="O73" s="33">
        <v>14</v>
      </c>
      <c r="P73" s="33">
        <v>-2</v>
      </c>
      <c r="Q73" s="33">
        <v>-3</v>
      </c>
      <c r="R73" s="33">
        <v>-11</v>
      </c>
      <c r="S73" s="33">
        <v>3</v>
      </c>
      <c r="T73" s="33">
        <v>4</v>
      </c>
      <c r="U73" s="33">
        <v>6</v>
      </c>
      <c r="V73" s="33">
        <v>8</v>
      </c>
      <c r="W73" s="33">
        <v>11</v>
      </c>
      <c r="X73" s="33">
        <v>12</v>
      </c>
      <c r="Y73" s="33">
        <v>10</v>
      </c>
      <c r="Z73" s="33">
        <v>0</v>
      </c>
      <c r="AA73" s="33">
        <v>5</v>
      </c>
      <c r="AB73" s="33">
        <v>15</v>
      </c>
      <c r="AC73" s="33">
        <v>15</v>
      </c>
      <c r="AD73" s="33">
        <v>9</v>
      </c>
      <c r="AE73" s="33">
        <v>15</v>
      </c>
      <c r="AF73" s="33">
        <v>14</v>
      </c>
      <c r="AG73" s="33">
        <v>0</v>
      </c>
      <c r="AH73" s="33">
        <v>7</v>
      </c>
      <c r="AI73" s="33">
        <v>10</v>
      </c>
      <c r="AJ73" s="33">
        <v>16</v>
      </c>
      <c r="AK73" s="33">
        <v>9</v>
      </c>
      <c r="AL73" s="33">
        <v>6</v>
      </c>
      <c r="AM73" s="33">
        <v>11</v>
      </c>
      <c r="AN73" s="33">
        <v>12</v>
      </c>
      <c r="AO73" s="33">
        <v>12</v>
      </c>
      <c r="AP73" s="33">
        <v>11</v>
      </c>
      <c r="AQ73" s="33">
        <v>11</v>
      </c>
      <c r="AR73" s="33">
        <v>4</v>
      </c>
      <c r="AS73" s="33">
        <v>3</v>
      </c>
      <c r="AT73" s="33">
        <v>0</v>
      </c>
      <c r="AU73" s="33">
        <v>0</v>
      </c>
      <c r="AV73" s="33">
        <v>-4</v>
      </c>
      <c r="AW73" s="33">
        <v>3</v>
      </c>
      <c r="AX73" s="33">
        <v>5</v>
      </c>
      <c r="AY73" s="33">
        <v>3</v>
      </c>
      <c r="AZ73" s="33">
        <v>2</v>
      </c>
      <c r="BA73" s="33">
        <v>3</v>
      </c>
      <c r="BB73" s="33">
        <v>10</v>
      </c>
      <c r="BC73" s="33">
        <v>7</v>
      </c>
      <c r="BD73" s="33">
        <v>10</v>
      </c>
      <c r="BE73" s="33">
        <v>0</v>
      </c>
      <c r="BF73" s="33">
        <v>-1</v>
      </c>
      <c r="BG73" s="33">
        <v>0</v>
      </c>
      <c r="BH73" s="33">
        <v>4</v>
      </c>
      <c r="BI73" s="33">
        <v>4</v>
      </c>
      <c r="BJ73" s="33">
        <v>0</v>
      </c>
      <c r="BK73" s="33">
        <v>10</v>
      </c>
      <c r="BL73" s="33">
        <v>0</v>
      </c>
      <c r="BM73" s="33">
        <v>0</v>
      </c>
      <c r="BN73" s="33">
        <v>0</v>
      </c>
      <c r="BO73" s="33">
        <v>3</v>
      </c>
      <c r="BP73" s="33">
        <v>5</v>
      </c>
      <c r="BQ73" s="33">
        <v>0</v>
      </c>
      <c r="BR73" s="33">
        <v>10</v>
      </c>
      <c r="BS73" s="33">
        <v>5</v>
      </c>
      <c r="BT73" s="33">
        <v>11</v>
      </c>
      <c r="BU73" s="33">
        <v>0</v>
      </c>
      <c r="BV73" s="33">
        <v>-1</v>
      </c>
      <c r="BW73" s="33">
        <v>-4</v>
      </c>
      <c r="BX73" s="33">
        <v>-2</v>
      </c>
      <c r="BY73" s="33">
        <v>-4</v>
      </c>
      <c r="BZ73" s="33">
        <v>-6</v>
      </c>
      <c r="CA73" s="33">
        <v>0</v>
      </c>
      <c r="CB73" s="33">
        <v>2</v>
      </c>
      <c r="CC73" s="33">
        <v>6</v>
      </c>
      <c r="CD73" s="33">
        <v>-2</v>
      </c>
      <c r="CE73" s="33">
        <v>-3</v>
      </c>
    </row>
    <row r="74" spans="1:83" x14ac:dyDescent="0.25">
      <c r="A74" s="51"/>
      <c r="B74" s="38" t="s">
        <v>467</v>
      </c>
      <c r="C74" s="34"/>
      <c r="D74" s="33">
        <f>SUM(S74:X74)</f>
        <v>15</v>
      </c>
      <c r="E74" s="34"/>
      <c r="F74" s="34"/>
      <c r="G74" s="33"/>
      <c r="H74" s="33"/>
      <c r="I74" s="33"/>
      <c r="J74" s="33"/>
      <c r="K74" s="33">
        <v>-1</v>
      </c>
      <c r="L74" s="33">
        <v>-3</v>
      </c>
      <c r="M74" s="33">
        <v>-1</v>
      </c>
      <c r="N74" s="33">
        <v>0</v>
      </c>
      <c r="O74" s="33">
        <v>13</v>
      </c>
      <c r="P74" s="33">
        <v>-3</v>
      </c>
      <c r="Q74" s="33">
        <v>-13</v>
      </c>
      <c r="R74" s="33">
        <v>-14</v>
      </c>
      <c r="S74" s="33">
        <v>0</v>
      </c>
      <c r="T74" s="33">
        <v>-2</v>
      </c>
      <c r="U74" s="33">
        <v>-5</v>
      </c>
      <c r="V74" s="33">
        <v>4</v>
      </c>
      <c r="W74" s="33">
        <v>7</v>
      </c>
      <c r="X74" s="33">
        <v>11</v>
      </c>
      <c r="Y74" s="33">
        <v>0</v>
      </c>
      <c r="Z74" s="33">
        <v>0</v>
      </c>
      <c r="AA74" s="33">
        <v>0</v>
      </c>
      <c r="AB74" s="33">
        <v>16</v>
      </c>
      <c r="AC74" s="33">
        <v>8</v>
      </c>
      <c r="AD74" s="33">
        <v>14</v>
      </c>
      <c r="AE74" s="33">
        <v>9</v>
      </c>
      <c r="AF74" s="33">
        <v>-1</v>
      </c>
      <c r="AG74" s="33">
        <v>7</v>
      </c>
      <c r="AH74" s="33">
        <v>11</v>
      </c>
      <c r="AI74" s="33">
        <v>0</v>
      </c>
      <c r="AJ74" s="33">
        <v>13</v>
      </c>
      <c r="AK74" s="33">
        <v>-3</v>
      </c>
      <c r="AL74" s="33">
        <v>0</v>
      </c>
      <c r="AM74" s="33">
        <v>7</v>
      </c>
      <c r="AN74" s="33">
        <v>9</v>
      </c>
      <c r="AO74" s="33">
        <v>0</v>
      </c>
      <c r="AP74" s="33">
        <v>12</v>
      </c>
      <c r="AQ74" s="33">
        <v>12</v>
      </c>
      <c r="AR74" s="33">
        <v>10</v>
      </c>
      <c r="AS74" s="33">
        <v>11</v>
      </c>
      <c r="AT74" s="33">
        <v>13</v>
      </c>
      <c r="AU74" s="33">
        <v>13</v>
      </c>
      <c r="AV74" s="33">
        <v>7</v>
      </c>
      <c r="AW74" s="33">
        <v>0</v>
      </c>
      <c r="AX74" s="33">
        <v>-2</v>
      </c>
      <c r="AY74" s="33">
        <v>-3</v>
      </c>
      <c r="AZ74" s="33">
        <v>4</v>
      </c>
      <c r="BA74" s="33">
        <v>-1</v>
      </c>
      <c r="BB74" s="33">
        <v>0</v>
      </c>
      <c r="BC74" s="33">
        <v>-4</v>
      </c>
      <c r="BD74" s="33">
        <v>-2</v>
      </c>
      <c r="BE74" s="33">
        <v>0</v>
      </c>
      <c r="BF74" s="33">
        <v>9</v>
      </c>
      <c r="BG74" s="33">
        <v>0</v>
      </c>
      <c r="BH74" s="33">
        <v>0</v>
      </c>
      <c r="BI74" s="33">
        <v>-4</v>
      </c>
      <c r="BJ74" s="33">
        <v>-5</v>
      </c>
      <c r="BK74" s="33">
        <v>0</v>
      </c>
      <c r="BL74" s="33">
        <v>-2</v>
      </c>
      <c r="BM74" s="33">
        <v>8</v>
      </c>
      <c r="BN74" s="33">
        <v>0</v>
      </c>
      <c r="BO74" s="33">
        <v>0</v>
      </c>
      <c r="BP74" s="33">
        <v>9</v>
      </c>
      <c r="BQ74" s="33">
        <v>0</v>
      </c>
      <c r="BR74" s="33">
        <v>0</v>
      </c>
      <c r="BS74" s="33">
        <v>0</v>
      </c>
      <c r="BT74" s="33">
        <v>-3</v>
      </c>
      <c r="BU74" s="33">
        <v>0</v>
      </c>
      <c r="BW74" s="21">
        <v>11</v>
      </c>
      <c r="BX74" s="21">
        <v>0</v>
      </c>
      <c r="BY74" s="21">
        <v>0</v>
      </c>
      <c r="BZ74" s="21">
        <v>-7</v>
      </c>
      <c r="CA74" s="21">
        <v>-3</v>
      </c>
      <c r="CB74" s="21">
        <v>0</v>
      </c>
      <c r="CC74" s="21">
        <v>0</v>
      </c>
      <c r="CD74" s="21">
        <v>0</v>
      </c>
      <c r="CE74" s="21">
        <v>0</v>
      </c>
    </row>
    <row r="75" spans="1:83" x14ac:dyDescent="0.25">
      <c r="A75" s="51"/>
      <c r="B75" s="32" t="s">
        <v>468</v>
      </c>
      <c r="C75" s="34"/>
      <c r="D75" s="33">
        <f t="shared" si="194"/>
        <v>9</v>
      </c>
      <c r="E75" s="34"/>
      <c r="F75" s="34"/>
      <c r="G75" s="33"/>
      <c r="H75" s="33"/>
      <c r="I75" s="33"/>
      <c r="J75" s="33"/>
      <c r="K75" s="33">
        <v>-6</v>
      </c>
      <c r="L75" s="33">
        <v>-2</v>
      </c>
      <c r="M75" s="33">
        <v>-2</v>
      </c>
      <c r="N75" s="33">
        <v>-2</v>
      </c>
      <c r="O75" s="33">
        <v>6</v>
      </c>
      <c r="P75" s="33">
        <v>-9</v>
      </c>
      <c r="Q75" s="33">
        <v>-8</v>
      </c>
      <c r="R75" s="33">
        <v>-13</v>
      </c>
      <c r="S75" s="33">
        <v>-1</v>
      </c>
      <c r="T75" s="33">
        <v>0</v>
      </c>
      <c r="U75" s="33">
        <v>0</v>
      </c>
      <c r="V75" s="33">
        <v>7</v>
      </c>
      <c r="W75" s="33">
        <v>5</v>
      </c>
      <c r="X75" s="33">
        <v>-2</v>
      </c>
      <c r="Y75" s="33">
        <v>-1</v>
      </c>
      <c r="Z75" s="33">
        <v>0</v>
      </c>
      <c r="AA75" s="33">
        <v>-1</v>
      </c>
      <c r="AB75" s="33">
        <v>0</v>
      </c>
      <c r="AC75" s="33">
        <v>14</v>
      </c>
      <c r="AD75" s="33">
        <v>8</v>
      </c>
      <c r="AE75" s="33">
        <v>13</v>
      </c>
      <c r="AF75" s="33">
        <v>12</v>
      </c>
      <c r="AG75" s="33">
        <v>8</v>
      </c>
      <c r="AH75" s="33">
        <v>15</v>
      </c>
      <c r="AI75" s="33">
        <v>14</v>
      </c>
      <c r="AJ75" s="33">
        <v>8</v>
      </c>
      <c r="AK75" s="33">
        <v>7</v>
      </c>
      <c r="AL75" s="33">
        <v>0</v>
      </c>
      <c r="AM75" s="33">
        <v>0</v>
      </c>
      <c r="AN75" s="33">
        <v>8</v>
      </c>
      <c r="AO75" s="33">
        <v>2</v>
      </c>
      <c r="AP75" s="33">
        <v>3</v>
      </c>
      <c r="AQ75" s="33">
        <v>10</v>
      </c>
      <c r="AR75" s="33">
        <v>6</v>
      </c>
      <c r="AS75" s="33">
        <v>0</v>
      </c>
      <c r="AT75" s="33">
        <v>12</v>
      </c>
      <c r="AU75" s="33">
        <v>11</v>
      </c>
      <c r="AV75" s="33">
        <v>11</v>
      </c>
      <c r="AW75" s="33">
        <v>-6</v>
      </c>
      <c r="AX75" s="33">
        <v>8</v>
      </c>
      <c r="AY75" s="33">
        <v>11</v>
      </c>
      <c r="AZ75" s="33">
        <v>10</v>
      </c>
      <c r="BA75" s="33">
        <v>15</v>
      </c>
      <c r="BB75" s="33">
        <v>9</v>
      </c>
      <c r="BC75" s="33">
        <v>5</v>
      </c>
      <c r="BD75" s="33">
        <v>13</v>
      </c>
      <c r="BE75" s="33">
        <v>11</v>
      </c>
      <c r="BF75" s="33">
        <v>8</v>
      </c>
      <c r="BG75" s="33">
        <v>8</v>
      </c>
      <c r="BH75" s="33">
        <v>0</v>
      </c>
      <c r="BI75" s="33">
        <v>5</v>
      </c>
      <c r="BJ75" s="33">
        <v>0</v>
      </c>
      <c r="BK75" s="33">
        <v>0</v>
      </c>
      <c r="BL75" s="33">
        <v>6</v>
      </c>
      <c r="BM75" s="33">
        <v>-3</v>
      </c>
      <c r="BN75" s="33">
        <v>10</v>
      </c>
      <c r="BO75" s="33">
        <v>0</v>
      </c>
      <c r="BP75" s="33">
        <v>0</v>
      </c>
      <c r="BQ75" s="33">
        <v>7</v>
      </c>
      <c r="BR75" s="33">
        <v>-3</v>
      </c>
      <c r="BS75" s="33">
        <v>8</v>
      </c>
      <c r="BT75" s="33">
        <v>0</v>
      </c>
      <c r="BU75" s="33">
        <v>0</v>
      </c>
      <c r="BV75" s="33">
        <v>-4</v>
      </c>
      <c r="BW75" s="33">
        <v>7</v>
      </c>
      <c r="BX75" s="33">
        <v>0</v>
      </c>
      <c r="BY75" s="33">
        <v>0</v>
      </c>
      <c r="BZ75" s="33">
        <v>-4</v>
      </c>
      <c r="CA75" s="33">
        <v>8</v>
      </c>
      <c r="CB75" s="33">
        <v>3</v>
      </c>
      <c r="CC75" s="33">
        <v>0</v>
      </c>
      <c r="CD75" s="33">
        <v>8</v>
      </c>
      <c r="CE75" s="33">
        <v>7</v>
      </c>
    </row>
    <row r="76" spans="1:83" x14ac:dyDescent="0.25">
      <c r="A76" s="51"/>
      <c r="B76" s="38" t="s">
        <v>178</v>
      </c>
      <c r="C76" s="34"/>
      <c r="D76" s="33">
        <f t="shared" si="194"/>
        <v>17</v>
      </c>
      <c r="E76" s="34"/>
      <c r="F76" s="34"/>
      <c r="G76" s="33"/>
      <c r="H76" s="33"/>
      <c r="I76" s="33"/>
      <c r="J76" s="33"/>
      <c r="K76" s="33">
        <v>3</v>
      </c>
      <c r="L76" s="33">
        <v>3</v>
      </c>
      <c r="M76" s="33">
        <v>2</v>
      </c>
      <c r="N76" s="33">
        <v>-1</v>
      </c>
      <c r="O76" s="33">
        <v>3</v>
      </c>
      <c r="P76" s="33">
        <v>-5</v>
      </c>
      <c r="Q76" s="33">
        <v>-10</v>
      </c>
      <c r="R76" s="33">
        <v>-7</v>
      </c>
      <c r="S76" s="33">
        <v>5</v>
      </c>
      <c r="T76" s="33">
        <v>-1</v>
      </c>
      <c r="U76" s="33">
        <v>-1</v>
      </c>
      <c r="V76" s="33">
        <v>0</v>
      </c>
      <c r="W76" s="33">
        <v>6</v>
      </c>
      <c r="X76" s="33">
        <v>8</v>
      </c>
      <c r="Y76" s="33">
        <v>1</v>
      </c>
      <c r="Z76" s="33">
        <v>1</v>
      </c>
      <c r="AA76" s="33">
        <v>6</v>
      </c>
      <c r="AB76" s="33">
        <v>9</v>
      </c>
      <c r="AC76" s="33">
        <v>3</v>
      </c>
      <c r="AD76" s="33">
        <v>2</v>
      </c>
      <c r="AE76" s="33">
        <v>2</v>
      </c>
      <c r="AF76" s="33">
        <v>2</v>
      </c>
      <c r="AG76" s="33">
        <v>1</v>
      </c>
      <c r="AH76" s="33">
        <v>12</v>
      </c>
      <c r="AI76" s="33">
        <v>2</v>
      </c>
      <c r="AJ76" s="33">
        <v>4</v>
      </c>
      <c r="AK76" s="33">
        <v>3</v>
      </c>
      <c r="AL76" s="33">
        <v>4</v>
      </c>
      <c r="AM76" s="33">
        <v>2</v>
      </c>
      <c r="AN76" s="33">
        <v>4</v>
      </c>
      <c r="AO76" s="33">
        <v>7</v>
      </c>
      <c r="AP76" s="33">
        <v>8</v>
      </c>
      <c r="AQ76" s="33">
        <v>2</v>
      </c>
      <c r="AR76" s="33">
        <v>2</v>
      </c>
      <c r="AS76" s="33">
        <v>1</v>
      </c>
      <c r="AT76" s="33">
        <v>3</v>
      </c>
      <c r="AU76" s="33">
        <v>6</v>
      </c>
      <c r="AV76" s="33">
        <v>2</v>
      </c>
      <c r="AW76" s="33">
        <v>-1</v>
      </c>
      <c r="AX76" s="33">
        <v>3</v>
      </c>
      <c r="AY76" s="33">
        <v>9</v>
      </c>
      <c r="AZ76" s="33">
        <v>3</v>
      </c>
      <c r="BA76" s="33">
        <v>5</v>
      </c>
      <c r="BB76" s="33">
        <v>7</v>
      </c>
      <c r="BC76" s="33">
        <v>3</v>
      </c>
      <c r="BD76" s="33">
        <v>4</v>
      </c>
      <c r="BE76" s="33">
        <v>0</v>
      </c>
      <c r="BF76" s="33">
        <v>0</v>
      </c>
      <c r="BG76" s="33">
        <v>-1</v>
      </c>
      <c r="BH76" s="33">
        <v>-1</v>
      </c>
      <c r="BI76" s="33">
        <v>-1</v>
      </c>
      <c r="BJ76" s="33">
        <v>7</v>
      </c>
      <c r="BK76" s="33">
        <v>3</v>
      </c>
      <c r="BL76" s="33">
        <v>11</v>
      </c>
      <c r="BM76" s="33">
        <v>-1</v>
      </c>
      <c r="BN76" s="33">
        <v>-1</v>
      </c>
      <c r="BO76" s="33">
        <v>0</v>
      </c>
      <c r="BP76" s="33">
        <v>-2</v>
      </c>
      <c r="BQ76" s="33">
        <v>-2</v>
      </c>
      <c r="BR76" s="33">
        <v>0</v>
      </c>
      <c r="BS76" s="33">
        <v>1</v>
      </c>
      <c r="BT76" s="33">
        <v>4</v>
      </c>
      <c r="BU76" s="33">
        <v>-1</v>
      </c>
      <c r="BV76" s="33">
        <v>-3</v>
      </c>
      <c r="BW76" s="33">
        <v>1</v>
      </c>
      <c r="BX76" s="33">
        <v>-4</v>
      </c>
      <c r="BY76" s="33">
        <v>-5</v>
      </c>
      <c r="BZ76" s="33">
        <v>0</v>
      </c>
      <c r="CA76" s="33">
        <v>6</v>
      </c>
      <c r="CB76" s="33">
        <v>0</v>
      </c>
      <c r="CC76" s="33">
        <v>2</v>
      </c>
      <c r="CD76" s="33">
        <v>-1</v>
      </c>
      <c r="CE76" s="33">
        <v>4</v>
      </c>
    </row>
    <row r="77" spans="1:83" x14ac:dyDescent="0.25">
      <c r="A77" s="51"/>
      <c r="B77" s="38" t="s">
        <v>180</v>
      </c>
      <c r="D77" s="33">
        <f t="shared" si="194"/>
        <v>20</v>
      </c>
      <c r="E77" s="34"/>
      <c r="F77" s="34"/>
      <c r="G77" s="33"/>
      <c r="H77" s="33"/>
      <c r="I77" s="33"/>
      <c r="J77" s="33"/>
      <c r="K77" s="33">
        <v>-2</v>
      </c>
      <c r="L77" s="33">
        <v>1</v>
      </c>
      <c r="M77" s="33">
        <v>-5</v>
      </c>
      <c r="N77" s="33">
        <v>7</v>
      </c>
      <c r="O77" s="33">
        <v>8</v>
      </c>
      <c r="P77" s="33">
        <v>2</v>
      </c>
      <c r="Q77" s="33">
        <v>2</v>
      </c>
      <c r="R77" s="33">
        <v>-1</v>
      </c>
      <c r="S77" s="33">
        <v>1</v>
      </c>
      <c r="T77" s="33">
        <v>6</v>
      </c>
      <c r="U77" s="33">
        <v>10</v>
      </c>
      <c r="V77" s="33">
        <v>3</v>
      </c>
      <c r="W77" s="33">
        <v>-1</v>
      </c>
      <c r="X77" s="33">
        <v>1</v>
      </c>
      <c r="Y77" s="33">
        <v>2</v>
      </c>
      <c r="Z77" s="33">
        <v>0</v>
      </c>
      <c r="AA77" s="33">
        <v>8</v>
      </c>
      <c r="AB77" s="33">
        <v>11</v>
      </c>
      <c r="AC77" s="33">
        <v>11</v>
      </c>
      <c r="AD77" s="33">
        <v>1</v>
      </c>
      <c r="AE77" s="33">
        <v>4</v>
      </c>
      <c r="AF77" s="33">
        <v>11</v>
      </c>
      <c r="AG77" s="33">
        <v>4</v>
      </c>
      <c r="AH77" s="33">
        <v>9</v>
      </c>
      <c r="AI77" s="33">
        <v>1</v>
      </c>
      <c r="AJ77" s="33">
        <v>11</v>
      </c>
      <c r="AK77" s="33">
        <v>1</v>
      </c>
      <c r="AL77" s="33">
        <v>8</v>
      </c>
      <c r="AM77" s="33">
        <v>4</v>
      </c>
      <c r="AN77" s="33">
        <v>2</v>
      </c>
      <c r="AO77" s="33">
        <v>6</v>
      </c>
      <c r="AP77" s="33">
        <v>1</v>
      </c>
      <c r="AQ77" s="33">
        <v>1</v>
      </c>
      <c r="AR77" s="33">
        <v>8</v>
      </c>
      <c r="AS77" s="33">
        <v>7</v>
      </c>
      <c r="AT77" s="33">
        <v>7</v>
      </c>
      <c r="AU77" s="33">
        <v>0</v>
      </c>
      <c r="AV77" s="33">
        <v>6</v>
      </c>
      <c r="AW77" s="33">
        <v>0</v>
      </c>
      <c r="AX77" s="33">
        <v>6</v>
      </c>
      <c r="AY77" s="33">
        <v>10</v>
      </c>
      <c r="AZ77" s="33">
        <v>9</v>
      </c>
      <c r="BA77" s="33">
        <v>11</v>
      </c>
      <c r="BB77" s="33">
        <v>2</v>
      </c>
      <c r="BC77" s="33">
        <v>10</v>
      </c>
      <c r="BD77" s="33">
        <v>9</v>
      </c>
      <c r="BE77" s="33">
        <v>5</v>
      </c>
      <c r="BF77" s="33">
        <v>6</v>
      </c>
      <c r="BG77" s="33">
        <v>7</v>
      </c>
      <c r="BH77" s="33">
        <v>5</v>
      </c>
      <c r="BI77" s="33">
        <v>0</v>
      </c>
      <c r="BJ77" s="33">
        <v>3</v>
      </c>
      <c r="BK77" s="33">
        <v>9</v>
      </c>
      <c r="BL77" s="33">
        <v>-1</v>
      </c>
      <c r="BM77" s="33">
        <v>2</v>
      </c>
      <c r="BN77" s="33">
        <v>3</v>
      </c>
      <c r="BO77" s="33">
        <v>-2</v>
      </c>
      <c r="BP77" s="33">
        <v>6</v>
      </c>
      <c r="BQ77" s="33">
        <v>3</v>
      </c>
      <c r="BR77" s="33">
        <v>9</v>
      </c>
      <c r="BS77" s="33">
        <v>6</v>
      </c>
      <c r="BT77" s="33">
        <v>10</v>
      </c>
      <c r="BU77" s="33">
        <v>3</v>
      </c>
      <c r="BV77" s="33">
        <v>3</v>
      </c>
      <c r="BW77" s="33">
        <v>3</v>
      </c>
      <c r="BX77" s="33">
        <v>4</v>
      </c>
      <c r="BY77" s="33">
        <v>-1</v>
      </c>
      <c r="BZ77" s="33">
        <v>4</v>
      </c>
      <c r="CA77" s="33">
        <v>2</v>
      </c>
      <c r="CB77" s="33">
        <v>4</v>
      </c>
      <c r="CC77" s="33">
        <v>3</v>
      </c>
      <c r="CD77" s="33">
        <v>6</v>
      </c>
      <c r="CE77" s="33">
        <v>-1</v>
      </c>
    </row>
    <row r="78" spans="1:83" x14ac:dyDescent="0.25">
      <c r="A78" s="51"/>
      <c r="B78" s="32" t="s">
        <v>228</v>
      </c>
      <c r="D78" s="33">
        <f t="shared" si="194"/>
        <v>30</v>
      </c>
      <c r="E78" s="34"/>
      <c r="F78" s="34"/>
      <c r="G78" s="33"/>
      <c r="H78" s="33"/>
      <c r="I78" s="33"/>
      <c r="J78" s="33"/>
      <c r="K78" s="33">
        <v>7</v>
      </c>
      <c r="L78" s="33">
        <v>12</v>
      </c>
      <c r="M78" s="33">
        <v>0</v>
      </c>
      <c r="N78" s="33">
        <v>-4</v>
      </c>
      <c r="O78" s="33">
        <v>15</v>
      </c>
      <c r="P78" s="33">
        <v>5</v>
      </c>
      <c r="Q78" s="33">
        <v>-6</v>
      </c>
      <c r="R78" s="33">
        <v>0</v>
      </c>
      <c r="S78" s="33">
        <v>13</v>
      </c>
      <c r="T78" s="33">
        <v>7</v>
      </c>
      <c r="U78" s="33">
        <v>-3</v>
      </c>
      <c r="V78" s="33">
        <v>13</v>
      </c>
      <c r="W78" s="33">
        <v>0</v>
      </c>
      <c r="X78" s="33">
        <v>0</v>
      </c>
      <c r="Y78" s="33">
        <v>-4</v>
      </c>
      <c r="Z78" s="33">
        <v>8</v>
      </c>
      <c r="AA78" s="33">
        <v>-2</v>
      </c>
      <c r="AB78" s="33">
        <v>5</v>
      </c>
      <c r="AC78" s="33">
        <v>10</v>
      </c>
      <c r="AD78" s="33">
        <v>4</v>
      </c>
      <c r="AE78" s="33">
        <v>0</v>
      </c>
      <c r="AF78" s="33">
        <v>13</v>
      </c>
      <c r="AG78" s="33">
        <v>-2</v>
      </c>
      <c r="AH78" s="33">
        <v>14</v>
      </c>
      <c r="AI78" s="33">
        <v>13</v>
      </c>
      <c r="AJ78" s="33">
        <v>7</v>
      </c>
      <c r="AK78" s="33">
        <v>0</v>
      </c>
      <c r="AL78" s="33">
        <v>0</v>
      </c>
      <c r="AM78" s="33">
        <v>0</v>
      </c>
      <c r="AN78" s="33">
        <v>11</v>
      </c>
      <c r="AO78" s="33">
        <v>11</v>
      </c>
      <c r="AP78" s="33">
        <v>10</v>
      </c>
      <c r="AQ78" s="33">
        <v>7</v>
      </c>
      <c r="AR78" s="33">
        <v>11</v>
      </c>
      <c r="AS78" s="33">
        <v>8</v>
      </c>
      <c r="AT78" s="33">
        <v>9</v>
      </c>
      <c r="AU78" s="33">
        <v>-2</v>
      </c>
      <c r="AV78" s="33">
        <v>12</v>
      </c>
      <c r="AW78" s="33">
        <v>-8</v>
      </c>
      <c r="AX78" s="33">
        <v>4</v>
      </c>
      <c r="AY78" s="33">
        <v>14</v>
      </c>
      <c r="AZ78" s="33">
        <v>-4</v>
      </c>
      <c r="BA78" s="33">
        <v>10</v>
      </c>
      <c r="BB78" s="33">
        <v>0</v>
      </c>
      <c r="BC78" s="33">
        <v>0</v>
      </c>
      <c r="BD78" s="33">
        <v>0</v>
      </c>
      <c r="BE78" s="33">
        <v>10</v>
      </c>
      <c r="BF78" s="33">
        <v>0</v>
      </c>
      <c r="BG78" s="33">
        <v>-4</v>
      </c>
      <c r="BH78" s="33">
        <v>10</v>
      </c>
      <c r="BI78" s="33">
        <v>-6</v>
      </c>
      <c r="BJ78" s="33">
        <v>-2</v>
      </c>
      <c r="BK78" s="33">
        <v>0</v>
      </c>
      <c r="BL78" s="33">
        <v>0</v>
      </c>
      <c r="BM78" s="33">
        <v>6</v>
      </c>
      <c r="BN78" s="33">
        <v>0</v>
      </c>
      <c r="BO78" s="33">
        <v>0</v>
      </c>
      <c r="BP78" s="33">
        <v>-5</v>
      </c>
      <c r="BQ78" s="33">
        <v>0</v>
      </c>
      <c r="BR78" s="33">
        <v>11</v>
      </c>
      <c r="BS78" s="33">
        <v>0</v>
      </c>
      <c r="BT78" s="33">
        <v>-2</v>
      </c>
      <c r="BU78" s="33">
        <v>-6</v>
      </c>
      <c r="BV78" s="33">
        <v>-5</v>
      </c>
      <c r="BW78" s="33">
        <v>0</v>
      </c>
      <c r="BX78" s="33">
        <v>-3</v>
      </c>
      <c r="BY78" s="33">
        <v>4</v>
      </c>
      <c r="BZ78" s="33">
        <v>-5</v>
      </c>
      <c r="CA78" s="33">
        <v>-2</v>
      </c>
      <c r="CB78" s="33">
        <v>-2</v>
      </c>
      <c r="CC78" s="33">
        <v>1</v>
      </c>
      <c r="CD78" s="33">
        <v>-6</v>
      </c>
      <c r="CE78" s="33">
        <v>9</v>
      </c>
    </row>
    <row r="79" spans="1:83" x14ac:dyDescent="0.25">
      <c r="A79" s="51"/>
      <c r="B79" s="32" t="s">
        <v>182</v>
      </c>
      <c r="D79" s="33">
        <f t="shared" si="194"/>
        <v>33</v>
      </c>
      <c r="E79" s="34"/>
      <c r="F79" s="34"/>
      <c r="G79" s="33"/>
      <c r="H79" s="33"/>
      <c r="I79" s="33"/>
      <c r="J79" s="33"/>
      <c r="K79" s="33">
        <v>-4</v>
      </c>
      <c r="L79" s="33">
        <v>11</v>
      </c>
      <c r="M79" s="33">
        <v>10</v>
      </c>
      <c r="N79" s="33">
        <v>-3</v>
      </c>
      <c r="O79" s="33">
        <v>0</v>
      </c>
      <c r="P79" s="33">
        <v>-7</v>
      </c>
      <c r="Q79" s="33">
        <v>-14</v>
      </c>
      <c r="R79" s="33">
        <v>-2</v>
      </c>
      <c r="S79" s="33">
        <v>9</v>
      </c>
      <c r="T79" s="33">
        <v>12</v>
      </c>
      <c r="U79" s="33">
        <v>3</v>
      </c>
      <c r="V79" s="33">
        <v>-1</v>
      </c>
      <c r="W79" s="33">
        <v>4</v>
      </c>
      <c r="X79" s="33">
        <v>6</v>
      </c>
      <c r="Y79" s="33">
        <v>9</v>
      </c>
      <c r="Z79" s="33">
        <v>0</v>
      </c>
      <c r="AA79" s="33">
        <v>0</v>
      </c>
      <c r="AB79" s="33">
        <v>8</v>
      </c>
      <c r="AC79" s="33">
        <v>12</v>
      </c>
      <c r="AD79" s="33">
        <v>18</v>
      </c>
      <c r="AE79" s="33">
        <v>11</v>
      </c>
      <c r="AF79" s="33">
        <v>7</v>
      </c>
      <c r="AG79" s="33">
        <v>11</v>
      </c>
      <c r="AH79" s="33">
        <v>17</v>
      </c>
      <c r="AI79" s="33">
        <v>16</v>
      </c>
      <c r="AJ79" s="33">
        <v>17</v>
      </c>
      <c r="AK79" s="33">
        <v>6</v>
      </c>
      <c r="AL79" s="33">
        <v>10</v>
      </c>
      <c r="AM79" s="33">
        <v>1</v>
      </c>
      <c r="AN79" s="33">
        <v>0</v>
      </c>
      <c r="AO79" s="33">
        <v>0</v>
      </c>
      <c r="AP79" s="33">
        <v>0</v>
      </c>
      <c r="AQ79" s="33">
        <v>0</v>
      </c>
      <c r="AR79" s="33">
        <v>-3</v>
      </c>
      <c r="AS79" s="33">
        <v>5</v>
      </c>
      <c r="AT79" s="33">
        <v>11</v>
      </c>
      <c r="AU79" s="33">
        <v>8</v>
      </c>
      <c r="AV79" s="33">
        <v>10</v>
      </c>
      <c r="AW79" s="33">
        <v>2</v>
      </c>
      <c r="AX79" s="33">
        <v>0</v>
      </c>
      <c r="AY79" s="33">
        <v>6</v>
      </c>
      <c r="AZ79" s="33">
        <v>-3</v>
      </c>
      <c r="BA79" s="33">
        <v>13</v>
      </c>
      <c r="BB79" s="33">
        <v>5</v>
      </c>
      <c r="BC79" s="33">
        <v>-2</v>
      </c>
      <c r="BD79" s="33">
        <v>0</v>
      </c>
      <c r="BE79" s="33">
        <v>9</v>
      </c>
      <c r="BF79" s="33">
        <v>12</v>
      </c>
      <c r="BG79" s="33">
        <v>12</v>
      </c>
      <c r="BH79" s="33">
        <v>9</v>
      </c>
      <c r="BI79" s="33">
        <v>2</v>
      </c>
      <c r="BJ79" s="33">
        <v>-6</v>
      </c>
      <c r="BK79" s="33">
        <v>13</v>
      </c>
      <c r="BL79" s="33">
        <v>9</v>
      </c>
      <c r="BM79" s="33">
        <v>4</v>
      </c>
      <c r="BN79" s="33">
        <v>-2</v>
      </c>
      <c r="BO79" s="33">
        <v>-7</v>
      </c>
      <c r="BP79" s="33">
        <v>0</v>
      </c>
      <c r="BQ79" s="33">
        <v>0</v>
      </c>
      <c r="BR79" s="33">
        <v>5</v>
      </c>
      <c r="BS79" s="33">
        <v>7</v>
      </c>
      <c r="BT79" s="33">
        <v>7</v>
      </c>
      <c r="BU79" s="33">
        <v>4</v>
      </c>
      <c r="BV79" s="33">
        <v>1</v>
      </c>
      <c r="BW79" s="33">
        <v>-2</v>
      </c>
      <c r="BX79" s="33">
        <v>3</v>
      </c>
      <c r="BY79" s="33">
        <v>2</v>
      </c>
      <c r="BZ79" s="33">
        <v>-2</v>
      </c>
      <c r="CA79" s="33">
        <v>0</v>
      </c>
      <c r="CB79" s="33">
        <v>0</v>
      </c>
      <c r="CC79" s="33">
        <v>8</v>
      </c>
      <c r="CD79" s="33">
        <v>-3</v>
      </c>
      <c r="CE79" s="33">
        <v>11</v>
      </c>
    </row>
    <row r="80" spans="1:83" x14ac:dyDescent="0.25">
      <c r="A80" s="51"/>
      <c r="B80" s="38" t="s">
        <v>184</v>
      </c>
      <c r="D80" s="33">
        <f t="shared" si="194"/>
        <v>45</v>
      </c>
      <c r="E80" s="34"/>
      <c r="F80" s="34"/>
      <c r="G80" s="33"/>
      <c r="H80" s="33"/>
      <c r="I80" s="33"/>
      <c r="J80" s="33"/>
      <c r="K80" s="33">
        <v>6</v>
      </c>
      <c r="L80" s="33">
        <v>8</v>
      </c>
      <c r="M80" s="33">
        <v>3</v>
      </c>
      <c r="N80" s="33">
        <v>0</v>
      </c>
      <c r="O80" s="33">
        <v>11</v>
      </c>
      <c r="P80" s="33">
        <v>0</v>
      </c>
      <c r="Q80" s="33">
        <v>-4</v>
      </c>
      <c r="R80" s="33">
        <v>-4</v>
      </c>
      <c r="S80" s="33">
        <v>6</v>
      </c>
      <c r="T80" s="33">
        <v>3</v>
      </c>
      <c r="U80" s="33">
        <v>2</v>
      </c>
      <c r="V80" s="33">
        <v>6</v>
      </c>
      <c r="W80" s="33">
        <v>15</v>
      </c>
      <c r="X80" s="33">
        <v>13</v>
      </c>
      <c r="Y80" s="33">
        <v>7</v>
      </c>
      <c r="Z80" s="33">
        <v>3</v>
      </c>
      <c r="AA80" s="33">
        <v>7</v>
      </c>
      <c r="AB80" s="33">
        <v>7</v>
      </c>
      <c r="AC80" s="33">
        <v>9</v>
      </c>
      <c r="AD80" s="33">
        <v>15</v>
      </c>
      <c r="AE80" s="33">
        <v>14</v>
      </c>
      <c r="AF80" s="33">
        <v>6</v>
      </c>
      <c r="AG80" s="33">
        <v>2</v>
      </c>
      <c r="AH80" s="33">
        <v>10</v>
      </c>
      <c r="AI80" s="33">
        <v>15</v>
      </c>
      <c r="AJ80" s="33">
        <v>18</v>
      </c>
      <c r="AK80" s="33">
        <v>10</v>
      </c>
      <c r="AL80" s="33">
        <v>2</v>
      </c>
      <c r="AM80" s="33">
        <v>6</v>
      </c>
      <c r="AN80" s="33">
        <v>1</v>
      </c>
      <c r="AO80" s="33">
        <v>8</v>
      </c>
      <c r="AP80" s="33">
        <v>6</v>
      </c>
      <c r="AQ80" s="33">
        <v>8</v>
      </c>
      <c r="AR80" s="33">
        <v>7</v>
      </c>
      <c r="AS80" s="33">
        <v>0</v>
      </c>
      <c r="AT80" s="33">
        <v>-1</v>
      </c>
      <c r="AU80" s="33">
        <v>10</v>
      </c>
      <c r="AV80" s="33">
        <v>5</v>
      </c>
      <c r="AW80" s="33">
        <v>5</v>
      </c>
      <c r="AX80" s="33">
        <v>-4</v>
      </c>
      <c r="AY80" s="33">
        <v>2</v>
      </c>
      <c r="AZ80" s="33">
        <v>0</v>
      </c>
      <c r="BA80" s="33">
        <v>6</v>
      </c>
      <c r="BB80" s="33">
        <v>3</v>
      </c>
      <c r="BC80" s="33">
        <v>8</v>
      </c>
      <c r="BD80" s="33">
        <v>11</v>
      </c>
      <c r="BE80" s="33">
        <v>6</v>
      </c>
      <c r="BF80" s="33">
        <v>11</v>
      </c>
      <c r="BG80" s="33">
        <v>6</v>
      </c>
      <c r="BH80" s="33">
        <v>8</v>
      </c>
      <c r="BI80" s="33">
        <v>7</v>
      </c>
      <c r="BJ80" s="33">
        <v>-1</v>
      </c>
      <c r="BK80" s="33">
        <v>4</v>
      </c>
      <c r="BL80" s="33">
        <v>0</v>
      </c>
      <c r="BM80" s="33">
        <v>0</v>
      </c>
      <c r="BN80" s="33">
        <v>4</v>
      </c>
      <c r="BO80" s="33">
        <v>0</v>
      </c>
      <c r="BP80" s="33">
        <v>3</v>
      </c>
      <c r="BQ80" s="33">
        <v>2</v>
      </c>
      <c r="BR80" s="33">
        <v>2</v>
      </c>
      <c r="BS80" s="33">
        <v>9</v>
      </c>
      <c r="BT80" s="33">
        <v>2</v>
      </c>
      <c r="BU80" s="33">
        <v>5</v>
      </c>
      <c r="BV80" s="33">
        <v>5</v>
      </c>
      <c r="BW80" s="33">
        <v>2</v>
      </c>
      <c r="BX80" s="33">
        <v>9</v>
      </c>
      <c r="BY80" s="33">
        <v>6</v>
      </c>
      <c r="BZ80" s="33">
        <v>0</v>
      </c>
      <c r="CA80" s="33">
        <v>5</v>
      </c>
      <c r="CB80" s="33">
        <v>6</v>
      </c>
      <c r="CC80" s="33">
        <v>9</v>
      </c>
      <c r="CD80" s="33">
        <v>0</v>
      </c>
      <c r="CE80" s="33">
        <v>6</v>
      </c>
    </row>
    <row r="81" spans="1:83" x14ac:dyDescent="0.25">
      <c r="A81" s="51"/>
      <c r="B81" s="32" t="s">
        <v>186</v>
      </c>
      <c r="D81" s="33">
        <f t="shared" si="194"/>
        <v>39</v>
      </c>
      <c r="E81" s="41"/>
      <c r="F81" s="41"/>
      <c r="G81" s="33"/>
      <c r="H81" s="33"/>
      <c r="I81" s="33"/>
      <c r="J81" s="33"/>
      <c r="K81" s="33">
        <v>10</v>
      </c>
      <c r="L81" s="33">
        <v>6</v>
      </c>
      <c r="M81" s="33">
        <v>1</v>
      </c>
      <c r="N81" s="33">
        <v>4</v>
      </c>
      <c r="O81" s="33">
        <v>1</v>
      </c>
      <c r="P81" s="33">
        <v>0</v>
      </c>
      <c r="Q81" s="33">
        <v>-12</v>
      </c>
      <c r="R81" s="33">
        <v>-10</v>
      </c>
      <c r="S81" s="33">
        <v>8</v>
      </c>
      <c r="T81" s="33">
        <v>1</v>
      </c>
      <c r="U81" s="33">
        <v>11</v>
      </c>
      <c r="V81" s="33">
        <v>12</v>
      </c>
      <c r="W81" s="33">
        <v>2</v>
      </c>
      <c r="X81" s="33">
        <v>5</v>
      </c>
      <c r="Y81" s="33">
        <v>0</v>
      </c>
      <c r="Z81" s="33">
        <v>0</v>
      </c>
      <c r="AA81" s="33">
        <v>4</v>
      </c>
      <c r="AB81" s="33">
        <v>12</v>
      </c>
      <c r="AC81" s="33">
        <v>13</v>
      </c>
      <c r="AD81" s="33">
        <v>6</v>
      </c>
      <c r="AE81" s="33">
        <v>8</v>
      </c>
      <c r="AF81" s="33">
        <v>8</v>
      </c>
      <c r="AG81" s="33">
        <v>3</v>
      </c>
      <c r="AH81" s="33">
        <v>6</v>
      </c>
      <c r="AI81" s="33">
        <v>12</v>
      </c>
      <c r="AJ81" s="33">
        <v>6</v>
      </c>
      <c r="AK81" s="33">
        <v>2</v>
      </c>
      <c r="AL81" s="33">
        <v>5</v>
      </c>
      <c r="AM81" s="33">
        <v>8</v>
      </c>
      <c r="AN81" s="33">
        <v>10</v>
      </c>
      <c r="AO81" s="33">
        <v>13</v>
      </c>
      <c r="AP81" s="33">
        <v>9</v>
      </c>
      <c r="AQ81" s="33">
        <v>6</v>
      </c>
      <c r="AR81" s="33">
        <v>5</v>
      </c>
      <c r="AS81" s="33">
        <v>9</v>
      </c>
      <c r="AT81" s="33">
        <v>1</v>
      </c>
      <c r="AU81" s="33">
        <v>3</v>
      </c>
      <c r="AV81" s="33">
        <v>1</v>
      </c>
      <c r="AW81" s="33">
        <v>1</v>
      </c>
      <c r="AX81" s="33">
        <v>9</v>
      </c>
      <c r="AY81" s="33">
        <v>8</v>
      </c>
      <c r="AZ81" s="33">
        <v>0</v>
      </c>
      <c r="BA81" s="33">
        <v>4</v>
      </c>
      <c r="BB81" s="33">
        <v>6</v>
      </c>
      <c r="BC81" s="33">
        <v>1</v>
      </c>
      <c r="BD81" s="33">
        <v>3</v>
      </c>
      <c r="BE81" s="33">
        <v>3</v>
      </c>
      <c r="BF81" s="33">
        <v>3</v>
      </c>
      <c r="BG81" s="33">
        <v>4</v>
      </c>
      <c r="BH81" s="33">
        <v>1</v>
      </c>
      <c r="BI81" s="33">
        <v>1</v>
      </c>
      <c r="BJ81" s="33">
        <v>5</v>
      </c>
      <c r="BK81" s="33">
        <v>5</v>
      </c>
      <c r="BL81" s="33">
        <v>4</v>
      </c>
      <c r="BM81" s="33">
        <v>7</v>
      </c>
      <c r="BN81" s="33">
        <v>7</v>
      </c>
      <c r="BO81" s="33">
        <v>4</v>
      </c>
      <c r="BP81" s="33">
        <v>2</v>
      </c>
      <c r="BQ81" s="33">
        <v>-1</v>
      </c>
      <c r="BR81" s="33">
        <v>0</v>
      </c>
      <c r="BS81" s="33">
        <v>2</v>
      </c>
      <c r="BT81" s="33">
        <v>1</v>
      </c>
      <c r="BU81" s="33">
        <v>1</v>
      </c>
      <c r="BV81" s="33">
        <v>0</v>
      </c>
      <c r="BW81" s="33">
        <v>4</v>
      </c>
      <c r="BX81" s="33">
        <v>7</v>
      </c>
      <c r="BY81" s="33">
        <v>0</v>
      </c>
      <c r="BZ81" s="33">
        <v>2</v>
      </c>
      <c r="CA81" s="33">
        <v>3</v>
      </c>
      <c r="CB81" s="33">
        <v>1</v>
      </c>
      <c r="CC81" s="33">
        <v>7</v>
      </c>
      <c r="CD81" s="33">
        <v>1</v>
      </c>
      <c r="CE81" s="33">
        <v>2</v>
      </c>
    </row>
    <row r="82" spans="1:83" x14ac:dyDescent="0.25">
      <c r="A82" s="51"/>
      <c r="B82" s="38" t="s">
        <v>188</v>
      </c>
      <c r="D82" s="33">
        <f t="shared" si="194"/>
        <v>42</v>
      </c>
      <c r="E82" s="41"/>
      <c r="F82" s="41"/>
      <c r="G82" s="33"/>
      <c r="H82" s="33"/>
      <c r="I82" s="33"/>
      <c r="J82" s="33"/>
      <c r="K82" s="33">
        <v>-3</v>
      </c>
      <c r="L82" s="33">
        <v>-1</v>
      </c>
      <c r="M82" s="33">
        <v>-4</v>
      </c>
      <c r="N82" s="33">
        <v>1</v>
      </c>
      <c r="O82" s="33">
        <v>7</v>
      </c>
      <c r="P82" s="33">
        <v>-4</v>
      </c>
      <c r="Q82" s="33">
        <v>-11</v>
      </c>
      <c r="R82" s="33">
        <v>-6</v>
      </c>
      <c r="S82" s="33">
        <v>12</v>
      </c>
      <c r="T82" s="33">
        <v>10</v>
      </c>
      <c r="U82" s="33">
        <v>5</v>
      </c>
      <c r="V82" s="33">
        <v>10</v>
      </c>
      <c r="W82" s="33">
        <v>3</v>
      </c>
      <c r="X82" s="33">
        <v>2</v>
      </c>
      <c r="Y82" s="33">
        <v>6</v>
      </c>
      <c r="Z82" s="33">
        <v>5</v>
      </c>
      <c r="AA82" s="33">
        <v>11</v>
      </c>
      <c r="AB82" s="33">
        <v>14</v>
      </c>
      <c r="AC82" s="33">
        <v>16</v>
      </c>
      <c r="AD82" s="33">
        <v>17</v>
      </c>
      <c r="AE82" s="33">
        <v>12</v>
      </c>
      <c r="AF82" s="33">
        <v>15</v>
      </c>
      <c r="AG82" s="33">
        <v>-1</v>
      </c>
      <c r="AH82" s="33">
        <v>1</v>
      </c>
      <c r="AI82" s="33">
        <v>6</v>
      </c>
      <c r="AJ82" s="33">
        <v>14</v>
      </c>
      <c r="AK82" s="33">
        <v>11</v>
      </c>
      <c r="AL82" s="33">
        <v>-1</v>
      </c>
      <c r="AM82" s="33">
        <v>3</v>
      </c>
      <c r="AN82" s="33">
        <v>13</v>
      </c>
      <c r="AO82" s="33">
        <v>4</v>
      </c>
      <c r="AP82" s="33">
        <v>7</v>
      </c>
      <c r="AQ82" s="33">
        <v>4</v>
      </c>
      <c r="AR82" s="33">
        <v>-1</v>
      </c>
      <c r="AS82" s="33">
        <v>6</v>
      </c>
      <c r="AT82" s="33">
        <v>6</v>
      </c>
      <c r="AU82" s="33">
        <v>-1</v>
      </c>
      <c r="AV82" s="33">
        <v>-3</v>
      </c>
      <c r="AW82" s="33">
        <v>-3</v>
      </c>
      <c r="AX82" s="33">
        <v>-1</v>
      </c>
      <c r="AY82" s="33">
        <v>-1</v>
      </c>
      <c r="AZ82" s="33">
        <v>-1</v>
      </c>
      <c r="BA82" s="33">
        <v>7</v>
      </c>
      <c r="BB82" s="33">
        <v>-1</v>
      </c>
      <c r="BC82" s="33">
        <v>9</v>
      </c>
      <c r="BD82" s="33">
        <v>5</v>
      </c>
      <c r="BE82" s="33">
        <v>1</v>
      </c>
      <c r="BF82" s="33">
        <v>2</v>
      </c>
      <c r="BG82" s="33">
        <v>2</v>
      </c>
      <c r="BH82" s="33">
        <v>0</v>
      </c>
      <c r="BI82" s="33">
        <v>0</v>
      </c>
      <c r="BJ82" s="33">
        <v>2</v>
      </c>
      <c r="BK82" s="33">
        <v>2</v>
      </c>
      <c r="BL82" s="33">
        <v>10</v>
      </c>
      <c r="BM82" s="33">
        <v>10</v>
      </c>
      <c r="BN82" s="33">
        <v>9</v>
      </c>
      <c r="BO82" s="33">
        <v>2</v>
      </c>
      <c r="BP82" s="33">
        <v>-3</v>
      </c>
      <c r="BQ82" s="33">
        <v>0</v>
      </c>
      <c r="BR82" s="33">
        <v>-1</v>
      </c>
      <c r="BS82" s="33">
        <v>-2</v>
      </c>
      <c r="BT82" s="33">
        <v>8</v>
      </c>
      <c r="BU82" s="33">
        <v>0</v>
      </c>
      <c r="BV82" s="33">
        <v>6</v>
      </c>
      <c r="BW82" s="33">
        <v>5</v>
      </c>
      <c r="BX82" s="33">
        <v>8</v>
      </c>
      <c r="BY82" s="33">
        <v>7</v>
      </c>
      <c r="BZ82" s="33">
        <v>-3</v>
      </c>
      <c r="CA82" s="33">
        <v>4</v>
      </c>
      <c r="CB82" s="33">
        <v>7</v>
      </c>
      <c r="CC82" s="33">
        <v>13</v>
      </c>
      <c r="CD82" s="33">
        <v>4</v>
      </c>
      <c r="CE82" s="33">
        <v>10</v>
      </c>
    </row>
    <row r="83" spans="1:83" s="39" customFormat="1" hidden="1" x14ac:dyDescent="0.25">
      <c r="E83" s="40"/>
      <c r="F83" s="40"/>
      <c r="G83" s="40"/>
      <c r="H83" s="40"/>
      <c r="I83" s="40"/>
      <c r="J83" s="40"/>
      <c r="K83" s="40"/>
      <c r="L83" s="40"/>
      <c r="M83" s="40"/>
      <c r="N83" s="40"/>
      <c r="O83" s="40"/>
      <c r="P83" s="40"/>
      <c r="Q83" s="40"/>
      <c r="R83" s="40"/>
      <c r="S83" s="40"/>
      <c r="T83" s="40"/>
      <c r="U83" s="40"/>
      <c r="V83" s="40"/>
      <c r="W83" s="40"/>
      <c r="X83" s="40"/>
    </row>
    <row r="84" spans="1:83" ht="14.25" hidden="1" customHeight="1" x14ac:dyDescent="0.25">
      <c r="A84" s="51" t="s">
        <v>475</v>
      </c>
      <c r="B84" s="38" t="s">
        <v>166</v>
      </c>
      <c r="E84" s="41"/>
      <c r="F84" s="41"/>
      <c r="G84" s="33"/>
      <c r="H84" s="33"/>
      <c r="I84" s="33"/>
      <c r="J84" s="33"/>
      <c r="K84" s="33">
        <v>4</v>
      </c>
      <c r="L84" s="33">
        <v>6</v>
      </c>
      <c r="M84" s="41"/>
      <c r="N84" s="41"/>
      <c r="O84" s="41"/>
      <c r="P84" s="41"/>
      <c r="Q84" s="41"/>
      <c r="R84" s="41"/>
      <c r="S84" s="41"/>
      <c r="T84" s="41"/>
      <c r="U84" s="41"/>
      <c r="V84" s="41"/>
      <c r="W84" s="41"/>
      <c r="X84" s="41"/>
    </row>
    <row r="85" spans="1:83" hidden="1" x14ac:dyDescent="0.25">
      <c r="A85" s="51"/>
      <c r="B85" s="38" t="s">
        <v>226</v>
      </c>
      <c r="C85" s="34"/>
      <c r="D85" s="34"/>
      <c r="E85" s="41"/>
      <c r="F85" s="41"/>
      <c r="G85" s="33"/>
      <c r="H85" s="33"/>
      <c r="I85" s="33"/>
      <c r="J85" s="33"/>
      <c r="K85" s="33">
        <v>9</v>
      </c>
      <c r="L85" s="33">
        <v>11</v>
      </c>
      <c r="M85" s="41"/>
      <c r="N85" s="41"/>
      <c r="O85" s="41"/>
      <c r="P85" s="41"/>
      <c r="Q85" s="41"/>
      <c r="R85" s="41"/>
      <c r="S85" s="41"/>
      <c r="T85" s="41"/>
      <c r="U85" s="41"/>
      <c r="V85" s="41"/>
      <c r="W85" s="41"/>
      <c r="X85" s="41"/>
    </row>
    <row r="86" spans="1:83" hidden="1" x14ac:dyDescent="0.25">
      <c r="A86" s="51"/>
      <c r="B86" s="38" t="s">
        <v>227</v>
      </c>
      <c r="C86" s="34"/>
      <c r="D86" s="34"/>
      <c r="E86" s="41"/>
      <c r="F86" s="41"/>
      <c r="G86" s="33"/>
      <c r="H86" s="33"/>
      <c r="I86" s="33"/>
      <c r="J86" s="33"/>
      <c r="K86" s="33">
        <v>0</v>
      </c>
      <c r="L86" s="33">
        <v>13</v>
      </c>
      <c r="M86" s="41"/>
      <c r="N86" s="41"/>
      <c r="O86" s="41"/>
      <c r="P86" s="41"/>
      <c r="Q86" s="41"/>
      <c r="R86" s="41"/>
      <c r="S86" s="41"/>
      <c r="T86" s="41"/>
      <c r="U86" s="41"/>
      <c r="V86" s="41"/>
      <c r="W86" s="41"/>
      <c r="X86" s="41"/>
    </row>
    <row r="87" spans="1:83" hidden="1" x14ac:dyDescent="0.25">
      <c r="A87" s="51"/>
      <c r="B87" s="32" t="s">
        <v>168</v>
      </c>
      <c r="C87" s="34"/>
      <c r="D87" s="34"/>
      <c r="E87" s="41"/>
      <c r="F87" s="41"/>
      <c r="G87" s="33"/>
      <c r="H87" s="33"/>
      <c r="I87" s="33"/>
      <c r="J87" s="33"/>
      <c r="K87" s="33">
        <v>2</v>
      </c>
      <c r="L87" s="33">
        <v>-1</v>
      </c>
      <c r="M87" s="41"/>
      <c r="N87" s="41"/>
      <c r="O87" s="41"/>
      <c r="P87" s="41"/>
      <c r="Q87" s="41"/>
      <c r="R87" s="41"/>
      <c r="S87" s="41"/>
      <c r="T87" s="41"/>
      <c r="U87" s="41"/>
      <c r="V87" s="41"/>
      <c r="W87" s="41"/>
      <c r="X87" s="41"/>
    </row>
    <row r="88" spans="1:83" hidden="1" x14ac:dyDescent="0.25">
      <c r="A88" s="51"/>
      <c r="B88" s="38" t="s">
        <v>170</v>
      </c>
      <c r="C88" s="34"/>
      <c r="D88" s="34"/>
      <c r="E88" s="41"/>
      <c r="F88" s="41"/>
      <c r="G88" s="33"/>
      <c r="H88" s="33"/>
      <c r="I88" s="33"/>
      <c r="J88" s="33"/>
      <c r="K88" s="33">
        <v>0</v>
      </c>
      <c r="L88" s="33">
        <v>0</v>
      </c>
      <c r="M88" s="41"/>
      <c r="N88" s="41"/>
      <c r="O88" s="41"/>
      <c r="P88" s="41"/>
      <c r="Q88" s="41"/>
      <c r="R88" s="41"/>
      <c r="S88" s="41"/>
      <c r="T88" s="41"/>
      <c r="U88" s="41"/>
      <c r="V88" s="41"/>
      <c r="W88" s="41"/>
      <c r="X88" s="41"/>
    </row>
    <row r="89" spans="1:83" hidden="1" x14ac:dyDescent="0.25">
      <c r="A89" s="51"/>
      <c r="B89" s="32" t="s">
        <v>192</v>
      </c>
      <c r="C89" s="34"/>
      <c r="D89" s="34"/>
      <c r="E89" s="34"/>
      <c r="F89" s="34"/>
      <c r="G89" s="33"/>
      <c r="H89" s="33"/>
      <c r="I89" s="33"/>
      <c r="J89" s="33"/>
      <c r="K89" s="33">
        <v>0</v>
      </c>
      <c r="L89" s="33">
        <v>7</v>
      </c>
      <c r="M89" s="34"/>
      <c r="N89" s="34"/>
      <c r="O89" s="34"/>
      <c r="P89" s="34"/>
      <c r="Q89" s="34"/>
      <c r="R89" s="34"/>
      <c r="S89" s="34"/>
      <c r="T89" s="34"/>
      <c r="U89" s="34"/>
      <c r="V89" s="34"/>
      <c r="W89" s="34"/>
      <c r="X89" s="34"/>
    </row>
    <row r="90" spans="1:83" hidden="1" x14ac:dyDescent="0.25">
      <c r="A90" s="51"/>
      <c r="B90" s="38" t="s">
        <v>172</v>
      </c>
      <c r="C90" s="34"/>
      <c r="D90" s="34"/>
      <c r="E90" s="34"/>
      <c r="F90" s="34"/>
      <c r="G90" s="33"/>
      <c r="H90" s="33"/>
      <c r="I90" s="33"/>
      <c r="J90" s="33"/>
      <c r="K90" s="33">
        <v>1</v>
      </c>
      <c r="L90" s="33">
        <v>9</v>
      </c>
      <c r="M90" s="34"/>
      <c r="N90" s="34"/>
      <c r="O90" s="34"/>
      <c r="P90" s="34"/>
      <c r="Q90" s="34"/>
      <c r="R90" s="34"/>
      <c r="S90" s="34"/>
      <c r="T90" s="34"/>
      <c r="U90" s="34"/>
      <c r="V90" s="34"/>
      <c r="W90" s="34"/>
      <c r="X90" s="34"/>
    </row>
    <row r="91" spans="1:83" hidden="1" x14ac:dyDescent="0.25">
      <c r="A91" s="51"/>
      <c r="B91" s="32" t="s">
        <v>174</v>
      </c>
      <c r="C91" s="34"/>
      <c r="D91" s="34"/>
      <c r="E91" s="34"/>
      <c r="F91" s="34"/>
      <c r="G91" s="33"/>
      <c r="H91" s="33"/>
      <c r="I91" s="33"/>
      <c r="J91" s="33"/>
      <c r="K91" s="33">
        <v>-2</v>
      </c>
      <c r="L91" s="33">
        <v>-4</v>
      </c>
      <c r="M91" s="34"/>
      <c r="N91" s="34"/>
      <c r="O91" s="34"/>
      <c r="P91" s="34"/>
      <c r="Q91" s="34"/>
      <c r="R91" s="34"/>
      <c r="S91" s="34"/>
      <c r="T91" s="34"/>
      <c r="U91" s="34"/>
      <c r="V91" s="34"/>
      <c r="W91" s="34"/>
      <c r="X91" s="34"/>
    </row>
    <row r="92" spans="1:83" hidden="1" x14ac:dyDescent="0.25">
      <c r="A92" s="51"/>
      <c r="B92" s="38" t="s">
        <v>176</v>
      </c>
      <c r="C92" s="34"/>
      <c r="D92" s="34"/>
      <c r="E92" s="34"/>
      <c r="F92" s="34"/>
      <c r="G92" s="33"/>
      <c r="H92" s="33"/>
      <c r="I92" s="33"/>
      <c r="J92" s="33"/>
      <c r="K92" s="33">
        <v>6</v>
      </c>
      <c r="L92" s="33">
        <v>1</v>
      </c>
      <c r="M92" s="34"/>
      <c r="N92" s="34"/>
      <c r="O92" s="34"/>
      <c r="P92" s="34"/>
      <c r="Q92" s="34"/>
      <c r="R92" s="34"/>
      <c r="S92" s="34"/>
      <c r="T92" s="34"/>
      <c r="U92" s="34"/>
      <c r="V92" s="34"/>
      <c r="W92" s="34"/>
      <c r="X92" s="34"/>
    </row>
    <row r="93" spans="1:83" hidden="1" x14ac:dyDescent="0.25">
      <c r="A93" s="51"/>
      <c r="B93" s="38" t="s">
        <v>467</v>
      </c>
      <c r="C93" s="34"/>
      <c r="D93" s="34"/>
      <c r="E93" s="34"/>
      <c r="F93" s="34"/>
      <c r="G93" s="33"/>
      <c r="H93" s="33"/>
      <c r="I93" s="33"/>
      <c r="J93" s="33"/>
      <c r="K93" s="33">
        <v>-4</v>
      </c>
      <c r="L93" s="33">
        <v>-3</v>
      </c>
      <c r="M93" s="34"/>
      <c r="N93" s="34"/>
      <c r="O93" s="34"/>
      <c r="P93" s="34"/>
      <c r="Q93" s="34"/>
      <c r="R93" s="34"/>
      <c r="S93" s="34"/>
      <c r="T93" s="34"/>
      <c r="U93" s="34"/>
      <c r="V93" s="34"/>
      <c r="W93" s="34"/>
      <c r="X93" s="34"/>
    </row>
    <row r="94" spans="1:83" hidden="1" x14ac:dyDescent="0.25">
      <c r="A94" s="51"/>
      <c r="B94" s="32" t="s">
        <v>468</v>
      </c>
      <c r="C94" s="34"/>
      <c r="D94" s="34"/>
      <c r="E94" s="34"/>
      <c r="F94" s="34"/>
      <c r="G94" s="33"/>
      <c r="H94" s="33"/>
      <c r="I94" s="33"/>
      <c r="J94" s="33"/>
      <c r="K94" s="33">
        <v>-1</v>
      </c>
      <c r="L94" s="33">
        <v>10</v>
      </c>
      <c r="M94" s="34"/>
      <c r="N94" s="34"/>
      <c r="O94" s="34"/>
      <c r="P94" s="34"/>
      <c r="Q94" s="34"/>
      <c r="R94" s="34"/>
      <c r="S94" s="34"/>
      <c r="T94" s="34"/>
      <c r="U94" s="34"/>
      <c r="V94" s="34"/>
      <c r="W94" s="34"/>
      <c r="X94" s="34"/>
    </row>
    <row r="95" spans="1:83" hidden="1" x14ac:dyDescent="0.25">
      <c r="A95" s="51"/>
      <c r="B95" s="38" t="s">
        <v>178</v>
      </c>
      <c r="C95" s="34"/>
      <c r="D95" s="34"/>
      <c r="E95" s="34"/>
      <c r="F95" s="34"/>
      <c r="G95" s="33"/>
      <c r="H95" s="33"/>
      <c r="I95" s="33"/>
      <c r="J95" s="33"/>
      <c r="K95" s="33">
        <v>10</v>
      </c>
      <c r="L95" s="33">
        <v>2</v>
      </c>
      <c r="M95" s="34"/>
      <c r="N95" s="34"/>
      <c r="O95" s="34"/>
      <c r="P95" s="34"/>
      <c r="Q95" s="34"/>
      <c r="R95" s="34"/>
      <c r="S95" s="34"/>
      <c r="T95" s="34"/>
      <c r="U95" s="34"/>
      <c r="V95" s="34"/>
      <c r="W95" s="34"/>
      <c r="X95" s="34"/>
    </row>
    <row r="96" spans="1:83" hidden="1" x14ac:dyDescent="0.25">
      <c r="A96" s="51"/>
      <c r="B96" s="38" t="s">
        <v>180</v>
      </c>
      <c r="E96" s="34"/>
      <c r="F96" s="34"/>
      <c r="G96" s="33"/>
      <c r="H96" s="33"/>
      <c r="I96" s="33"/>
      <c r="J96" s="33"/>
      <c r="K96" s="33">
        <v>7</v>
      </c>
      <c r="L96" s="33">
        <v>3</v>
      </c>
      <c r="M96" s="34"/>
      <c r="N96" s="34"/>
      <c r="O96" s="34"/>
      <c r="P96" s="34"/>
      <c r="Q96" s="34"/>
      <c r="R96" s="34"/>
      <c r="S96" s="34"/>
      <c r="T96" s="34"/>
      <c r="U96" s="34"/>
      <c r="V96" s="34"/>
      <c r="W96" s="34"/>
      <c r="X96" s="34"/>
    </row>
    <row r="97" spans="1:24" hidden="1" x14ac:dyDescent="0.25">
      <c r="A97" s="51"/>
      <c r="B97" s="32" t="s">
        <v>228</v>
      </c>
      <c r="E97" s="34"/>
      <c r="F97" s="34"/>
      <c r="G97" s="33"/>
      <c r="H97" s="33"/>
      <c r="I97" s="33"/>
      <c r="J97" s="33"/>
      <c r="K97" s="33">
        <v>8</v>
      </c>
      <c r="L97" s="33">
        <v>12</v>
      </c>
      <c r="M97" s="34"/>
      <c r="N97" s="34"/>
      <c r="O97" s="34"/>
      <c r="P97" s="34"/>
      <c r="Q97" s="34"/>
      <c r="R97" s="34"/>
      <c r="S97" s="34"/>
      <c r="T97" s="34"/>
      <c r="U97" s="34"/>
      <c r="V97" s="34"/>
      <c r="W97" s="34"/>
      <c r="X97" s="34"/>
    </row>
    <row r="98" spans="1:24" hidden="1" x14ac:dyDescent="0.25">
      <c r="A98" s="51"/>
      <c r="B98" s="32" t="s">
        <v>182</v>
      </c>
      <c r="E98" s="34"/>
      <c r="F98" s="34"/>
      <c r="G98" s="33"/>
      <c r="H98" s="33"/>
      <c r="I98" s="33"/>
      <c r="J98" s="33"/>
      <c r="K98" s="33">
        <v>-3</v>
      </c>
      <c r="L98" s="33">
        <v>4</v>
      </c>
      <c r="M98" s="34"/>
      <c r="N98" s="34"/>
      <c r="O98" s="34"/>
      <c r="P98" s="34"/>
      <c r="Q98" s="34"/>
      <c r="R98" s="34"/>
      <c r="S98" s="34"/>
      <c r="T98" s="34"/>
      <c r="U98" s="34"/>
      <c r="V98" s="34"/>
      <c r="W98" s="34"/>
      <c r="X98" s="34"/>
    </row>
    <row r="99" spans="1:24" hidden="1" x14ac:dyDescent="0.25">
      <c r="A99" s="51"/>
      <c r="B99" s="38" t="s">
        <v>184</v>
      </c>
      <c r="E99" s="41"/>
      <c r="F99" s="41"/>
      <c r="G99" s="33"/>
      <c r="H99" s="33"/>
      <c r="I99" s="33"/>
      <c r="J99" s="33"/>
      <c r="K99" s="33">
        <v>5</v>
      </c>
      <c r="L99" s="33">
        <v>5</v>
      </c>
      <c r="M99" s="41"/>
      <c r="N99" s="41"/>
      <c r="O99" s="41"/>
      <c r="P99" s="41"/>
      <c r="Q99" s="41"/>
      <c r="R99" s="41"/>
      <c r="S99" s="41"/>
      <c r="T99" s="41"/>
      <c r="U99" s="41"/>
      <c r="V99" s="41"/>
      <c r="W99" s="41"/>
      <c r="X99" s="41"/>
    </row>
    <row r="100" spans="1:24" hidden="1" x14ac:dyDescent="0.25">
      <c r="A100" s="51"/>
      <c r="B100" s="32" t="s">
        <v>186</v>
      </c>
      <c r="E100" s="41"/>
      <c r="F100" s="41"/>
      <c r="G100" s="33"/>
      <c r="H100" s="33"/>
      <c r="I100" s="33"/>
      <c r="J100" s="33"/>
      <c r="K100" s="33">
        <v>11</v>
      </c>
      <c r="L100" s="33">
        <v>8</v>
      </c>
      <c r="M100" s="41"/>
      <c r="N100" s="41"/>
      <c r="O100" s="41"/>
      <c r="P100" s="41"/>
      <c r="Q100" s="41"/>
      <c r="R100" s="41"/>
      <c r="S100" s="41"/>
      <c r="T100" s="41"/>
      <c r="U100" s="41"/>
      <c r="V100" s="41"/>
      <c r="W100" s="41"/>
      <c r="X100" s="41"/>
    </row>
    <row r="101" spans="1:24" hidden="1" x14ac:dyDescent="0.25">
      <c r="A101" s="51"/>
      <c r="B101" s="38" t="s">
        <v>188</v>
      </c>
      <c r="E101" s="41"/>
      <c r="F101" s="41"/>
      <c r="G101" s="33"/>
      <c r="H101" s="33"/>
      <c r="I101" s="33"/>
      <c r="J101" s="33"/>
      <c r="K101" s="33">
        <v>3</v>
      </c>
      <c r="L101" s="33">
        <v>-2</v>
      </c>
      <c r="M101" s="41"/>
      <c r="N101" s="41"/>
      <c r="O101" s="41"/>
      <c r="P101" s="41"/>
      <c r="Q101" s="41"/>
      <c r="R101" s="41"/>
      <c r="S101" s="41"/>
      <c r="T101" s="41"/>
      <c r="U101" s="41"/>
      <c r="V101" s="41"/>
      <c r="W101" s="41"/>
      <c r="X101" s="41"/>
    </row>
    <row r="102" spans="1:24" s="39" customFormat="1" hidden="1" x14ac:dyDescent="0.25">
      <c r="E102" s="40"/>
      <c r="F102" s="40"/>
      <c r="G102" s="40"/>
      <c r="H102" s="40"/>
      <c r="I102" s="40"/>
      <c r="J102" s="40"/>
      <c r="K102" s="40"/>
      <c r="L102" s="40"/>
      <c r="M102" s="40"/>
      <c r="N102" s="40"/>
      <c r="O102" s="40"/>
      <c r="P102" s="40"/>
      <c r="Q102" s="40"/>
      <c r="R102" s="40"/>
      <c r="S102" s="40"/>
      <c r="T102" s="40"/>
      <c r="U102" s="40"/>
      <c r="V102" s="40"/>
      <c r="W102" s="40"/>
      <c r="X102" s="40"/>
    </row>
    <row r="103" spans="1:24" ht="14.25" hidden="1" customHeight="1" x14ac:dyDescent="0.25">
      <c r="A103" s="51" t="s">
        <v>476</v>
      </c>
      <c r="B103" s="38" t="s">
        <v>166</v>
      </c>
      <c r="E103" s="41"/>
      <c r="F103" s="41"/>
      <c r="G103" s="33"/>
      <c r="H103" s="33"/>
      <c r="I103" s="33"/>
      <c r="J103" s="33"/>
      <c r="K103" s="33">
        <v>-8</v>
      </c>
      <c r="L103" s="33">
        <v>-7</v>
      </c>
      <c r="M103" s="41"/>
      <c r="N103" s="41"/>
      <c r="O103" s="41"/>
      <c r="P103" s="41"/>
      <c r="Q103" s="41"/>
      <c r="R103" s="41"/>
      <c r="S103" s="41"/>
      <c r="T103" s="41"/>
      <c r="U103" s="41"/>
      <c r="V103" s="41"/>
      <c r="W103" s="41"/>
      <c r="X103" s="41"/>
    </row>
    <row r="104" spans="1:24" hidden="1" x14ac:dyDescent="0.25">
      <c r="A104" s="51"/>
      <c r="B104" s="38" t="s">
        <v>226</v>
      </c>
      <c r="C104" s="34"/>
      <c r="D104" s="34"/>
      <c r="E104" s="41"/>
      <c r="F104" s="41"/>
      <c r="G104" s="33"/>
      <c r="H104" s="33"/>
      <c r="I104" s="33"/>
      <c r="J104" s="33"/>
      <c r="K104" s="33">
        <v>0</v>
      </c>
      <c r="L104" s="33">
        <v>3</v>
      </c>
      <c r="M104" s="41"/>
      <c r="N104" s="41"/>
      <c r="O104" s="41"/>
      <c r="P104" s="41"/>
      <c r="Q104" s="41"/>
      <c r="R104" s="41"/>
      <c r="S104" s="41"/>
      <c r="T104" s="41"/>
      <c r="U104" s="41"/>
      <c r="V104" s="41"/>
      <c r="W104" s="41"/>
      <c r="X104" s="41"/>
    </row>
    <row r="105" spans="1:24" hidden="1" x14ac:dyDescent="0.25">
      <c r="A105" s="51"/>
      <c r="B105" s="38" t="s">
        <v>227</v>
      </c>
      <c r="C105" s="34"/>
      <c r="D105" s="34"/>
      <c r="E105" s="41"/>
      <c r="F105" s="41"/>
      <c r="G105" s="33"/>
      <c r="H105" s="33"/>
      <c r="I105" s="33"/>
      <c r="J105" s="33"/>
      <c r="K105" s="33">
        <v>0</v>
      </c>
      <c r="L105" s="33">
        <v>0</v>
      </c>
      <c r="M105" s="41"/>
      <c r="N105" s="41"/>
      <c r="O105" s="41"/>
      <c r="P105" s="41"/>
      <c r="Q105" s="41"/>
      <c r="R105" s="41"/>
      <c r="S105" s="41"/>
      <c r="T105" s="41"/>
      <c r="U105" s="41"/>
      <c r="V105" s="41"/>
      <c r="W105" s="41"/>
      <c r="X105" s="41"/>
    </row>
    <row r="106" spans="1:24" hidden="1" x14ac:dyDescent="0.25">
      <c r="A106" s="51"/>
      <c r="B106" s="32" t="s">
        <v>168</v>
      </c>
      <c r="C106" s="34"/>
      <c r="D106" s="34"/>
      <c r="E106" s="41"/>
      <c r="F106" s="41"/>
      <c r="G106" s="33"/>
      <c r="H106" s="33"/>
      <c r="I106" s="33"/>
      <c r="J106" s="33"/>
      <c r="K106" s="33">
        <v>1</v>
      </c>
      <c r="L106" s="33">
        <v>0</v>
      </c>
      <c r="M106" s="41"/>
      <c r="N106" s="41"/>
      <c r="O106" s="41"/>
      <c r="P106" s="41"/>
      <c r="Q106" s="41"/>
      <c r="R106" s="41"/>
      <c r="S106" s="41"/>
      <c r="T106" s="41"/>
      <c r="U106" s="41"/>
      <c r="V106" s="41"/>
      <c r="W106" s="41"/>
      <c r="X106" s="41"/>
    </row>
    <row r="107" spans="1:24" hidden="1" x14ac:dyDescent="0.25">
      <c r="A107" s="51"/>
      <c r="B107" s="38" t="s">
        <v>170</v>
      </c>
      <c r="C107" s="34"/>
      <c r="D107" s="34"/>
      <c r="E107" s="34"/>
      <c r="F107" s="34"/>
      <c r="G107" s="33"/>
      <c r="H107" s="33"/>
      <c r="I107" s="33"/>
      <c r="J107" s="33"/>
      <c r="K107" s="33">
        <v>0</v>
      </c>
      <c r="L107" s="33">
        <v>0</v>
      </c>
      <c r="M107" s="34"/>
      <c r="N107" s="34"/>
      <c r="O107" s="34"/>
      <c r="P107" s="34"/>
      <c r="Q107" s="34"/>
      <c r="R107" s="34"/>
      <c r="S107" s="34"/>
      <c r="T107" s="34"/>
      <c r="U107" s="34"/>
      <c r="V107" s="34"/>
      <c r="W107" s="34"/>
      <c r="X107" s="34"/>
    </row>
    <row r="108" spans="1:24" hidden="1" x14ac:dyDescent="0.25">
      <c r="A108" s="51"/>
      <c r="B108" s="32" t="s">
        <v>192</v>
      </c>
      <c r="C108" s="34"/>
      <c r="D108" s="34"/>
      <c r="E108" s="34"/>
      <c r="F108" s="34"/>
      <c r="G108" s="33"/>
      <c r="H108" s="33"/>
      <c r="I108" s="33"/>
      <c r="J108" s="33"/>
      <c r="K108" s="33">
        <v>0</v>
      </c>
      <c r="L108" s="33">
        <v>0</v>
      </c>
      <c r="M108" s="34"/>
      <c r="N108" s="34"/>
      <c r="O108" s="34"/>
      <c r="P108" s="34"/>
      <c r="Q108" s="34"/>
      <c r="R108" s="34"/>
      <c r="S108" s="34"/>
      <c r="T108" s="34"/>
      <c r="U108" s="34"/>
      <c r="V108" s="34"/>
      <c r="W108" s="34"/>
      <c r="X108" s="34"/>
    </row>
    <row r="109" spans="1:24" hidden="1" x14ac:dyDescent="0.25">
      <c r="A109" s="51"/>
      <c r="B109" s="38" t="s">
        <v>172</v>
      </c>
      <c r="C109" s="34"/>
      <c r="D109" s="34"/>
      <c r="E109" s="34"/>
      <c r="F109" s="34"/>
      <c r="G109" s="33"/>
      <c r="H109" s="33"/>
      <c r="I109" s="33"/>
      <c r="J109" s="33"/>
      <c r="K109" s="33">
        <v>-1</v>
      </c>
      <c r="L109" s="33">
        <v>-2</v>
      </c>
      <c r="M109" s="34"/>
      <c r="N109" s="34"/>
      <c r="O109" s="34"/>
      <c r="P109" s="34"/>
      <c r="Q109" s="34"/>
      <c r="R109" s="34"/>
      <c r="S109" s="34"/>
      <c r="T109" s="34"/>
      <c r="U109" s="34"/>
      <c r="V109" s="34"/>
      <c r="W109" s="34"/>
      <c r="X109" s="34"/>
    </row>
    <row r="110" spans="1:24" hidden="1" x14ac:dyDescent="0.25">
      <c r="A110" s="51"/>
      <c r="B110" s="32" t="s">
        <v>174</v>
      </c>
      <c r="C110" s="34"/>
      <c r="D110" s="34"/>
      <c r="E110" s="34"/>
      <c r="F110" s="34"/>
      <c r="G110" s="33"/>
      <c r="H110" s="33"/>
      <c r="I110" s="33"/>
      <c r="J110" s="33"/>
      <c r="K110" s="33">
        <v>0</v>
      </c>
      <c r="L110" s="33">
        <v>-9</v>
      </c>
      <c r="M110" s="34"/>
      <c r="N110" s="34"/>
      <c r="O110" s="34"/>
      <c r="P110" s="34"/>
      <c r="Q110" s="34"/>
      <c r="R110" s="34"/>
      <c r="S110" s="34"/>
      <c r="T110" s="34"/>
      <c r="U110" s="34"/>
      <c r="V110" s="34"/>
      <c r="W110" s="34"/>
      <c r="X110" s="34"/>
    </row>
    <row r="111" spans="1:24" hidden="1" x14ac:dyDescent="0.25">
      <c r="A111" s="51"/>
      <c r="B111" s="38" t="s">
        <v>176</v>
      </c>
      <c r="C111" s="34"/>
      <c r="D111" s="34"/>
      <c r="E111" s="34"/>
      <c r="F111" s="34"/>
      <c r="G111" s="33"/>
      <c r="H111" s="33"/>
      <c r="I111" s="33"/>
      <c r="J111" s="33"/>
      <c r="K111" s="33">
        <v>-3</v>
      </c>
      <c r="L111" s="33">
        <v>-5</v>
      </c>
      <c r="M111" s="34"/>
      <c r="N111" s="34"/>
      <c r="O111" s="34"/>
      <c r="P111" s="34"/>
      <c r="Q111" s="34"/>
      <c r="R111" s="34"/>
      <c r="S111" s="34"/>
      <c r="T111" s="34"/>
      <c r="U111" s="34"/>
      <c r="V111" s="34"/>
      <c r="W111" s="34"/>
      <c r="X111" s="34"/>
    </row>
    <row r="112" spans="1:24" hidden="1" x14ac:dyDescent="0.25">
      <c r="A112" s="51"/>
      <c r="B112" s="38" t="s">
        <v>467</v>
      </c>
      <c r="C112" s="34"/>
      <c r="D112" s="34"/>
      <c r="E112" s="34"/>
      <c r="F112" s="34"/>
      <c r="G112" s="33"/>
      <c r="H112" s="33"/>
      <c r="I112" s="33"/>
      <c r="J112" s="33"/>
      <c r="K112" s="33">
        <v>2</v>
      </c>
      <c r="L112" s="33">
        <v>-8</v>
      </c>
      <c r="M112" s="34"/>
      <c r="N112" s="34"/>
      <c r="O112" s="34"/>
      <c r="P112" s="34"/>
      <c r="Q112" s="34"/>
      <c r="R112" s="34"/>
      <c r="S112" s="34"/>
      <c r="T112" s="34"/>
      <c r="U112" s="34"/>
      <c r="V112" s="34"/>
      <c r="W112" s="34"/>
      <c r="X112" s="34"/>
    </row>
    <row r="113" spans="1:24" hidden="1" x14ac:dyDescent="0.25">
      <c r="A113" s="51"/>
      <c r="B113" s="32" t="s">
        <v>468</v>
      </c>
      <c r="C113" s="34"/>
      <c r="D113" s="34"/>
      <c r="E113" s="34"/>
      <c r="F113" s="34"/>
      <c r="G113" s="33"/>
      <c r="H113" s="33"/>
      <c r="I113" s="33"/>
      <c r="J113" s="33"/>
      <c r="K113" s="33">
        <v>-5</v>
      </c>
      <c r="L113" s="33">
        <v>0</v>
      </c>
      <c r="M113" s="34"/>
      <c r="N113" s="34"/>
      <c r="O113" s="34"/>
      <c r="P113" s="34"/>
      <c r="Q113" s="34"/>
      <c r="R113" s="34"/>
      <c r="S113" s="34"/>
      <c r="T113" s="34"/>
      <c r="U113" s="34"/>
      <c r="V113" s="34"/>
      <c r="W113" s="34"/>
      <c r="X113" s="34"/>
    </row>
    <row r="114" spans="1:24" hidden="1" x14ac:dyDescent="0.25">
      <c r="A114" s="51"/>
      <c r="B114" s="38" t="s">
        <v>178</v>
      </c>
      <c r="C114" s="34"/>
      <c r="D114" s="34"/>
      <c r="E114" s="34"/>
      <c r="F114" s="34"/>
      <c r="G114" s="33"/>
      <c r="H114" s="33"/>
      <c r="I114" s="33"/>
      <c r="J114" s="33"/>
      <c r="K114" s="33">
        <v>-2</v>
      </c>
      <c r="L114" s="33">
        <v>-1</v>
      </c>
      <c r="M114" s="34"/>
      <c r="N114" s="34"/>
      <c r="O114" s="34"/>
      <c r="P114" s="34"/>
      <c r="Q114" s="34"/>
      <c r="R114" s="34"/>
      <c r="S114" s="34"/>
      <c r="T114" s="34"/>
      <c r="U114" s="34"/>
      <c r="V114" s="34"/>
      <c r="W114" s="34"/>
      <c r="X114" s="34"/>
    </row>
    <row r="115" spans="1:24" hidden="1" x14ac:dyDescent="0.25">
      <c r="A115" s="51"/>
      <c r="B115" s="38" t="s">
        <v>180</v>
      </c>
      <c r="E115" s="34"/>
      <c r="F115" s="34"/>
      <c r="G115" s="33"/>
      <c r="H115" s="33"/>
      <c r="I115" s="33"/>
      <c r="J115" s="33"/>
      <c r="K115" s="33">
        <v>0</v>
      </c>
      <c r="L115" s="33">
        <v>-4</v>
      </c>
      <c r="M115" s="34"/>
      <c r="N115" s="34"/>
      <c r="O115" s="34"/>
      <c r="P115" s="34"/>
      <c r="Q115" s="34"/>
      <c r="R115" s="34"/>
      <c r="S115" s="34"/>
      <c r="T115" s="34"/>
      <c r="U115" s="34"/>
      <c r="V115" s="34"/>
      <c r="W115" s="34"/>
      <c r="X115" s="34"/>
    </row>
    <row r="116" spans="1:24" hidden="1" x14ac:dyDescent="0.25">
      <c r="A116" s="51"/>
      <c r="B116" s="32" t="s">
        <v>228</v>
      </c>
      <c r="E116" s="34"/>
      <c r="F116" s="34"/>
      <c r="G116" s="33"/>
      <c r="H116" s="33"/>
      <c r="I116" s="33"/>
      <c r="J116" s="33"/>
      <c r="K116" s="33">
        <v>0</v>
      </c>
      <c r="L116" s="33">
        <v>4</v>
      </c>
      <c r="M116" s="34"/>
      <c r="N116" s="34"/>
      <c r="O116" s="34"/>
      <c r="P116" s="34"/>
      <c r="Q116" s="34"/>
      <c r="R116" s="34"/>
      <c r="S116" s="34"/>
      <c r="T116" s="34"/>
      <c r="U116" s="34"/>
      <c r="V116" s="34"/>
      <c r="W116" s="34"/>
      <c r="X116" s="34"/>
    </row>
    <row r="117" spans="1:24" hidden="1" x14ac:dyDescent="0.25">
      <c r="A117" s="51"/>
      <c r="B117" s="32" t="s">
        <v>182</v>
      </c>
      <c r="E117" s="41"/>
      <c r="F117" s="41"/>
      <c r="G117" s="33"/>
      <c r="H117" s="33"/>
      <c r="I117" s="33"/>
      <c r="J117" s="33"/>
      <c r="K117" s="33">
        <v>0</v>
      </c>
      <c r="L117" s="33">
        <v>1</v>
      </c>
      <c r="M117" s="41"/>
      <c r="N117" s="41"/>
      <c r="O117" s="41"/>
      <c r="P117" s="41"/>
      <c r="Q117" s="41"/>
      <c r="R117" s="41"/>
      <c r="S117" s="41"/>
      <c r="T117" s="41"/>
      <c r="U117" s="41"/>
      <c r="V117" s="41"/>
      <c r="W117" s="41"/>
      <c r="X117" s="41"/>
    </row>
    <row r="118" spans="1:24" hidden="1" x14ac:dyDescent="0.25">
      <c r="A118" s="51"/>
      <c r="B118" s="38" t="s">
        <v>184</v>
      </c>
      <c r="E118" s="41"/>
      <c r="F118" s="41"/>
      <c r="G118" s="33"/>
      <c r="H118" s="33"/>
      <c r="I118" s="33"/>
      <c r="J118" s="33"/>
      <c r="K118" s="33">
        <v>-7</v>
      </c>
      <c r="L118" s="33">
        <v>-6</v>
      </c>
      <c r="M118" s="41"/>
      <c r="N118" s="41"/>
      <c r="O118" s="41"/>
      <c r="P118" s="41"/>
      <c r="Q118" s="41"/>
      <c r="R118" s="41"/>
      <c r="S118" s="41"/>
      <c r="T118" s="41"/>
      <c r="U118" s="41"/>
      <c r="V118" s="41"/>
      <c r="W118" s="41"/>
      <c r="X118" s="41"/>
    </row>
    <row r="119" spans="1:24" hidden="1" x14ac:dyDescent="0.25">
      <c r="A119" s="51"/>
      <c r="B119" s="32" t="s">
        <v>186</v>
      </c>
      <c r="E119" s="41"/>
      <c r="F119" s="41"/>
      <c r="G119" s="33"/>
      <c r="H119" s="33"/>
      <c r="I119" s="33"/>
      <c r="J119" s="33"/>
      <c r="K119" s="33">
        <v>-6</v>
      </c>
      <c r="L119" s="33">
        <v>2</v>
      </c>
      <c r="M119" s="41"/>
      <c r="N119" s="41"/>
      <c r="O119" s="41"/>
      <c r="P119" s="41"/>
      <c r="Q119" s="41"/>
      <c r="R119" s="41"/>
      <c r="S119" s="41"/>
      <c r="T119" s="41"/>
      <c r="U119" s="41"/>
      <c r="V119" s="41"/>
      <c r="W119" s="41"/>
      <c r="X119" s="41"/>
    </row>
    <row r="120" spans="1:24" hidden="1" x14ac:dyDescent="0.25">
      <c r="A120" s="51"/>
      <c r="B120" s="38" t="s">
        <v>188</v>
      </c>
      <c r="E120" s="41"/>
      <c r="F120" s="41"/>
      <c r="G120" s="33"/>
      <c r="H120" s="33"/>
      <c r="I120" s="33"/>
      <c r="J120" s="33"/>
      <c r="K120" s="33">
        <v>-4</v>
      </c>
      <c r="L120" s="33">
        <v>-3</v>
      </c>
      <c r="M120" s="41"/>
      <c r="N120" s="41"/>
      <c r="O120" s="41"/>
      <c r="P120" s="41"/>
      <c r="Q120" s="41"/>
      <c r="R120" s="41"/>
      <c r="S120" s="41"/>
      <c r="T120" s="41"/>
      <c r="U120" s="41"/>
      <c r="V120" s="41"/>
      <c r="W120" s="41"/>
      <c r="X120" s="41"/>
    </row>
    <row r="121" spans="1:24" s="39" customFormat="1" hidden="1" x14ac:dyDescent="0.25">
      <c r="E121" s="40"/>
      <c r="F121" s="40"/>
      <c r="G121" s="40"/>
      <c r="H121" s="40"/>
      <c r="I121" s="40"/>
      <c r="J121" s="40"/>
      <c r="K121" s="40"/>
      <c r="L121" s="40"/>
      <c r="M121" s="40"/>
      <c r="N121" s="40"/>
      <c r="O121" s="40"/>
      <c r="P121" s="40"/>
      <c r="Q121" s="40"/>
      <c r="R121" s="40"/>
      <c r="S121" s="40"/>
      <c r="T121" s="40"/>
      <c r="U121" s="40"/>
      <c r="V121" s="40"/>
      <c r="W121" s="40"/>
      <c r="X121" s="40"/>
    </row>
    <row r="122" spans="1:24" ht="14.25" hidden="1" customHeight="1" x14ac:dyDescent="0.25">
      <c r="A122" s="51" t="s">
        <v>477</v>
      </c>
      <c r="B122" s="38" t="s">
        <v>166</v>
      </c>
      <c r="E122" s="41"/>
      <c r="F122" s="41"/>
      <c r="G122" s="33"/>
      <c r="H122" s="33"/>
      <c r="I122" s="33"/>
      <c r="J122" s="33"/>
      <c r="K122" s="33">
        <v>3</v>
      </c>
      <c r="L122" s="33">
        <v>2</v>
      </c>
      <c r="M122" s="41"/>
      <c r="N122" s="41"/>
      <c r="O122" s="41"/>
      <c r="P122" s="41"/>
      <c r="Q122" s="41"/>
      <c r="R122" s="41"/>
      <c r="S122" s="41"/>
      <c r="T122" s="41"/>
      <c r="U122" s="41"/>
      <c r="V122" s="41"/>
      <c r="W122" s="41"/>
      <c r="X122" s="41"/>
    </row>
    <row r="123" spans="1:24" hidden="1" x14ac:dyDescent="0.25">
      <c r="A123" s="51"/>
      <c r="B123" s="38" t="s">
        <v>226</v>
      </c>
      <c r="C123" s="34"/>
      <c r="D123" s="34"/>
      <c r="E123" s="41"/>
      <c r="F123" s="41"/>
      <c r="G123" s="33"/>
      <c r="H123" s="33"/>
      <c r="I123" s="33"/>
      <c r="J123" s="33"/>
      <c r="K123" s="33">
        <v>7</v>
      </c>
      <c r="L123" s="33">
        <v>10</v>
      </c>
      <c r="M123" s="41"/>
      <c r="N123" s="41"/>
      <c r="O123" s="41"/>
      <c r="P123" s="41"/>
      <c r="Q123" s="41"/>
      <c r="R123" s="41"/>
      <c r="S123" s="41"/>
      <c r="T123" s="41"/>
      <c r="U123" s="41"/>
      <c r="V123" s="41"/>
      <c r="W123" s="41"/>
      <c r="X123" s="41"/>
    </row>
    <row r="124" spans="1:24" hidden="1" x14ac:dyDescent="0.25">
      <c r="A124" s="51"/>
      <c r="B124" s="38" t="s">
        <v>227</v>
      </c>
      <c r="C124" s="34"/>
      <c r="D124" s="34"/>
      <c r="E124" s="41"/>
      <c r="F124" s="41"/>
      <c r="G124" s="33"/>
      <c r="H124" s="33"/>
      <c r="I124" s="33"/>
      <c r="J124" s="33"/>
      <c r="K124" s="33">
        <v>-7</v>
      </c>
      <c r="L124" s="33">
        <v>0</v>
      </c>
      <c r="M124" s="41"/>
      <c r="N124" s="41"/>
      <c r="O124" s="41"/>
      <c r="P124" s="41"/>
      <c r="Q124" s="41"/>
      <c r="R124" s="41"/>
      <c r="S124" s="41"/>
      <c r="T124" s="41"/>
      <c r="U124" s="41"/>
      <c r="V124" s="41"/>
      <c r="W124" s="41"/>
      <c r="X124" s="41"/>
    </row>
    <row r="125" spans="1:24" hidden="1" x14ac:dyDescent="0.25">
      <c r="A125" s="51"/>
      <c r="B125" s="32" t="s">
        <v>168</v>
      </c>
      <c r="C125" s="34"/>
      <c r="D125" s="34"/>
      <c r="E125" s="34"/>
      <c r="F125" s="34"/>
      <c r="G125" s="33"/>
      <c r="H125" s="33"/>
      <c r="I125" s="33"/>
      <c r="J125" s="33"/>
      <c r="K125" s="33">
        <v>2</v>
      </c>
      <c r="L125" s="33">
        <v>-2</v>
      </c>
      <c r="M125" s="34"/>
      <c r="N125" s="34"/>
      <c r="O125" s="34"/>
      <c r="P125" s="34"/>
      <c r="Q125" s="34"/>
      <c r="R125" s="34"/>
      <c r="S125" s="34"/>
      <c r="T125" s="34"/>
      <c r="U125" s="34"/>
      <c r="V125" s="34"/>
      <c r="W125" s="34"/>
      <c r="X125" s="34"/>
    </row>
    <row r="126" spans="1:24" hidden="1" x14ac:dyDescent="0.25">
      <c r="A126" s="51"/>
      <c r="B126" s="38" t="s">
        <v>170</v>
      </c>
      <c r="C126" s="34"/>
      <c r="D126" s="34"/>
      <c r="E126" s="34"/>
      <c r="F126" s="34"/>
      <c r="G126" s="33"/>
      <c r="H126" s="33"/>
      <c r="I126" s="33"/>
      <c r="J126" s="33"/>
      <c r="K126" s="33">
        <v>0</v>
      </c>
      <c r="L126" s="33">
        <v>0</v>
      </c>
      <c r="M126" s="34"/>
      <c r="N126" s="34"/>
      <c r="O126" s="34"/>
      <c r="P126" s="34"/>
      <c r="Q126" s="34"/>
      <c r="R126" s="34"/>
      <c r="S126" s="34"/>
      <c r="T126" s="34"/>
      <c r="U126" s="34"/>
      <c r="V126" s="34"/>
      <c r="W126" s="34"/>
      <c r="X126" s="34"/>
    </row>
    <row r="127" spans="1:24" hidden="1" x14ac:dyDescent="0.25">
      <c r="A127" s="51"/>
      <c r="B127" s="32" t="s">
        <v>192</v>
      </c>
      <c r="C127" s="34"/>
      <c r="D127" s="34"/>
      <c r="E127" s="34"/>
      <c r="F127" s="34"/>
      <c r="G127" s="33"/>
      <c r="H127" s="33"/>
      <c r="I127" s="33"/>
      <c r="J127" s="33"/>
      <c r="K127" s="33">
        <v>-6</v>
      </c>
      <c r="L127" s="33">
        <v>11</v>
      </c>
      <c r="M127" s="34"/>
      <c r="N127" s="34"/>
      <c r="O127" s="34"/>
      <c r="P127" s="34"/>
      <c r="Q127" s="34"/>
      <c r="R127" s="34"/>
      <c r="S127" s="34"/>
      <c r="T127" s="34"/>
      <c r="U127" s="34"/>
      <c r="V127" s="34"/>
      <c r="W127" s="34"/>
      <c r="X127" s="34"/>
    </row>
    <row r="128" spans="1:24" hidden="1" x14ac:dyDescent="0.25">
      <c r="A128" s="51"/>
      <c r="B128" s="38" t="s">
        <v>172</v>
      </c>
      <c r="C128" s="34"/>
      <c r="D128" s="34"/>
      <c r="E128" s="34"/>
      <c r="F128" s="34"/>
      <c r="G128" s="33"/>
      <c r="H128" s="33"/>
      <c r="I128" s="33"/>
      <c r="J128" s="33"/>
      <c r="K128" s="33">
        <v>0</v>
      </c>
      <c r="L128" s="33">
        <v>6</v>
      </c>
      <c r="M128" s="34"/>
      <c r="N128" s="34"/>
      <c r="O128" s="34"/>
      <c r="P128" s="34"/>
      <c r="Q128" s="34"/>
      <c r="R128" s="34"/>
      <c r="S128" s="34"/>
      <c r="T128" s="34"/>
      <c r="U128" s="34"/>
      <c r="V128" s="34"/>
      <c r="W128" s="34"/>
      <c r="X128" s="34"/>
    </row>
    <row r="129" spans="1:24" hidden="1" x14ac:dyDescent="0.25">
      <c r="A129" s="51"/>
      <c r="B129" s="32" t="s">
        <v>174</v>
      </c>
      <c r="C129" s="34"/>
      <c r="D129" s="34"/>
      <c r="E129" s="34"/>
      <c r="F129" s="34"/>
      <c r="G129" s="33"/>
      <c r="H129" s="33"/>
      <c r="I129" s="33"/>
      <c r="J129" s="33"/>
      <c r="K129" s="33">
        <v>5</v>
      </c>
      <c r="L129" s="33">
        <v>1</v>
      </c>
      <c r="M129" s="34"/>
      <c r="N129" s="34"/>
      <c r="O129" s="34"/>
      <c r="P129" s="34"/>
      <c r="Q129" s="34"/>
      <c r="R129" s="34"/>
      <c r="S129" s="34"/>
      <c r="T129" s="34"/>
      <c r="U129" s="34"/>
      <c r="V129" s="34"/>
      <c r="W129" s="34"/>
      <c r="X129" s="34"/>
    </row>
    <row r="130" spans="1:24" hidden="1" x14ac:dyDescent="0.25">
      <c r="A130" s="51"/>
      <c r="B130" s="38" t="s">
        <v>176</v>
      </c>
      <c r="C130" s="34"/>
      <c r="D130" s="34"/>
      <c r="E130" s="34"/>
      <c r="F130" s="34"/>
      <c r="G130" s="33"/>
      <c r="H130" s="33"/>
      <c r="I130" s="33"/>
      <c r="J130" s="33"/>
      <c r="K130" s="33">
        <v>4</v>
      </c>
      <c r="L130" s="33">
        <v>-3</v>
      </c>
      <c r="M130" s="34"/>
      <c r="N130" s="34"/>
      <c r="O130" s="34"/>
      <c r="P130" s="34"/>
      <c r="Q130" s="34"/>
      <c r="R130" s="34"/>
      <c r="S130" s="34"/>
      <c r="T130" s="34"/>
      <c r="U130" s="34"/>
      <c r="V130" s="34"/>
      <c r="W130" s="34"/>
      <c r="X130" s="34"/>
    </row>
    <row r="131" spans="1:24" hidden="1" x14ac:dyDescent="0.25">
      <c r="A131" s="51"/>
      <c r="B131" s="38" t="s">
        <v>467</v>
      </c>
      <c r="C131" s="34"/>
      <c r="D131" s="34"/>
      <c r="E131" s="34"/>
      <c r="F131" s="34"/>
      <c r="G131" s="33"/>
      <c r="H131" s="33"/>
      <c r="I131" s="33"/>
      <c r="J131" s="33"/>
      <c r="K131" s="33">
        <v>-5</v>
      </c>
      <c r="L131" s="33">
        <v>7</v>
      </c>
      <c r="M131" s="34"/>
      <c r="N131" s="34"/>
      <c r="O131" s="34"/>
      <c r="P131" s="34"/>
      <c r="Q131" s="34"/>
      <c r="R131" s="34"/>
      <c r="S131" s="34"/>
      <c r="T131" s="34"/>
      <c r="U131" s="34"/>
      <c r="V131" s="34"/>
      <c r="W131" s="34"/>
      <c r="X131" s="34"/>
    </row>
    <row r="132" spans="1:24" hidden="1" x14ac:dyDescent="0.25">
      <c r="A132" s="51"/>
      <c r="B132" s="32" t="s">
        <v>468</v>
      </c>
      <c r="C132" s="34"/>
      <c r="D132" s="34"/>
      <c r="E132" s="34"/>
      <c r="F132" s="34"/>
      <c r="G132" s="33"/>
      <c r="H132" s="33"/>
      <c r="I132" s="33"/>
      <c r="J132" s="33"/>
      <c r="K132" s="33">
        <v>0</v>
      </c>
      <c r="L132" s="33">
        <v>8</v>
      </c>
      <c r="M132" s="34"/>
      <c r="N132" s="34"/>
      <c r="O132" s="34"/>
      <c r="P132" s="34"/>
      <c r="Q132" s="34"/>
      <c r="R132" s="34"/>
      <c r="S132" s="34"/>
      <c r="T132" s="34"/>
      <c r="U132" s="34"/>
      <c r="V132" s="34"/>
      <c r="W132" s="34"/>
      <c r="X132" s="34"/>
    </row>
    <row r="133" spans="1:24" hidden="1" x14ac:dyDescent="0.25">
      <c r="A133" s="51"/>
      <c r="B133" s="38" t="s">
        <v>178</v>
      </c>
      <c r="C133" s="34"/>
      <c r="D133" s="34"/>
      <c r="E133" s="34"/>
      <c r="F133" s="34"/>
      <c r="G133" s="33"/>
      <c r="H133" s="33"/>
      <c r="I133" s="33"/>
      <c r="J133" s="33"/>
      <c r="K133" s="33">
        <v>-1</v>
      </c>
      <c r="L133" s="33">
        <v>3</v>
      </c>
      <c r="M133" s="34"/>
      <c r="N133" s="34"/>
      <c r="O133" s="34"/>
      <c r="P133" s="34"/>
      <c r="Q133" s="34"/>
      <c r="R133" s="34"/>
      <c r="S133" s="34"/>
      <c r="T133" s="34"/>
      <c r="U133" s="34"/>
      <c r="V133" s="34"/>
      <c r="W133" s="34"/>
      <c r="X133" s="34"/>
    </row>
    <row r="134" spans="1:24" hidden="1" x14ac:dyDescent="0.25">
      <c r="A134" s="51"/>
      <c r="B134" s="38" t="s">
        <v>180</v>
      </c>
      <c r="E134" s="34"/>
      <c r="F134" s="34"/>
      <c r="G134" s="33"/>
      <c r="H134" s="33"/>
      <c r="I134" s="33"/>
      <c r="J134" s="33"/>
      <c r="K134" s="33">
        <v>-2</v>
      </c>
      <c r="L134" s="33">
        <v>-1</v>
      </c>
      <c r="M134" s="34"/>
      <c r="N134" s="34"/>
      <c r="O134" s="34"/>
      <c r="P134" s="34"/>
      <c r="Q134" s="34"/>
      <c r="R134" s="34"/>
      <c r="S134" s="34"/>
      <c r="T134" s="34"/>
      <c r="U134" s="34"/>
      <c r="V134" s="34"/>
      <c r="W134" s="34"/>
      <c r="X134" s="34"/>
    </row>
    <row r="135" spans="1:24" hidden="1" x14ac:dyDescent="0.25">
      <c r="A135" s="51"/>
      <c r="B135" s="32" t="s">
        <v>228</v>
      </c>
      <c r="E135" s="41"/>
      <c r="F135" s="41"/>
      <c r="G135" s="33"/>
      <c r="H135" s="33"/>
      <c r="I135" s="33"/>
      <c r="J135" s="33"/>
      <c r="K135" s="33">
        <v>-3</v>
      </c>
      <c r="L135" s="33">
        <v>9</v>
      </c>
      <c r="M135" s="41"/>
      <c r="N135" s="41"/>
      <c r="O135" s="41"/>
      <c r="P135" s="41"/>
      <c r="Q135" s="41"/>
      <c r="R135" s="41"/>
      <c r="S135" s="41"/>
      <c r="T135" s="41"/>
      <c r="U135" s="41"/>
      <c r="V135" s="41"/>
      <c r="W135" s="41"/>
      <c r="X135" s="41"/>
    </row>
    <row r="136" spans="1:24" hidden="1" x14ac:dyDescent="0.25">
      <c r="A136" s="51"/>
      <c r="B136" s="32" t="s">
        <v>182</v>
      </c>
      <c r="E136" s="41"/>
      <c r="F136" s="41"/>
      <c r="G136" s="33"/>
      <c r="H136" s="33"/>
      <c r="I136" s="33"/>
      <c r="J136" s="33"/>
      <c r="K136" s="33">
        <v>6</v>
      </c>
      <c r="L136" s="33">
        <v>5</v>
      </c>
      <c r="M136" s="41"/>
      <c r="N136" s="41"/>
      <c r="O136" s="41"/>
      <c r="P136" s="41"/>
      <c r="Q136" s="41"/>
      <c r="R136" s="41"/>
      <c r="S136" s="41"/>
      <c r="T136" s="41"/>
      <c r="U136" s="41"/>
      <c r="V136" s="41"/>
      <c r="W136" s="41"/>
      <c r="X136" s="41"/>
    </row>
    <row r="137" spans="1:24" hidden="1" x14ac:dyDescent="0.25">
      <c r="A137" s="51"/>
      <c r="B137" s="38" t="s">
        <v>184</v>
      </c>
      <c r="E137" s="41"/>
      <c r="F137" s="41"/>
      <c r="G137" s="33"/>
      <c r="H137" s="33"/>
      <c r="I137" s="33"/>
      <c r="J137" s="33"/>
      <c r="K137" s="33">
        <v>-4</v>
      </c>
      <c r="L137" s="33">
        <v>4</v>
      </c>
      <c r="M137" s="41"/>
      <c r="N137" s="41"/>
      <c r="O137" s="41"/>
      <c r="P137" s="41"/>
      <c r="Q137" s="41"/>
      <c r="R137" s="41"/>
      <c r="S137" s="41"/>
      <c r="T137" s="41"/>
      <c r="U137" s="41"/>
      <c r="V137" s="41"/>
      <c r="W137" s="41"/>
      <c r="X137" s="41"/>
    </row>
    <row r="138" spans="1:24" hidden="1" x14ac:dyDescent="0.25">
      <c r="A138" s="51"/>
      <c r="B138" s="32" t="s">
        <v>186</v>
      </c>
      <c r="E138" s="41"/>
      <c r="F138" s="41"/>
      <c r="G138" s="33"/>
      <c r="H138" s="33"/>
      <c r="I138" s="33"/>
      <c r="J138" s="33"/>
      <c r="K138" s="33">
        <v>8</v>
      </c>
      <c r="L138" s="33">
        <v>-5</v>
      </c>
      <c r="M138" s="41"/>
      <c r="N138" s="41"/>
      <c r="O138" s="41"/>
      <c r="P138" s="41"/>
      <c r="Q138" s="41"/>
      <c r="R138" s="41"/>
      <c r="S138" s="41"/>
      <c r="T138" s="41"/>
      <c r="U138" s="41"/>
      <c r="V138" s="41"/>
      <c r="W138" s="41"/>
      <c r="X138" s="41"/>
    </row>
    <row r="139" spans="1:24" hidden="1" x14ac:dyDescent="0.25">
      <c r="A139" s="51"/>
      <c r="B139" s="38" t="s">
        <v>188</v>
      </c>
      <c r="E139" s="41"/>
      <c r="F139" s="41"/>
      <c r="G139" s="33"/>
      <c r="H139" s="33"/>
      <c r="I139" s="33"/>
      <c r="J139" s="33"/>
      <c r="K139" s="33">
        <v>1</v>
      </c>
      <c r="L139" s="33">
        <v>-4</v>
      </c>
      <c r="M139" s="41"/>
      <c r="N139" s="41"/>
      <c r="O139" s="41"/>
      <c r="P139" s="41"/>
      <c r="Q139" s="41"/>
      <c r="R139" s="41"/>
      <c r="S139" s="41"/>
      <c r="T139" s="41"/>
      <c r="U139" s="41"/>
      <c r="V139" s="41"/>
      <c r="W139" s="41"/>
      <c r="X139" s="41"/>
    </row>
    <row r="140" spans="1:24" s="39" customFormat="1" hidden="1" x14ac:dyDescent="0.25">
      <c r="E140" s="40"/>
      <c r="F140" s="40"/>
      <c r="G140" s="40"/>
      <c r="H140" s="40"/>
      <c r="I140" s="40"/>
      <c r="J140" s="40"/>
      <c r="K140" s="40"/>
      <c r="L140" s="40"/>
      <c r="M140" s="40"/>
      <c r="N140" s="40"/>
      <c r="O140" s="40"/>
      <c r="P140" s="40"/>
      <c r="Q140" s="40"/>
      <c r="R140" s="40"/>
      <c r="S140" s="40"/>
      <c r="T140" s="40"/>
      <c r="U140" s="40"/>
      <c r="V140" s="40"/>
      <c r="W140" s="40"/>
      <c r="X140" s="40"/>
    </row>
    <row r="141" spans="1:24" ht="14.25" hidden="1" customHeight="1" x14ac:dyDescent="0.25">
      <c r="A141" s="51" t="s">
        <v>478</v>
      </c>
      <c r="B141" s="38" t="s">
        <v>166</v>
      </c>
      <c r="E141" s="41"/>
      <c r="F141" s="41"/>
      <c r="G141" s="33"/>
      <c r="H141" s="33"/>
      <c r="I141" s="33"/>
      <c r="J141" s="33"/>
      <c r="K141" s="33"/>
      <c r="L141" s="33">
        <v>-4</v>
      </c>
      <c r="M141" s="41"/>
      <c r="N141" s="41"/>
      <c r="O141" s="41"/>
      <c r="P141" s="41"/>
      <c r="Q141" s="41"/>
      <c r="R141" s="41"/>
      <c r="S141" s="41"/>
      <c r="T141" s="41"/>
      <c r="U141" s="41"/>
      <c r="V141" s="41"/>
      <c r="W141" s="41"/>
      <c r="X141" s="41"/>
    </row>
    <row r="142" spans="1:24" hidden="1" x14ac:dyDescent="0.25">
      <c r="A142" s="51"/>
      <c r="B142" s="38" t="s">
        <v>226</v>
      </c>
      <c r="C142" s="34"/>
      <c r="D142" s="34"/>
      <c r="E142" s="41"/>
      <c r="F142" s="41"/>
      <c r="G142" s="33"/>
      <c r="H142" s="33"/>
      <c r="I142" s="33"/>
      <c r="J142" s="33"/>
      <c r="K142" s="33"/>
      <c r="L142" s="33">
        <v>0</v>
      </c>
      <c r="M142" s="41"/>
      <c r="N142" s="41"/>
      <c r="O142" s="41"/>
      <c r="P142" s="41"/>
      <c r="Q142" s="41"/>
      <c r="R142" s="41"/>
      <c r="S142" s="41"/>
      <c r="T142" s="41"/>
      <c r="U142" s="41"/>
      <c r="V142" s="41"/>
      <c r="W142" s="41"/>
      <c r="X142" s="41"/>
    </row>
    <row r="143" spans="1:24" hidden="1" x14ac:dyDescent="0.25">
      <c r="A143" s="51"/>
      <c r="B143" s="38" t="s">
        <v>227</v>
      </c>
      <c r="C143" s="34"/>
      <c r="D143" s="34"/>
      <c r="E143" s="34"/>
      <c r="F143" s="34"/>
      <c r="G143" s="33"/>
      <c r="H143" s="33"/>
      <c r="I143" s="33"/>
      <c r="J143" s="33"/>
      <c r="K143" s="33"/>
      <c r="L143" s="33">
        <v>0</v>
      </c>
      <c r="M143" s="34"/>
      <c r="N143" s="34"/>
      <c r="O143" s="34"/>
      <c r="P143" s="34"/>
      <c r="Q143" s="34"/>
      <c r="R143" s="34"/>
      <c r="S143" s="34"/>
      <c r="T143" s="34"/>
      <c r="U143" s="34"/>
      <c r="V143" s="34"/>
      <c r="W143" s="34"/>
      <c r="X143" s="34"/>
    </row>
    <row r="144" spans="1:24" hidden="1" x14ac:dyDescent="0.25">
      <c r="A144" s="51"/>
      <c r="B144" s="32" t="s">
        <v>168</v>
      </c>
      <c r="C144" s="34"/>
      <c r="D144" s="34"/>
      <c r="E144" s="34"/>
      <c r="F144" s="34"/>
      <c r="G144" s="33"/>
      <c r="H144" s="33"/>
      <c r="I144" s="33"/>
      <c r="J144" s="33"/>
      <c r="K144" s="33"/>
      <c r="L144" s="33">
        <v>-3</v>
      </c>
      <c r="M144" s="34"/>
      <c r="N144" s="34"/>
      <c r="O144" s="34"/>
      <c r="P144" s="34"/>
      <c r="Q144" s="34"/>
      <c r="R144" s="34"/>
      <c r="S144" s="34"/>
      <c r="T144" s="34"/>
      <c r="U144" s="34"/>
      <c r="V144" s="34"/>
      <c r="W144" s="34"/>
      <c r="X144" s="34"/>
    </row>
    <row r="145" spans="1:24" hidden="1" x14ac:dyDescent="0.25">
      <c r="A145" s="51"/>
      <c r="B145" s="38" t="s">
        <v>170</v>
      </c>
      <c r="C145" s="34"/>
      <c r="D145" s="34"/>
      <c r="E145" s="34"/>
      <c r="F145" s="34"/>
      <c r="G145" s="33"/>
      <c r="H145" s="33"/>
      <c r="I145" s="33"/>
      <c r="J145" s="33"/>
      <c r="K145" s="33"/>
      <c r="L145" s="33">
        <v>0</v>
      </c>
      <c r="M145" s="34"/>
      <c r="N145" s="34"/>
      <c r="O145" s="34"/>
      <c r="P145" s="34"/>
      <c r="Q145" s="34"/>
      <c r="R145" s="34"/>
      <c r="S145" s="34"/>
      <c r="T145" s="34"/>
      <c r="U145" s="34"/>
      <c r="V145" s="34"/>
      <c r="W145" s="34"/>
      <c r="X145" s="34"/>
    </row>
    <row r="146" spans="1:24" hidden="1" x14ac:dyDescent="0.25">
      <c r="A146" s="51"/>
      <c r="B146" s="32" t="s">
        <v>192</v>
      </c>
      <c r="C146" s="34"/>
      <c r="D146" s="34"/>
      <c r="E146" s="34"/>
      <c r="F146" s="34"/>
      <c r="G146" s="33"/>
      <c r="H146" s="33"/>
      <c r="I146" s="33"/>
      <c r="J146" s="33"/>
      <c r="K146" s="33"/>
      <c r="L146" s="33">
        <v>1</v>
      </c>
      <c r="M146" s="34"/>
      <c r="N146" s="34"/>
      <c r="O146" s="34"/>
      <c r="P146" s="34"/>
      <c r="Q146" s="34"/>
      <c r="R146" s="34"/>
      <c r="S146" s="34"/>
      <c r="T146" s="34"/>
      <c r="U146" s="34"/>
      <c r="V146" s="34"/>
      <c r="W146" s="34"/>
      <c r="X146" s="34"/>
    </row>
    <row r="147" spans="1:24" hidden="1" x14ac:dyDescent="0.25">
      <c r="A147" s="51"/>
      <c r="B147" s="38" t="s">
        <v>172</v>
      </c>
      <c r="C147" s="34"/>
      <c r="D147" s="34"/>
      <c r="E147" s="34"/>
      <c r="F147" s="34"/>
      <c r="G147" s="33"/>
      <c r="H147" s="33"/>
      <c r="I147" s="33"/>
      <c r="J147" s="33"/>
      <c r="K147" s="33"/>
      <c r="L147" s="33">
        <v>-7</v>
      </c>
      <c r="M147" s="34"/>
      <c r="N147" s="34"/>
      <c r="O147" s="34"/>
      <c r="P147" s="34"/>
      <c r="Q147" s="34"/>
      <c r="R147" s="34"/>
      <c r="S147" s="34"/>
      <c r="T147" s="34"/>
      <c r="U147" s="34"/>
      <c r="V147" s="34"/>
      <c r="W147" s="34"/>
      <c r="X147" s="34"/>
    </row>
    <row r="148" spans="1:24" hidden="1" x14ac:dyDescent="0.25">
      <c r="A148" s="51"/>
      <c r="B148" s="32" t="s">
        <v>174</v>
      </c>
      <c r="C148" s="34"/>
      <c r="D148" s="34"/>
      <c r="E148" s="34"/>
      <c r="F148" s="34"/>
      <c r="G148" s="33"/>
      <c r="H148" s="33"/>
      <c r="I148" s="33"/>
      <c r="J148" s="33"/>
      <c r="K148" s="33"/>
      <c r="L148" s="33">
        <v>2</v>
      </c>
      <c r="M148" s="34"/>
      <c r="N148" s="34"/>
      <c r="O148" s="34"/>
      <c r="P148" s="34"/>
      <c r="Q148" s="34"/>
      <c r="R148" s="34"/>
      <c r="S148" s="34"/>
      <c r="T148" s="34"/>
      <c r="U148" s="34"/>
      <c r="V148" s="34"/>
      <c r="W148" s="34"/>
      <c r="X148" s="34"/>
    </row>
    <row r="149" spans="1:24" hidden="1" x14ac:dyDescent="0.25">
      <c r="A149" s="51"/>
      <c r="B149" s="38" t="s">
        <v>176</v>
      </c>
      <c r="C149" s="34"/>
      <c r="D149" s="34"/>
      <c r="E149" s="34"/>
      <c r="F149" s="34"/>
      <c r="G149" s="33"/>
      <c r="H149" s="33"/>
      <c r="I149" s="33"/>
      <c r="J149" s="33"/>
      <c r="K149" s="33"/>
      <c r="L149" s="33">
        <v>-10</v>
      </c>
      <c r="M149" s="34"/>
      <c r="N149" s="34"/>
      <c r="O149" s="34"/>
      <c r="P149" s="34"/>
      <c r="Q149" s="34"/>
      <c r="R149" s="34"/>
      <c r="S149" s="34"/>
      <c r="T149" s="34"/>
      <c r="U149" s="34"/>
      <c r="V149" s="34"/>
      <c r="W149" s="34"/>
      <c r="X149" s="34"/>
    </row>
    <row r="150" spans="1:24" hidden="1" x14ac:dyDescent="0.25">
      <c r="A150" s="51"/>
      <c r="B150" s="38" t="s">
        <v>467</v>
      </c>
      <c r="C150" s="34"/>
      <c r="D150" s="34"/>
      <c r="E150" s="34"/>
      <c r="F150" s="34"/>
      <c r="G150" s="33"/>
      <c r="H150" s="33"/>
      <c r="I150" s="33"/>
      <c r="J150" s="33"/>
      <c r="K150" s="33"/>
      <c r="L150" s="33">
        <v>3</v>
      </c>
      <c r="M150" s="34"/>
      <c r="N150" s="34"/>
      <c r="O150" s="34"/>
      <c r="P150" s="34"/>
      <c r="Q150" s="34"/>
      <c r="R150" s="34"/>
      <c r="S150" s="34"/>
      <c r="T150" s="34"/>
      <c r="U150" s="34"/>
      <c r="V150" s="34"/>
      <c r="W150" s="34"/>
      <c r="X150" s="34"/>
    </row>
    <row r="151" spans="1:24" hidden="1" x14ac:dyDescent="0.25">
      <c r="A151" s="51"/>
      <c r="B151" s="32" t="s">
        <v>468</v>
      </c>
      <c r="C151" s="34"/>
      <c r="D151" s="34"/>
      <c r="E151" s="34"/>
      <c r="F151" s="34"/>
      <c r="G151" s="33"/>
      <c r="H151" s="33"/>
      <c r="I151" s="33"/>
      <c r="J151" s="33"/>
      <c r="K151" s="33"/>
      <c r="L151" s="33">
        <v>-5</v>
      </c>
      <c r="M151" s="34"/>
      <c r="N151" s="34"/>
      <c r="O151" s="34"/>
      <c r="P151" s="34"/>
      <c r="Q151" s="34"/>
      <c r="R151" s="34"/>
      <c r="S151" s="34"/>
      <c r="T151" s="34"/>
      <c r="U151" s="34"/>
      <c r="V151" s="34"/>
      <c r="W151" s="34"/>
      <c r="X151" s="34"/>
    </row>
    <row r="152" spans="1:24" hidden="1" x14ac:dyDescent="0.25">
      <c r="A152" s="51"/>
      <c r="B152" s="38" t="s">
        <v>178</v>
      </c>
      <c r="C152" s="34"/>
      <c r="D152" s="34"/>
      <c r="E152" s="34"/>
      <c r="F152" s="34"/>
      <c r="G152" s="33"/>
      <c r="H152" s="33"/>
      <c r="I152" s="33"/>
      <c r="J152" s="33"/>
      <c r="K152" s="33"/>
      <c r="L152" s="33">
        <v>-1</v>
      </c>
      <c r="M152" s="34"/>
      <c r="N152" s="34"/>
      <c r="O152" s="34"/>
      <c r="P152" s="34"/>
      <c r="Q152" s="34"/>
      <c r="R152" s="34"/>
      <c r="S152" s="34"/>
      <c r="T152" s="34"/>
      <c r="U152" s="34"/>
      <c r="V152" s="34"/>
      <c r="W152" s="34"/>
      <c r="X152" s="34"/>
    </row>
    <row r="153" spans="1:24" hidden="1" x14ac:dyDescent="0.25">
      <c r="A153" s="51"/>
      <c r="B153" s="38" t="s">
        <v>180</v>
      </c>
      <c r="E153" s="41"/>
      <c r="F153" s="41"/>
      <c r="G153" s="33"/>
      <c r="H153" s="33"/>
      <c r="I153" s="33"/>
      <c r="J153" s="33"/>
      <c r="K153" s="33"/>
      <c r="L153" s="33">
        <v>-8</v>
      </c>
      <c r="M153" s="41"/>
      <c r="N153" s="41"/>
      <c r="O153" s="41"/>
      <c r="P153" s="41"/>
      <c r="Q153" s="41"/>
      <c r="R153" s="41"/>
      <c r="S153" s="41"/>
      <c r="T153" s="41"/>
      <c r="U153" s="41"/>
      <c r="V153" s="41"/>
      <c r="W153" s="41"/>
      <c r="X153" s="41"/>
    </row>
    <row r="154" spans="1:24" hidden="1" x14ac:dyDescent="0.25">
      <c r="A154" s="51"/>
      <c r="B154" s="32" t="s">
        <v>228</v>
      </c>
      <c r="E154" s="41"/>
      <c r="F154" s="41"/>
      <c r="G154" s="33"/>
      <c r="H154" s="33"/>
      <c r="I154" s="33"/>
      <c r="J154" s="33"/>
      <c r="K154" s="33"/>
      <c r="L154" s="33">
        <v>4</v>
      </c>
      <c r="M154" s="41"/>
      <c r="N154" s="41"/>
      <c r="O154" s="41"/>
      <c r="P154" s="41"/>
      <c r="Q154" s="41"/>
      <c r="R154" s="41"/>
      <c r="S154" s="41"/>
      <c r="T154" s="41"/>
      <c r="U154" s="41"/>
      <c r="V154" s="41"/>
      <c r="W154" s="41"/>
      <c r="X154" s="41"/>
    </row>
    <row r="155" spans="1:24" hidden="1" x14ac:dyDescent="0.25">
      <c r="A155" s="51"/>
      <c r="B155" s="32" t="s">
        <v>182</v>
      </c>
      <c r="E155" s="41"/>
      <c r="F155" s="41"/>
      <c r="G155" s="33"/>
      <c r="H155" s="33"/>
      <c r="I155" s="33"/>
      <c r="J155" s="33"/>
      <c r="K155" s="33"/>
      <c r="L155" s="33">
        <v>-2</v>
      </c>
      <c r="M155" s="41"/>
      <c r="N155" s="41"/>
      <c r="O155" s="41"/>
      <c r="P155" s="41"/>
      <c r="Q155" s="41"/>
      <c r="R155" s="41"/>
      <c r="S155" s="41"/>
      <c r="T155" s="41"/>
      <c r="U155" s="41"/>
      <c r="V155" s="41"/>
      <c r="W155" s="41"/>
      <c r="X155" s="41"/>
    </row>
    <row r="156" spans="1:24" hidden="1" x14ac:dyDescent="0.25">
      <c r="A156" s="51"/>
      <c r="B156" s="38" t="s">
        <v>184</v>
      </c>
      <c r="E156" s="41"/>
      <c r="F156" s="41"/>
      <c r="G156" s="33"/>
      <c r="H156" s="33"/>
      <c r="I156" s="33"/>
      <c r="J156" s="33"/>
      <c r="K156" s="33"/>
      <c r="L156" s="33">
        <v>0</v>
      </c>
      <c r="M156" s="41"/>
      <c r="N156" s="41"/>
      <c r="O156" s="41"/>
      <c r="P156" s="41"/>
      <c r="Q156" s="41"/>
      <c r="R156" s="41"/>
      <c r="S156" s="41"/>
      <c r="T156" s="41"/>
      <c r="U156" s="41"/>
      <c r="V156" s="41"/>
      <c r="W156" s="41"/>
      <c r="X156" s="41"/>
    </row>
    <row r="157" spans="1:24" hidden="1" x14ac:dyDescent="0.25">
      <c r="A157" s="51"/>
      <c r="B157" s="32" t="s">
        <v>186</v>
      </c>
      <c r="E157" s="41"/>
      <c r="F157" s="41"/>
      <c r="G157" s="33"/>
      <c r="H157" s="33"/>
      <c r="I157" s="33"/>
      <c r="J157" s="33"/>
      <c r="K157" s="33"/>
      <c r="L157" s="33">
        <v>-6</v>
      </c>
      <c r="M157" s="41"/>
      <c r="N157" s="41"/>
      <c r="O157" s="41"/>
      <c r="P157" s="41"/>
      <c r="Q157" s="41"/>
      <c r="R157" s="41"/>
      <c r="S157" s="41"/>
      <c r="T157" s="41"/>
      <c r="U157" s="41"/>
      <c r="V157" s="41"/>
      <c r="W157" s="41"/>
      <c r="X157" s="41"/>
    </row>
    <row r="158" spans="1:24" hidden="1" x14ac:dyDescent="0.25">
      <c r="A158" s="51"/>
      <c r="B158" s="38" t="s">
        <v>188</v>
      </c>
      <c r="E158" s="41"/>
      <c r="F158" s="41"/>
      <c r="G158" s="33"/>
      <c r="H158" s="33"/>
      <c r="I158" s="33"/>
      <c r="J158" s="33"/>
      <c r="K158" s="33"/>
      <c r="L158" s="33">
        <v>-9</v>
      </c>
      <c r="M158" s="41"/>
      <c r="N158" s="41"/>
      <c r="O158" s="41"/>
      <c r="P158" s="41"/>
      <c r="Q158" s="41"/>
      <c r="R158" s="41"/>
      <c r="S158" s="41"/>
      <c r="T158" s="41"/>
      <c r="U158" s="41"/>
      <c r="V158" s="41"/>
      <c r="W158" s="41"/>
      <c r="X158" s="41"/>
    </row>
    <row r="159" spans="1:24" s="39" customFormat="1" hidden="1" x14ac:dyDescent="0.25">
      <c r="E159" s="40"/>
      <c r="F159" s="40"/>
      <c r="G159" s="40"/>
      <c r="H159" s="40"/>
      <c r="I159" s="40"/>
      <c r="J159" s="40"/>
      <c r="K159" s="40"/>
      <c r="L159" s="40"/>
      <c r="M159" s="40"/>
      <c r="N159" s="40"/>
      <c r="O159" s="40"/>
      <c r="P159" s="40"/>
      <c r="Q159" s="40"/>
      <c r="R159" s="40"/>
      <c r="S159" s="40"/>
      <c r="T159" s="40"/>
      <c r="U159" s="40"/>
      <c r="V159" s="40"/>
      <c r="W159" s="40"/>
      <c r="X159" s="40"/>
    </row>
    <row r="160" spans="1:24" ht="14.25" hidden="1" customHeight="1" x14ac:dyDescent="0.25">
      <c r="A160" s="51" t="s">
        <v>479</v>
      </c>
      <c r="B160" s="38" t="s">
        <v>166</v>
      </c>
      <c r="E160" s="41"/>
      <c r="F160" s="41"/>
      <c r="G160" s="33"/>
      <c r="H160" s="33"/>
      <c r="I160" s="33"/>
      <c r="J160" s="33"/>
      <c r="K160" s="33"/>
      <c r="L160" s="33">
        <v>3</v>
      </c>
      <c r="M160" s="41"/>
      <c r="N160" s="41"/>
      <c r="O160" s="41"/>
      <c r="P160" s="41"/>
      <c r="Q160" s="41"/>
      <c r="R160" s="41"/>
      <c r="S160" s="41"/>
      <c r="T160" s="41"/>
      <c r="U160" s="41"/>
      <c r="V160" s="41"/>
      <c r="W160" s="41"/>
      <c r="X160" s="41"/>
    </row>
    <row r="161" spans="1:24" hidden="1" x14ac:dyDescent="0.25">
      <c r="A161" s="51"/>
      <c r="B161" s="38" t="s">
        <v>226</v>
      </c>
      <c r="C161" s="34"/>
      <c r="D161" s="34"/>
      <c r="E161" s="34"/>
      <c r="F161" s="34"/>
      <c r="G161" s="33"/>
      <c r="H161" s="33"/>
      <c r="I161" s="33"/>
      <c r="J161" s="33"/>
      <c r="K161" s="33"/>
      <c r="L161" s="33">
        <v>-8</v>
      </c>
      <c r="M161" s="34"/>
      <c r="N161" s="34"/>
      <c r="O161" s="34"/>
      <c r="P161" s="34"/>
      <c r="Q161" s="34"/>
      <c r="R161" s="34"/>
      <c r="S161" s="34"/>
      <c r="T161" s="34"/>
      <c r="U161" s="34"/>
      <c r="V161" s="34"/>
      <c r="W161" s="34"/>
      <c r="X161" s="34"/>
    </row>
    <row r="162" spans="1:24" hidden="1" x14ac:dyDescent="0.25">
      <c r="A162" s="51"/>
      <c r="B162" s="38" t="s">
        <v>227</v>
      </c>
      <c r="C162" s="34"/>
      <c r="D162" s="34"/>
      <c r="E162" s="34"/>
      <c r="F162" s="34"/>
      <c r="G162" s="33"/>
      <c r="H162" s="33"/>
      <c r="I162" s="33"/>
      <c r="J162" s="33"/>
      <c r="K162" s="33"/>
      <c r="L162" s="33">
        <v>-9</v>
      </c>
      <c r="M162" s="34"/>
      <c r="N162" s="34"/>
      <c r="O162" s="34"/>
      <c r="P162" s="34"/>
      <c r="Q162" s="34"/>
      <c r="R162" s="34"/>
      <c r="S162" s="34"/>
      <c r="T162" s="34"/>
      <c r="U162" s="34"/>
      <c r="V162" s="34"/>
      <c r="W162" s="34"/>
      <c r="X162" s="34"/>
    </row>
    <row r="163" spans="1:24" hidden="1" x14ac:dyDescent="0.25">
      <c r="A163" s="51"/>
      <c r="B163" s="32" t="s">
        <v>168</v>
      </c>
      <c r="C163" s="34"/>
      <c r="D163" s="34"/>
      <c r="E163" s="34"/>
      <c r="F163" s="34"/>
      <c r="G163" s="33"/>
      <c r="H163" s="33"/>
      <c r="I163" s="33"/>
      <c r="J163" s="33"/>
      <c r="K163" s="33"/>
      <c r="L163" s="33">
        <v>-2</v>
      </c>
      <c r="M163" s="34"/>
      <c r="N163" s="34"/>
      <c r="O163" s="34"/>
      <c r="P163" s="34"/>
      <c r="Q163" s="34"/>
      <c r="R163" s="34"/>
      <c r="S163" s="34"/>
      <c r="T163" s="34"/>
      <c r="U163" s="34"/>
      <c r="V163" s="34"/>
      <c r="W163" s="34"/>
      <c r="X163" s="34"/>
    </row>
    <row r="164" spans="1:24" hidden="1" x14ac:dyDescent="0.25">
      <c r="A164" s="51"/>
      <c r="B164" s="38" t="s">
        <v>170</v>
      </c>
      <c r="C164" s="34"/>
      <c r="D164" s="34"/>
      <c r="E164" s="34"/>
      <c r="F164" s="34"/>
      <c r="G164" s="33"/>
      <c r="H164" s="33"/>
      <c r="I164" s="33"/>
      <c r="J164" s="33"/>
      <c r="K164" s="33"/>
      <c r="L164" s="33">
        <v>0</v>
      </c>
      <c r="M164" s="34"/>
      <c r="N164" s="34"/>
      <c r="O164" s="34"/>
      <c r="P164" s="34"/>
      <c r="Q164" s="34"/>
      <c r="R164" s="34"/>
      <c r="S164" s="34"/>
      <c r="T164" s="34"/>
      <c r="U164" s="34"/>
      <c r="V164" s="34"/>
      <c r="W164" s="34"/>
      <c r="X164" s="34"/>
    </row>
    <row r="165" spans="1:24" hidden="1" x14ac:dyDescent="0.25">
      <c r="A165" s="51"/>
      <c r="B165" s="32" t="s">
        <v>192</v>
      </c>
      <c r="C165" s="34"/>
      <c r="D165" s="34"/>
      <c r="E165" s="34"/>
      <c r="F165" s="34"/>
      <c r="G165" s="33"/>
      <c r="H165" s="33"/>
      <c r="I165" s="33"/>
      <c r="J165" s="33"/>
      <c r="K165" s="33"/>
      <c r="L165" s="33">
        <v>1</v>
      </c>
      <c r="M165" s="34"/>
      <c r="N165" s="34"/>
      <c r="O165" s="34"/>
      <c r="P165" s="34"/>
      <c r="Q165" s="34"/>
      <c r="R165" s="34"/>
      <c r="S165" s="34"/>
      <c r="T165" s="34"/>
      <c r="U165" s="34"/>
      <c r="V165" s="34"/>
      <c r="W165" s="34"/>
      <c r="X165" s="34"/>
    </row>
    <row r="166" spans="1:24" hidden="1" x14ac:dyDescent="0.25">
      <c r="A166" s="51"/>
      <c r="B166" s="38" t="s">
        <v>172</v>
      </c>
      <c r="C166" s="34"/>
      <c r="D166" s="34"/>
      <c r="E166" s="34"/>
      <c r="F166" s="34"/>
      <c r="G166" s="33"/>
      <c r="H166" s="33"/>
      <c r="I166" s="33"/>
      <c r="J166" s="33"/>
      <c r="K166" s="33"/>
      <c r="L166" s="33">
        <v>2</v>
      </c>
      <c r="M166" s="34"/>
      <c r="N166" s="34"/>
      <c r="O166" s="34"/>
      <c r="P166" s="34"/>
      <c r="Q166" s="34"/>
      <c r="R166" s="34"/>
      <c r="S166" s="34"/>
      <c r="T166" s="34"/>
      <c r="U166" s="34"/>
      <c r="V166" s="34"/>
      <c r="W166" s="34"/>
      <c r="X166" s="34"/>
    </row>
    <row r="167" spans="1:24" hidden="1" x14ac:dyDescent="0.25">
      <c r="A167" s="51"/>
      <c r="B167" s="32" t="s">
        <v>174</v>
      </c>
      <c r="C167" s="34"/>
      <c r="D167" s="34"/>
      <c r="E167" s="34"/>
      <c r="F167" s="34"/>
      <c r="G167" s="33"/>
      <c r="H167" s="33"/>
      <c r="I167" s="33"/>
      <c r="J167" s="33"/>
      <c r="K167" s="33"/>
      <c r="L167" s="33">
        <v>-6</v>
      </c>
      <c r="M167" s="34"/>
      <c r="N167" s="34"/>
      <c r="O167" s="34"/>
      <c r="P167" s="34"/>
      <c r="Q167" s="34"/>
      <c r="R167" s="34"/>
      <c r="S167" s="34"/>
      <c r="T167" s="34"/>
      <c r="U167" s="34"/>
      <c r="V167" s="34"/>
      <c r="W167" s="34"/>
      <c r="X167" s="34"/>
    </row>
    <row r="168" spans="1:24" hidden="1" x14ac:dyDescent="0.25">
      <c r="A168" s="51"/>
      <c r="B168" s="38" t="s">
        <v>176</v>
      </c>
      <c r="C168" s="34"/>
      <c r="D168" s="34"/>
      <c r="E168" s="34"/>
      <c r="F168" s="34"/>
      <c r="G168" s="33"/>
      <c r="H168" s="33"/>
      <c r="I168" s="33"/>
      <c r="J168" s="33"/>
      <c r="K168" s="33"/>
      <c r="L168" s="33">
        <v>0</v>
      </c>
      <c r="M168" s="34"/>
      <c r="N168" s="34"/>
      <c r="O168" s="34"/>
      <c r="P168" s="34"/>
      <c r="Q168" s="34"/>
      <c r="R168" s="34"/>
      <c r="S168" s="34"/>
      <c r="T168" s="34"/>
      <c r="U168" s="34"/>
      <c r="V168" s="34"/>
      <c r="W168" s="34"/>
      <c r="X168" s="34"/>
    </row>
    <row r="169" spans="1:24" hidden="1" x14ac:dyDescent="0.25">
      <c r="A169" s="51"/>
      <c r="B169" s="38" t="s">
        <v>467</v>
      </c>
      <c r="C169" s="34"/>
      <c r="D169" s="34"/>
      <c r="E169" s="34"/>
      <c r="F169" s="34"/>
      <c r="G169" s="33"/>
      <c r="H169" s="33"/>
      <c r="I169" s="33"/>
      <c r="J169" s="33"/>
      <c r="K169" s="33"/>
      <c r="L169" s="33">
        <v>-3</v>
      </c>
      <c r="M169" s="34"/>
      <c r="N169" s="34"/>
      <c r="O169" s="34"/>
      <c r="P169" s="34"/>
      <c r="Q169" s="34"/>
      <c r="R169" s="34"/>
      <c r="S169" s="34"/>
      <c r="T169" s="34"/>
      <c r="U169" s="34"/>
      <c r="V169" s="34"/>
      <c r="W169" s="34"/>
      <c r="X169" s="34"/>
    </row>
    <row r="170" spans="1:24" hidden="1" x14ac:dyDescent="0.25">
      <c r="A170" s="51"/>
      <c r="B170" s="32" t="s">
        <v>468</v>
      </c>
      <c r="C170" s="34"/>
      <c r="D170" s="34"/>
      <c r="E170" s="34"/>
      <c r="F170" s="34"/>
      <c r="G170" s="33"/>
      <c r="H170" s="33"/>
      <c r="I170" s="33"/>
      <c r="J170" s="33"/>
      <c r="K170" s="33"/>
      <c r="L170" s="33">
        <v>-4</v>
      </c>
      <c r="M170" s="34"/>
      <c r="N170" s="34"/>
      <c r="O170" s="34"/>
      <c r="P170" s="34"/>
      <c r="Q170" s="34"/>
      <c r="R170" s="34"/>
      <c r="S170" s="34"/>
      <c r="T170" s="34"/>
      <c r="U170" s="34"/>
      <c r="V170" s="34"/>
      <c r="W170" s="34"/>
      <c r="X170" s="34"/>
    </row>
    <row r="171" spans="1:24" hidden="1" x14ac:dyDescent="0.25">
      <c r="A171" s="51"/>
      <c r="B171" s="38" t="s">
        <v>178</v>
      </c>
      <c r="C171" s="34"/>
      <c r="D171" s="34"/>
      <c r="E171" s="41"/>
      <c r="F171" s="41"/>
      <c r="G171" s="33"/>
      <c r="H171" s="33"/>
      <c r="I171" s="33"/>
      <c r="J171" s="33"/>
      <c r="K171" s="33"/>
      <c r="L171" s="33">
        <v>-7</v>
      </c>
      <c r="M171" s="41"/>
      <c r="N171" s="41"/>
      <c r="O171" s="41"/>
      <c r="P171" s="41"/>
      <c r="Q171" s="41"/>
      <c r="R171" s="41"/>
      <c r="S171" s="41"/>
      <c r="T171" s="41"/>
      <c r="U171" s="41"/>
      <c r="V171" s="41"/>
      <c r="W171" s="41"/>
      <c r="X171" s="41"/>
    </row>
    <row r="172" spans="1:24" hidden="1" x14ac:dyDescent="0.25">
      <c r="A172" s="51"/>
      <c r="B172" s="38" t="s">
        <v>180</v>
      </c>
      <c r="E172" s="41"/>
      <c r="F172" s="41"/>
      <c r="G172" s="33"/>
      <c r="H172" s="33"/>
      <c r="I172" s="33"/>
      <c r="J172" s="33"/>
      <c r="K172" s="33"/>
      <c r="L172" s="33">
        <v>-1</v>
      </c>
      <c r="M172" s="41"/>
      <c r="N172" s="41"/>
      <c r="O172" s="41"/>
      <c r="P172" s="41"/>
      <c r="Q172" s="41"/>
      <c r="R172" s="41"/>
      <c r="S172" s="41"/>
      <c r="T172" s="41"/>
      <c r="U172" s="41"/>
      <c r="V172" s="41"/>
      <c r="W172" s="41"/>
      <c r="X172" s="41"/>
    </row>
    <row r="173" spans="1:24" hidden="1" x14ac:dyDescent="0.25">
      <c r="A173" s="51"/>
      <c r="B173" s="32" t="s">
        <v>228</v>
      </c>
      <c r="E173" s="41"/>
      <c r="F173" s="41"/>
      <c r="G173" s="33"/>
      <c r="H173" s="33"/>
      <c r="I173" s="33"/>
      <c r="J173" s="33"/>
      <c r="K173" s="33"/>
      <c r="L173" s="33">
        <v>4</v>
      </c>
      <c r="M173" s="41"/>
      <c r="N173" s="41"/>
      <c r="O173" s="41"/>
      <c r="P173" s="41"/>
      <c r="Q173" s="41"/>
      <c r="R173" s="41"/>
      <c r="S173" s="41"/>
      <c r="T173" s="41"/>
      <c r="U173" s="41"/>
      <c r="V173" s="41"/>
      <c r="W173" s="41"/>
      <c r="X173" s="41"/>
    </row>
    <row r="174" spans="1:24" hidden="1" x14ac:dyDescent="0.25">
      <c r="A174" s="51"/>
      <c r="B174" s="32" t="s">
        <v>182</v>
      </c>
      <c r="E174" s="41"/>
      <c r="F174" s="41"/>
      <c r="G174" s="33"/>
      <c r="H174" s="33"/>
      <c r="I174" s="33"/>
      <c r="J174" s="33"/>
      <c r="K174" s="33"/>
      <c r="L174" s="33">
        <v>0</v>
      </c>
      <c r="M174" s="41"/>
      <c r="N174" s="41"/>
      <c r="O174" s="41"/>
      <c r="P174" s="41"/>
      <c r="Q174" s="41"/>
      <c r="R174" s="41"/>
      <c r="S174" s="41"/>
      <c r="T174" s="41"/>
      <c r="U174" s="41"/>
      <c r="V174" s="41"/>
      <c r="W174" s="41"/>
      <c r="X174" s="41"/>
    </row>
    <row r="175" spans="1:24" hidden="1" x14ac:dyDescent="0.25">
      <c r="A175" s="51"/>
      <c r="B175" s="38" t="s">
        <v>184</v>
      </c>
      <c r="E175" s="41"/>
      <c r="F175" s="41"/>
      <c r="G175" s="33"/>
      <c r="H175" s="33"/>
      <c r="I175" s="33"/>
      <c r="J175" s="33"/>
      <c r="K175" s="33"/>
      <c r="L175" s="33">
        <v>0</v>
      </c>
      <c r="M175" s="41"/>
      <c r="N175" s="41"/>
      <c r="O175" s="41"/>
      <c r="P175" s="41"/>
      <c r="Q175" s="41"/>
      <c r="R175" s="41"/>
      <c r="S175" s="41"/>
      <c r="T175" s="41"/>
      <c r="U175" s="41"/>
      <c r="V175" s="41"/>
      <c r="W175" s="41"/>
      <c r="X175" s="41"/>
    </row>
    <row r="176" spans="1:24" hidden="1" x14ac:dyDescent="0.25">
      <c r="A176" s="51"/>
      <c r="B176" s="32" t="s">
        <v>186</v>
      </c>
      <c r="E176" s="41"/>
      <c r="F176" s="41"/>
      <c r="G176" s="33"/>
      <c r="H176" s="33"/>
      <c r="I176" s="33"/>
      <c r="J176" s="33"/>
      <c r="K176" s="33"/>
      <c r="L176" s="33">
        <v>0</v>
      </c>
      <c r="M176" s="41"/>
      <c r="N176" s="41"/>
      <c r="O176" s="41"/>
      <c r="P176" s="41"/>
      <c r="Q176" s="41"/>
      <c r="R176" s="41"/>
      <c r="S176" s="41"/>
      <c r="T176" s="41"/>
      <c r="U176" s="41"/>
      <c r="V176" s="41"/>
      <c r="W176" s="41"/>
      <c r="X176" s="41"/>
    </row>
    <row r="177" spans="1:24" hidden="1" x14ac:dyDescent="0.25">
      <c r="A177" s="51"/>
      <c r="B177" s="38" t="s">
        <v>188</v>
      </c>
      <c r="E177" s="41"/>
      <c r="F177" s="41"/>
      <c r="G177" s="33"/>
      <c r="H177" s="33"/>
      <c r="I177" s="33"/>
      <c r="J177" s="33"/>
      <c r="K177" s="33"/>
      <c r="L177" s="33">
        <v>-5</v>
      </c>
      <c r="M177" s="41"/>
      <c r="N177" s="41"/>
      <c r="O177" s="41"/>
      <c r="P177" s="41"/>
      <c r="Q177" s="41"/>
      <c r="R177" s="41"/>
      <c r="S177" s="41"/>
      <c r="T177" s="41"/>
      <c r="U177" s="41"/>
      <c r="V177" s="41"/>
      <c r="W177" s="41"/>
      <c r="X177" s="41"/>
    </row>
    <row r="178" spans="1:24" s="39" customFormat="1" hidden="1" x14ac:dyDescent="0.25">
      <c r="E178" s="40"/>
      <c r="F178" s="40"/>
      <c r="G178" s="40"/>
      <c r="H178" s="40"/>
      <c r="I178" s="40"/>
      <c r="J178" s="40"/>
      <c r="K178" s="40"/>
      <c r="L178" s="40"/>
      <c r="M178" s="40"/>
      <c r="N178" s="40"/>
      <c r="O178" s="40"/>
      <c r="P178" s="40"/>
      <c r="Q178" s="40"/>
      <c r="R178" s="40"/>
      <c r="S178" s="40"/>
      <c r="T178" s="40"/>
      <c r="U178" s="40"/>
      <c r="V178" s="40"/>
      <c r="W178" s="40"/>
      <c r="X178" s="40"/>
    </row>
    <row r="179" spans="1:24" ht="14.25" hidden="1" customHeight="1" x14ac:dyDescent="0.25">
      <c r="A179" s="51" t="s">
        <v>480</v>
      </c>
      <c r="B179" s="38" t="s">
        <v>166</v>
      </c>
      <c r="E179" s="34"/>
      <c r="F179" s="34"/>
      <c r="G179" s="33"/>
      <c r="H179" s="33"/>
      <c r="I179" s="33"/>
      <c r="J179" s="33"/>
      <c r="K179" s="33"/>
      <c r="L179" s="33">
        <v>1</v>
      </c>
      <c r="M179" s="34"/>
      <c r="N179" s="34"/>
      <c r="O179" s="34"/>
      <c r="P179" s="34"/>
      <c r="Q179" s="34"/>
      <c r="R179" s="34"/>
      <c r="S179" s="34"/>
      <c r="T179" s="34"/>
      <c r="U179" s="34"/>
      <c r="V179" s="34"/>
      <c r="W179" s="34"/>
      <c r="X179" s="34"/>
    </row>
    <row r="180" spans="1:24" hidden="1" x14ac:dyDescent="0.25">
      <c r="A180" s="51"/>
      <c r="B180" s="38" t="s">
        <v>226</v>
      </c>
      <c r="C180" s="34"/>
      <c r="D180" s="34"/>
      <c r="E180" s="34"/>
      <c r="F180" s="34"/>
      <c r="G180" s="33"/>
      <c r="H180" s="33"/>
      <c r="I180" s="33"/>
      <c r="J180" s="33"/>
      <c r="K180" s="33"/>
      <c r="L180" s="33">
        <v>0</v>
      </c>
      <c r="M180" s="34"/>
      <c r="N180" s="34"/>
      <c r="O180" s="34"/>
      <c r="P180" s="34"/>
      <c r="Q180" s="34"/>
      <c r="R180" s="34"/>
      <c r="S180" s="34"/>
      <c r="T180" s="34"/>
      <c r="U180" s="34"/>
      <c r="V180" s="34"/>
      <c r="W180" s="34"/>
      <c r="X180" s="34"/>
    </row>
    <row r="181" spans="1:24" hidden="1" x14ac:dyDescent="0.25">
      <c r="A181" s="51"/>
      <c r="B181" s="38" t="s">
        <v>227</v>
      </c>
      <c r="C181" s="34"/>
      <c r="D181" s="34"/>
      <c r="E181" s="34"/>
      <c r="F181" s="34"/>
      <c r="G181" s="33"/>
      <c r="H181" s="33"/>
      <c r="I181" s="33"/>
      <c r="J181" s="33"/>
      <c r="K181" s="33"/>
      <c r="L181" s="33">
        <v>-9</v>
      </c>
      <c r="M181" s="34"/>
      <c r="N181" s="34"/>
      <c r="O181" s="34"/>
      <c r="P181" s="34"/>
      <c r="Q181" s="34"/>
      <c r="R181" s="34"/>
      <c r="S181" s="34"/>
      <c r="T181" s="34"/>
      <c r="U181" s="34"/>
      <c r="V181" s="34"/>
      <c r="W181" s="34"/>
      <c r="X181" s="34"/>
    </row>
    <row r="182" spans="1:24" hidden="1" x14ac:dyDescent="0.25">
      <c r="A182" s="51"/>
      <c r="B182" s="32" t="s">
        <v>168</v>
      </c>
      <c r="C182" s="34"/>
      <c r="D182" s="34"/>
      <c r="E182" s="34"/>
      <c r="F182" s="34"/>
      <c r="G182" s="33"/>
      <c r="H182" s="33"/>
      <c r="I182" s="33"/>
      <c r="J182" s="33"/>
      <c r="K182" s="33"/>
      <c r="L182" s="33">
        <v>-5</v>
      </c>
      <c r="M182" s="34"/>
      <c r="N182" s="34"/>
      <c r="O182" s="34"/>
      <c r="P182" s="34"/>
      <c r="Q182" s="34"/>
      <c r="R182" s="34"/>
      <c r="S182" s="34"/>
      <c r="T182" s="34"/>
      <c r="U182" s="34"/>
      <c r="V182" s="34"/>
      <c r="W182" s="34"/>
      <c r="X182" s="34"/>
    </row>
    <row r="183" spans="1:24" hidden="1" x14ac:dyDescent="0.25">
      <c r="A183" s="51"/>
      <c r="B183" s="38" t="s">
        <v>170</v>
      </c>
      <c r="C183" s="34"/>
      <c r="D183" s="34"/>
      <c r="E183" s="34"/>
      <c r="F183" s="34"/>
      <c r="G183" s="33"/>
      <c r="H183" s="33"/>
      <c r="I183" s="33"/>
      <c r="J183" s="33"/>
      <c r="K183" s="33"/>
      <c r="L183" s="33">
        <v>0</v>
      </c>
      <c r="M183" s="34"/>
      <c r="N183" s="34"/>
      <c r="O183" s="34"/>
      <c r="P183" s="34"/>
      <c r="Q183" s="34"/>
      <c r="R183" s="34"/>
      <c r="S183" s="34"/>
      <c r="T183" s="34"/>
      <c r="U183" s="34"/>
      <c r="V183" s="34"/>
      <c r="W183" s="34"/>
      <c r="X183" s="34"/>
    </row>
    <row r="184" spans="1:24" hidden="1" x14ac:dyDescent="0.25">
      <c r="A184" s="51"/>
      <c r="B184" s="32" t="s">
        <v>192</v>
      </c>
      <c r="C184" s="34"/>
      <c r="D184" s="34"/>
      <c r="E184" s="34"/>
      <c r="F184" s="34"/>
      <c r="G184" s="33"/>
      <c r="H184" s="33"/>
      <c r="I184" s="33"/>
      <c r="J184" s="33"/>
      <c r="K184" s="33"/>
      <c r="L184" s="33">
        <v>0</v>
      </c>
      <c r="M184" s="34"/>
      <c r="N184" s="34"/>
      <c r="O184" s="34"/>
      <c r="P184" s="34"/>
      <c r="Q184" s="34"/>
      <c r="R184" s="34"/>
      <c r="S184" s="34"/>
      <c r="T184" s="34"/>
      <c r="U184" s="34"/>
      <c r="V184" s="34"/>
      <c r="W184" s="34"/>
      <c r="X184" s="34"/>
    </row>
    <row r="185" spans="1:24" hidden="1" x14ac:dyDescent="0.25">
      <c r="A185" s="51"/>
      <c r="B185" s="38" t="s">
        <v>172</v>
      </c>
      <c r="C185" s="34"/>
      <c r="D185" s="34"/>
      <c r="E185" s="34"/>
      <c r="F185" s="34"/>
      <c r="G185" s="33"/>
      <c r="H185" s="33"/>
      <c r="I185" s="33"/>
      <c r="J185" s="33"/>
      <c r="K185" s="33"/>
      <c r="L185" s="33">
        <v>0</v>
      </c>
      <c r="M185" s="34"/>
      <c r="N185" s="34"/>
      <c r="O185" s="34"/>
      <c r="P185" s="34"/>
      <c r="Q185" s="34"/>
      <c r="R185" s="34"/>
      <c r="S185" s="34"/>
      <c r="T185" s="34"/>
      <c r="U185" s="34"/>
      <c r="V185" s="34"/>
      <c r="W185" s="34"/>
      <c r="X185" s="34"/>
    </row>
    <row r="186" spans="1:24" hidden="1" x14ac:dyDescent="0.25">
      <c r="A186" s="51"/>
      <c r="B186" s="32" t="s">
        <v>174</v>
      </c>
      <c r="C186" s="34"/>
      <c r="D186" s="34"/>
      <c r="E186" s="34"/>
      <c r="F186" s="34"/>
      <c r="G186" s="33"/>
      <c r="H186" s="33"/>
      <c r="I186" s="33"/>
      <c r="J186" s="33"/>
      <c r="K186" s="33"/>
      <c r="L186" s="33">
        <v>-1</v>
      </c>
      <c r="M186" s="34"/>
      <c r="N186" s="34"/>
      <c r="O186" s="34"/>
      <c r="P186" s="34"/>
      <c r="Q186" s="34"/>
      <c r="R186" s="34"/>
      <c r="S186" s="34"/>
      <c r="T186" s="34"/>
      <c r="U186" s="34"/>
      <c r="V186" s="34"/>
      <c r="W186" s="34"/>
      <c r="X186" s="34"/>
    </row>
    <row r="187" spans="1:24" hidden="1" x14ac:dyDescent="0.25">
      <c r="A187" s="51"/>
      <c r="B187" s="38" t="s">
        <v>176</v>
      </c>
      <c r="C187" s="34"/>
      <c r="D187" s="34"/>
      <c r="E187" s="34"/>
      <c r="F187" s="34"/>
      <c r="G187" s="33"/>
      <c r="H187" s="33"/>
      <c r="I187" s="33"/>
      <c r="J187" s="33"/>
      <c r="K187" s="33"/>
      <c r="L187" s="33">
        <v>0</v>
      </c>
      <c r="M187" s="34"/>
      <c r="N187" s="34"/>
      <c r="O187" s="34"/>
      <c r="P187" s="34"/>
      <c r="Q187" s="34"/>
      <c r="R187" s="34"/>
      <c r="S187" s="34"/>
      <c r="T187" s="34"/>
      <c r="U187" s="34"/>
      <c r="V187" s="34"/>
      <c r="W187" s="34"/>
      <c r="X187" s="34"/>
    </row>
    <row r="188" spans="1:24" hidden="1" x14ac:dyDescent="0.25">
      <c r="A188" s="51"/>
      <c r="B188" s="38" t="s">
        <v>467</v>
      </c>
      <c r="C188" s="34"/>
      <c r="D188" s="34"/>
      <c r="E188" s="34"/>
      <c r="F188" s="34"/>
      <c r="G188" s="33"/>
      <c r="H188" s="33"/>
      <c r="I188" s="33"/>
      <c r="J188" s="33"/>
      <c r="K188" s="33"/>
      <c r="L188" s="33">
        <v>-6</v>
      </c>
      <c r="M188" s="34"/>
      <c r="N188" s="34"/>
      <c r="O188" s="34"/>
      <c r="P188" s="34"/>
      <c r="Q188" s="34"/>
      <c r="R188" s="34"/>
      <c r="S188" s="34"/>
      <c r="T188" s="34"/>
      <c r="U188" s="34"/>
      <c r="V188" s="34"/>
      <c r="W188" s="34"/>
      <c r="X188" s="34"/>
    </row>
    <row r="189" spans="1:24" hidden="1" x14ac:dyDescent="0.25">
      <c r="A189" s="51"/>
      <c r="B189" s="32" t="s">
        <v>468</v>
      </c>
      <c r="C189" s="34"/>
      <c r="D189" s="34"/>
      <c r="E189" s="41"/>
      <c r="F189" s="41"/>
      <c r="G189" s="33"/>
      <c r="H189" s="33"/>
      <c r="I189" s="33"/>
      <c r="J189" s="33"/>
      <c r="K189" s="33"/>
      <c r="L189" s="33">
        <v>-7</v>
      </c>
      <c r="M189" s="41"/>
      <c r="N189" s="41"/>
      <c r="O189" s="41"/>
      <c r="P189" s="41"/>
      <c r="Q189" s="41"/>
      <c r="R189" s="41"/>
      <c r="S189" s="41"/>
      <c r="T189" s="41"/>
      <c r="U189" s="41"/>
      <c r="V189" s="41"/>
      <c r="W189" s="41"/>
      <c r="X189" s="41"/>
    </row>
    <row r="190" spans="1:24" hidden="1" x14ac:dyDescent="0.25">
      <c r="A190" s="51"/>
      <c r="B190" s="38" t="s">
        <v>178</v>
      </c>
      <c r="C190" s="34"/>
      <c r="D190" s="34"/>
      <c r="E190" s="41"/>
      <c r="F190" s="41"/>
      <c r="G190" s="33"/>
      <c r="H190" s="33"/>
      <c r="I190" s="33"/>
      <c r="J190" s="33"/>
      <c r="K190" s="33"/>
      <c r="L190" s="33">
        <v>-2</v>
      </c>
      <c r="M190" s="41"/>
      <c r="N190" s="41"/>
      <c r="O190" s="41"/>
      <c r="P190" s="41"/>
      <c r="Q190" s="41"/>
      <c r="R190" s="41"/>
      <c r="S190" s="41"/>
      <c r="T190" s="41"/>
      <c r="U190" s="41"/>
      <c r="V190" s="41"/>
      <c r="W190" s="41"/>
      <c r="X190" s="41"/>
    </row>
    <row r="191" spans="1:24" hidden="1" x14ac:dyDescent="0.25">
      <c r="A191" s="51"/>
      <c r="B191" s="38" t="s">
        <v>180</v>
      </c>
      <c r="E191" s="41"/>
      <c r="F191" s="41"/>
      <c r="G191" s="33"/>
      <c r="H191" s="33"/>
      <c r="I191" s="33"/>
      <c r="J191" s="33"/>
      <c r="K191" s="33"/>
      <c r="L191" s="33">
        <v>0</v>
      </c>
      <c r="M191" s="41"/>
      <c r="N191" s="41"/>
      <c r="O191" s="41"/>
      <c r="P191" s="41"/>
      <c r="Q191" s="41"/>
      <c r="R191" s="41"/>
      <c r="S191" s="41"/>
      <c r="T191" s="41"/>
      <c r="U191" s="41"/>
      <c r="V191" s="41"/>
      <c r="W191" s="41"/>
      <c r="X191" s="41"/>
    </row>
    <row r="192" spans="1:24" hidden="1" x14ac:dyDescent="0.25">
      <c r="A192" s="51"/>
      <c r="B192" s="32" t="s">
        <v>228</v>
      </c>
      <c r="E192" s="41"/>
      <c r="F192" s="41"/>
      <c r="G192" s="33"/>
      <c r="H192" s="33"/>
      <c r="I192" s="33"/>
      <c r="J192" s="33"/>
      <c r="K192" s="33"/>
      <c r="L192" s="33">
        <v>0</v>
      </c>
      <c r="M192" s="41"/>
      <c r="N192" s="41"/>
      <c r="O192" s="41"/>
      <c r="P192" s="41"/>
      <c r="Q192" s="41"/>
      <c r="R192" s="41"/>
      <c r="S192" s="41"/>
      <c r="T192" s="41"/>
      <c r="U192" s="41"/>
      <c r="V192" s="41"/>
      <c r="W192" s="41"/>
      <c r="X192" s="41"/>
    </row>
    <row r="193" spans="1:24" hidden="1" x14ac:dyDescent="0.25">
      <c r="A193" s="51"/>
      <c r="B193" s="32" t="s">
        <v>182</v>
      </c>
      <c r="E193" s="41"/>
      <c r="F193" s="41"/>
      <c r="G193" s="33"/>
      <c r="H193" s="33"/>
      <c r="I193" s="33"/>
      <c r="J193" s="33"/>
      <c r="K193" s="33"/>
      <c r="L193" s="33">
        <v>-8</v>
      </c>
      <c r="M193" s="41"/>
      <c r="N193" s="41"/>
      <c r="O193" s="41"/>
      <c r="P193" s="41"/>
      <c r="Q193" s="41"/>
      <c r="R193" s="41"/>
      <c r="S193" s="41"/>
      <c r="T193" s="41"/>
      <c r="U193" s="41"/>
      <c r="V193" s="41"/>
      <c r="W193" s="41"/>
      <c r="X193" s="41"/>
    </row>
    <row r="194" spans="1:24" hidden="1" x14ac:dyDescent="0.25">
      <c r="A194" s="51"/>
      <c r="B194" s="38" t="s">
        <v>184</v>
      </c>
      <c r="E194" s="41"/>
      <c r="F194" s="41"/>
      <c r="G194" s="33"/>
      <c r="H194" s="33"/>
      <c r="I194" s="33"/>
      <c r="J194" s="33"/>
      <c r="K194" s="33"/>
      <c r="L194" s="33">
        <v>-4</v>
      </c>
      <c r="M194" s="41"/>
      <c r="N194" s="41"/>
      <c r="O194" s="41"/>
      <c r="P194" s="41"/>
      <c r="Q194" s="41"/>
      <c r="R194" s="41"/>
      <c r="S194" s="41"/>
      <c r="T194" s="41"/>
      <c r="U194" s="41"/>
      <c r="V194" s="41"/>
      <c r="W194" s="41"/>
      <c r="X194" s="41"/>
    </row>
    <row r="195" spans="1:24" hidden="1" x14ac:dyDescent="0.25">
      <c r="A195" s="51"/>
      <c r="B195" s="32" t="s">
        <v>186</v>
      </c>
      <c r="E195" s="41"/>
      <c r="F195" s="41"/>
      <c r="G195" s="33"/>
      <c r="H195" s="33"/>
      <c r="I195" s="33"/>
      <c r="J195" s="33"/>
      <c r="K195" s="33"/>
      <c r="L195" s="33">
        <v>0</v>
      </c>
      <c r="M195" s="41"/>
      <c r="N195" s="41"/>
      <c r="O195" s="41"/>
      <c r="P195" s="41"/>
      <c r="Q195" s="41"/>
      <c r="R195" s="41"/>
      <c r="S195" s="41"/>
      <c r="T195" s="41"/>
      <c r="U195" s="41"/>
      <c r="V195" s="41"/>
      <c r="W195" s="41"/>
      <c r="X195" s="41"/>
    </row>
    <row r="196" spans="1:24" hidden="1" x14ac:dyDescent="0.25">
      <c r="A196" s="51"/>
      <c r="B196" s="38" t="s">
        <v>188</v>
      </c>
      <c r="E196" s="41"/>
      <c r="F196" s="41"/>
      <c r="G196" s="33"/>
      <c r="H196" s="33"/>
      <c r="I196" s="33"/>
      <c r="J196" s="33"/>
      <c r="K196" s="33"/>
      <c r="L196" s="33">
        <v>-3</v>
      </c>
      <c r="M196" s="41"/>
      <c r="N196" s="41"/>
      <c r="O196" s="41"/>
      <c r="P196" s="41"/>
      <c r="Q196" s="41"/>
      <c r="R196" s="41"/>
      <c r="S196" s="41"/>
      <c r="T196" s="41"/>
      <c r="U196" s="41"/>
      <c r="V196" s="41"/>
      <c r="W196" s="41"/>
      <c r="X196" s="41"/>
    </row>
    <row r="197" spans="1:24" s="39" customFormat="1" hidden="1" x14ac:dyDescent="0.25">
      <c r="E197" s="40"/>
      <c r="F197" s="40"/>
      <c r="G197" s="40"/>
      <c r="H197" s="40"/>
      <c r="I197" s="40"/>
      <c r="J197" s="40"/>
      <c r="K197" s="40"/>
      <c r="L197" s="40"/>
      <c r="M197" s="40"/>
      <c r="N197" s="40"/>
      <c r="O197" s="40"/>
      <c r="P197" s="40"/>
      <c r="Q197" s="40"/>
      <c r="R197" s="40"/>
      <c r="S197" s="40"/>
      <c r="T197" s="40"/>
      <c r="U197" s="40"/>
      <c r="V197" s="40"/>
      <c r="W197" s="40"/>
      <c r="X197" s="40"/>
    </row>
    <row r="198" spans="1:24" ht="14.25" hidden="1" customHeight="1" x14ac:dyDescent="0.25">
      <c r="A198" s="51" t="s">
        <v>481</v>
      </c>
      <c r="B198" s="38" t="s">
        <v>166</v>
      </c>
      <c r="E198" s="34"/>
      <c r="F198" s="34"/>
      <c r="G198" s="33"/>
      <c r="H198" s="33"/>
      <c r="I198" s="33"/>
      <c r="J198" s="33"/>
      <c r="K198" s="33"/>
      <c r="L198" s="33">
        <v>-3</v>
      </c>
      <c r="M198" s="34"/>
      <c r="N198" s="34"/>
      <c r="O198" s="34"/>
      <c r="P198" s="34"/>
      <c r="Q198" s="34"/>
      <c r="R198" s="34"/>
      <c r="S198" s="34"/>
      <c r="T198" s="34"/>
      <c r="U198" s="34"/>
      <c r="V198" s="34"/>
      <c r="W198" s="34"/>
      <c r="X198" s="34"/>
    </row>
    <row r="199" spans="1:24" hidden="1" x14ac:dyDescent="0.25">
      <c r="A199" s="51"/>
      <c r="B199" s="38" t="s">
        <v>226</v>
      </c>
      <c r="C199" s="34"/>
      <c r="E199" s="34"/>
      <c r="F199" s="34"/>
      <c r="G199" s="33"/>
      <c r="H199" s="33"/>
      <c r="I199" s="33"/>
      <c r="J199" s="33"/>
      <c r="K199" s="33"/>
      <c r="L199" s="33">
        <v>0</v>
      </c>
      <c r="M199" s="34"/>
      <c r="N199" s="34"/>
      <c r="O199" s="34"/>
      <c r="P199" s="34"/>
      <c r="Q199" s="34"/>
      <c r="R199" s="34"/>
      <c r="S199" s="34"/>
      <c r="T199" s="34"/>
      <c r="U199" s="34"/>
      <c r="V199" s="34"/>
      <c r="W199" s="34"/>
      <c r="X199" s="34"/>
    </row>
    <row r="200" spans="1:24" hidden="1" x14ac:dyDescent="0.25">
      <c r="A200" s="51"/>
      <c r="B200" s="38" t="s">
        <v>227</v>
      </c>
      <c r="C200" s="34"/>
      <c r="E200" s="34"/>
      <c r="F200" s="34"/>
      <c r="G200" s="33"/>
      <c r="H200" s="33"/>
      <c r="I200" s="33"/>
      <c r="J200" s="33"/>
      <c r="K200" s="33"/>
      <c r="L200" s="33">
        <v>3</v>
      </c>
      <c r="M200" s="34"/>
      <c r="N200" s="34"/>
      <c r="O200" s="34"/>
      <c r="P200" s="34"/>
      <c r="Q200" s="34"/>
      <c r="R200" s="34"/>
      <c r="S200" s="34"/>
      <c r="T200" s="34"/>
      <c r="U200" s="34"/>
      <c r="V200" s="34"/>
      <c r="W200" s="34"/>
      <c r="X200" s="34"/>
    </row>
    <row r="201" spans="1:24" hidden="1" x14ac:dyDescent="0.25">
      <c r="A201" s="51"/>
      <c r="B201" s="32" t="s">
        <v>168</v>
      </c>
      <c r="C201" s="34"/>
      <c r="E201" s="34"/>
      <c r="F201" s="34"/>
      <c r="G201" s="33"/>
      <c r="H201" s="33"/>
      <c r="I201" s="33"/>
      <c r="J201" s="33"/>
      <c r="K201" s="33"/>
      <c r="L201" s="33">
        <v>0</v>
      </c>
      <c r="M201" s="34"/>
      <c r="N201" s="34"/>
      <c r="O201" s="34"/>
      <c r="P201" s="34"/>
      <c r="Q201" s="34"/>
      <c r="R201" s="34"/>
      <c r="S201" s="34"/>
      <c r="T201" s="34"/>
      <c r="U201" s="34"/>
      <c r="V201" s="34"/>
      <c r="W201" s="34"/>
      <c r="X201" s="34"/>
    </row>
    <row r="202" spans="1:24" hidden="1" x14ac:dyDescent="0.25">
      <c r="A202" s="51"/>
      <c r="B202" s="38" t="s">
        <v>170</v>
      </c>
      <c r="C202" s="34"/>
      <c r="E202" s="34"/>
      <c r="F202" s="34"/>
      <c r="G202" s="33"/>
      <c r="H202" s="33"/>
      <c r="I202" s="33"/>
      <c r="J202" s="33"/>
      <c r="K202" s="33"/>
      <c r="L202" s="33">
        <v>2</v>
      </c>
      <c r="M202" s="34"/>
      <c r="N202" s="34"/>
      <c r="O202" s="34"/>
      <c r="P202" s="34"/>
      <c r="Q202" s="34"/>
      <c r="R202" s="34"/>
      <c r="S202" s="34"/>
      <c r="T202" s="34"/>
      <c r="U202" s="34"/>
      <c r="V202" s="34"/>
      <c r="W202" s="34"/>
      <c r="X202" s="34"/>
    </row>
    <row r="203" spans="1:24" hidden="1" x14ac:dyDescent="0.25">
      <c r="A203" s="51"/>
      <c r="B203" s="32" t="s">
        <v>192</v>
      </c>
      <c r="C203" s="34"/>
      <c r="E203" s="34"/>
      <c r="F203" s="34"/>
      <c r="G203" s="33"/>
      <c r="H203" s="33"/>
      <c r="I203" s="33"/>
      <c r="J203" s="33"/>
      <c r="K203" s="33"/>
      <c r="L203" s="33">
        <v>0</v>
      </c>
      <c r="M203" s="34"/>
      <c r="N203" s="34"/>
      <c r="O203" s="34"/>
      <c r="P203" s="34"/>
      <c r="Q203" s="34"/>
      <c r="R203" s="34"/>
      <c r="S203" s="34"/>
      <c r="T203" s="34"/>
      <c r="U203" s="34"/>
      <c r="V203" s="34"/>
      <c r="W203" s="34"/>
      <c r="X203" s="34"/>
    </row>
    <row r="204" spans="1:24" hidden="1" x14ac:dyDescent="0.25">
      <c r="A204" s="51"/>
      <c r="B204" s="38" t="s">
        <v>172</v>
      </c>
      <c r="C204" s="34"/>
      <c r="E204" s="34"/>
      <c r="F204" s="34"/>
      <c r="G204" s="33"/>
      <c r="H204" s="33"/>
      <c r="I204" s="33"/>
      <c r="J204" s="33"/>
      <c r="K204" s="33"/>
      <c r="L204" s="33">
        <v>-2</v>
      </c>
      <c r="M204" s="34"/>
      <c r="N204" s="34"/>
      <c r="O204" s="34"/>
      <c r="P204" s="34"/>
      <c r="Q204" s="34"/>
      <c r="R204" s="34"/>
      <c r="S204" s="34"/>
      <c r="T204" s="34"/>
      <c r="U204" s="34"/>
      <c r="V204" s="34"/>
      <c r="W204" s="34"/>
      <c r="X204" s="34"/>
    </row>
    <row r="205" spans="1:24" hidden="1" x14ac:dyDescent="0.25">
      <c r="A205" s="51"/>
      <c r="B205" s="32" t="s">
        <v>174</v>
      </c>
      <c r="C205" s="34"/>
      <c r="E205" s="34"/>
      <c r="F205" s="34"/>
      <c r="G205" s="33"/>
      <c r="H205" s="33"/>
      <c r="I205" s="33"/>
      <c r="J205" s="33"/>
      <c r="K205" s="33"/>
      <c r="L205" s="33">
        <v>-4</v>
      </c>
      <c r="M205" s="34"/>
      <c r="N205" s="34"/>
      <c r="O205" s="34"/>
      <c r="P205" s="34"/>
      <c r="Q205" s="34"/>
      <c r="R205" s="34"/>
      <c r="S205" s="34"/>
      <c r="T205" s="34"/>
      <c r="U205" s="34"/>
      <c r="V205" s="34"/>
      <c r="W205" s="34"/>
      <c r="X205" s="34"/>
    </row>
    <row r="206" spans="1:24" hidden="1" x14ac:dyDescent="0.25">
      <c r="A206" s="51"/>
      <c r="B206" s="38" t="s">
        <v>176</v>
      </c>
      <c r="C206" s="34"/>
      <c r="E206" s="34"/>
      <c r="F206" s="34"/>
      <c r="G206" s="33"/>
      <c r="H206" s="33"/>
      <c r="I206" s="33"/>
      <c r="J206" s="33"/>
      <c r="K206" s="33"/>
      <c r="L206" s="33">
        <v>-6</v>
      </c>
      <c r="M206" s="34"/>
      <c r="N206" s="34"/>
      <c r="O206" s="34"/>
      <c r="P206" s="34"/>
      <c r="Q206" s="34"/>
      <c r="R206" s="34"/>
      <c r="S206" s="34"/>
      <c r="T206" s="34"/>
      <c r="U206" s="34"/>
      <c r="V206" s="34"/>
      <c r="W206" s="34"/>
      <c r="X206" s="34"/>
    </row>
    <row r="207" spans="1:24" hidden="1" x14ac:dyDescent="0.25">
      <c r="A207" s="51"/>
      <c r="B207" s="38" t="s">
        <v>467</v>
      </c>
      <c r="C207" s="34"/>
      <c r="E207" s="41"/>
      <c r="F207" s="41"/>
      <c r="G207" s="33"/>
      <c r="H207" s="33"/>
      <c r="I207" s="33"/>
      <c r="J207" s="33"/>
      <c r="K207" s="33"/>
      <c r="L207" s="33">
        <v>0</v>
      </c>
      <c r="M207" s="41"/>
      <c r="N207" s="41"/>
      <c r="O207" s="41"/>
      <c r="P207" s="41"/>
      <c r="Q207" s="41"/>
      <c r="R207" s="41"/>
      <c r="S207" s="41"/>
      <c r="T207" s="41"/>
      <c r="U207" s="41"/>
      <c r="V207" s="41"/>
      <c r="W207" s="41"/>
      <c r="X207" s="41"/>
    </row>
    <row r="208" spans="1:24" hidden="1" x14ac:dyDescent="0.25">
      <c r="A208" s="51"/>
      <c r="B208" s="32" t="s">
        <v>468</v>
      </c>
      <c r="C208" s="34"/>
      <c r="E208" s="41"/>
      <c r="F208" s="41"/>
      <c r="G208" s="33"/>
      <c r="H208" s="33"/>
      <c r="I208" s="33"/>
      <c r="J208" s="33"/>
      <c r="K208" s="33"/>
      <c r="L208" s="33">
        <v>0</v>
      </c>
      <c r="M208" s="41"/>
      <c r="N208" s="41"/>
      <c r="O208" s="41"/>
      <c r="P208" s="41"/>
      <c r="Q208" s="41"/>
      <c r="R208" s="41"/>
      <c r="S208" s="41"/>
      <c r="T208" s="41"/>
      <c r="U208" s="41"/>
      <c r="V208" s="41"/>
      <c r="W208" s="41"/>
      <c r="X208" s="41"/>
    </row>
    <row r="209" spans="1:24" hidden="1" x14ac:dyDescent="0.25">
      <c r="A209" s="51"/>
      <c r="B209" s="38" t="s">
        <v>178</v>
      </c>
      <c r="C209" s="34"/>
      <c r="E209" s="41"/>
      <c r="F209" s="41"/>
      <c r="G209" s="33"/>
      <c r="H209" s="33"/>
      <c r="I209" s="33"/>
      <c r="J209" s="33"/>
      <c r="K209" s="33"/>
      <c r="L209" s="33">
        <v>1</v>
      </c>
      <c r="M209" s="41"/>
      <c r="N209" s="41"/>
      <c r="O209" s="41"/>
      <c r="P209" s="41"/>
      <c r="Q209" s="41"/>
      <c r="R209" s="41"/>
      <c r="S209" s="41"/>
      <c r="T209" s="41"/>
      <c r="U209" s="41"/>
      <c r="V209" s="41"/>
      <c r="W209" s="41"/>
      <c r="X209" s="41"/>
    </row>
    <row r="210" spans="1:24" hidden="1" x14ac:dyDescent="0.25">
      <c r="A210" s="51"/>
      <c r="B210" s="38" t="s">
        <v>180</v>
      </c>
      <c r="E210" s="41"/>
      <c r="F210" s="41"/>
      <c r="G210" s="33"/>
      <c r="H210" s="33"/>
      <c r="I210" s="33"/>
      <c r="J210" s="33"/>
      <c r="K210" s="33"/>
      <c r="L210" s="33">
        <v>-1</v>
      </c>
      <c r="M210" s="41"/>
      <c r="N210" s="41"/>
      <c r="O210" s="41"/>
      <c r="P210" s="41"/>
      <c r="Q210" s="41"/>
      <c r="R210" s="41"/>
      <c r="S210" s="41"/>
      <c r="T210" s="41"/>
      <c r="U210" s="41"/>
      <c r="V210" s="41"/>
      <c r="W210" s="41"/>
      <c r="X210" s="41"/>
    </row>
    <row r="211" spans="1:24" hidden="1" x14ac:dyDescent="0.25">
      <c r="A211" s="51"/>
      <c r="B211" s="32" t="s">
        <v>228</v>
      </c>
      <c r="E211" s="41"/>
      <c r="F211" s="41"/>
      <c r="G211" s="33"/>
      <c r="H211" s="33"/>
      <c r="I211" s="33"/>
      <c r="J211" s="33"/>
      <c r="K211" s="33"/>
      <c r="L211" s="33">
        <v>0</v>
      </c>
      <c r="M211" s="41"/>
      <c r="N211" s="41"/>
      <c r="O211" s="41"/>
      <c r="P211" s="41"/>
      <c r="Q211" s="41"/>
      <c r="R211" s="41"/>
      <c r="S211" s="41"/>
      <c r="T211" s="41"/>
      <c r="U211" s="41"/>
      <c r="V211" s="41"/>
      <c r="W211" s="41"/>
      <c r="X211" s="41"/>
    </row>
    <row r="212" spans="1:24" hidden="1" x14ac:dyDescent="0.25">
      <c r="A212" s="51"/>
      <c r="B212" s="32" t="s">
        <v>182</v>
      </c>
      <c r="E212" s="41"/>
      <c r="F212" s="41"/>
      <c r="G212" s="33"/>
      <c r="H212" s="33"/>
      <c r="I212" s="33"/>
      <c r="J212" s="33"/>
      <c r="K212" s="33"/>
      <c r="L212" s="33">
        <v>-8</v>
      </c>
      <c r="M212" s="41"/>
      <c r="N212" s="41"/>
      <c r="O212" s="41"/>
      <c r="P212" s="41"/>
      <c r="Q212" s="41"/>
      <c r="R212" s="41"/>
      <c r="S212" s="41"/>
      <c r="T212" s="41"/>
      <c r="U212" s="41"/>
      <c r="V212" s="41"/>
      <c r="W212" s="41"/>
      <c r="X212" s="41"/>
    </row>
    <row r="213" spans="1:24" hidden="1" x14ac:dyDescent="0.25">
      <c r="A213" s="51"/>
      <c r="B213" s="38" t="s">
        <v>184</v>
      </c>
      <c r="E213" s="41"/>
      <c r="F213" s="41"/>
      <c r="G213" s="33"/>
      <c r="H213" s="33"/>
      <c r="I213" s="33"/>
      <c r="J213" s="33"/>
      <c r="K213" s="33"/>
      <c r="L213" s="33">
        <v>0</v>
      </c>
      <c r="M213" s="41"/>
      <c r="N213" s="41"/>
      <c r="O213" s="41"/>
      <c r="P213" s="41"/>
      <c r="Q213" s="41"/>
      <c r="R213" s="41"/>
      <c r="S213" s="41"/>
      <c r="T213" s="41"/>
      <c r="U213" s="41"/>
      <c r="V213" s="41"/>
      <c r="W213" s="41"/>
      <c r="X213" s="41"/>
    </row>
    <row r="214" spans="1:24" hidden="1" x14ac:dyDescent="0.25">
      <c r="A214" s="51"/>
      <c r="B214" s="32" t="s">
        <v>186</v>
      </c>
      <c r="E214" s="41"/>
      <c r="F214" s="41"/>
      <c r="G214" s="33"/>
      <c r="H214" s="33"/>
      <c r="I214" s="33"/>
      <c r="J214" s="33"/>
      <c r="K214" s="33"/>
      <c r="L214" s="33">
        <v>-7</v>
      </c>
      <c r="M214" s="41"/>
      <c r="N214" s="41"/>
      <c r="O214" s="41"/>
      <c r="P214" s="41"/>
      <c r="Q214" s="41"/>
      <c r="R214" s="41"/>
      <c r="S214" s="41"/>
      <c r="T214" s="41"/>
      <c r="U214" s="41"/>
      <c r="V214" s="41"/>
      <c r="W214" s="41"/>
      <c r="X214" s="41"/>
    </row>
    <row r="215" spans="1:24" hidden="1" x14ac:dyDescent="0.25">
      <c r="A215" s="51"/>
      <c r="B215" s="38" t="s">
        <v>188</v>
      </c>
      <c r="E215" s="34"/>
      <c r="F215" s="34"/>
      <c r="G215" s="33"/>
      <c r="H215" s="33"/>
      <c r="I215" s="33"/>
      <c r="J215" s="33"/>
      <c r="K215" s="33"/>
      <c r="L215" s="33">
        <v>-5</v>
      </c>
      <c r="M215" s="34"/>
      <c r="N215" s="34"/>
      <c r="O215" s="34"/>
      <c r="P215" s="34"/>
      <c r="Q215" s="34"/>
      <c r="R215" s="34"/>
      <c r="S215" s="34"/>
      <c r="T215" s="34"/>
      <c r="U215" s="34"/>
      <c r="V215" s="34"/>
      <c r="W215" s="34"/>
      <c r="X215" s="34"/>
    </row>
    <row r="216" spans="1:24" s="39" customFormat="1" hidden="1" x14ac:dyDescent="0.25">
      <c r="E216" s="40"/>
      <c r="F216" s="40"/>
      <c r="G216" s="40"/>
      <c r="H216" s="40"/>
      <c r="I216" s="40"/>
      <c r="J216" s="40"/>
      <c r="K216" s="40"/>
      <c r="L216" s="40"/>
      <c r="M216" s="40"/>
      <c r="N216" s="40"/>
      <c r="O216" s="40"/>
      <c r="P216" s="40"/>
      <c r="Q216" s="40"/>
      <c r="R216" s="40"/>
      <c r="S216" s="40"/>
      <c r="T216" s="40"/>
      <c r="U216" s="40"/>
      <c r="V216" s="40"/>
      <c r="W216" s="40"/>
      <c r="X216" s="40"/>
    </row>
    <row r="217" spans="1:24" x14ac:dyDescent="0.25">
      <c r="E217" s="34"/>
      <c r="F217" s="34"/>
      <c r="G217" s="34"/>
      <c r="H217" s="34"/>
      <c r="I217" s="34"/>
      <c r="J217" s="34"/>
      <c r="K217" s="34"/>
      <c r="L217" s="34"/>
      <c r="M217" s="34"/>
      <c r="N217" s="34"/>
      <c r="O217" s="34"/>
      <c r="P217" s="34"/>
      <c r="Q217" s="34"/>
      <c r="R217" s="34"/>
      <c r="S217" s="34"/>
      <c r="T217" s="34"/>
      <c r="U217" s="34"/>
      <c r="V217" s="34"/>
      <c r="W217" s="34"/>
      <c r="X217" s="34"/>
    </row>
    <row r="218" spans="1:24" x14ac:dyDescent="0.25">
      <c r="E218" s="34"/>
      <c r="F218" s="34"/>
      <c r="G218" s="34"/>
      <c r="H218" s="34"/>
      <c r="I218" s="34"/>
      <c r="J218" s="34"/>
      <c r="K218" s="34"/>
      <c r="L218" s="34"/>
      <c r="M218" s="34"/>
      <c r="N218" s="34"/>
      <c r="O218" s="34"/>
      <c r="P218" s="34"/>
      <c r="Q218" s="34"/>
      <c r="R218" s="34"/>
      <c r="S218" s="34"/>
      <c r="T218" s="34"/>
      <c r="U218" s="34"/>
      <c r="V218" s="34"/>
      <c r="W218" s="34"/>
      <c r="X218" s="34"/>
    </row>
    <row r="219" spans="1:24" x14ac:dyDescent="0.25">
      <c r="E219" s="34"/>
      <c r="F219" s="34"/>
      <c r="G219" s="34"/>
      <c r="H219" s="34"/>
      <c r="I219" s="34"/>
      <c r="J219" s="34"/>
      <c r="K219" s="34"/>
      <c r="L219" s="34"/>
      <c r="M219" s="34"/>
      <c r="N219" s="34"/>
      <c r="O219" s="34"/>
      <c r="P219" s="34"/>
      <c r="Q219" s="34"/>
      <c r="R219" s="34"/>
      <c r="S219" s="34"/>
      <c r="T219" s="34"/>
      <c r="U219" s="34"/>
      <c r="V219" s="34"/>
      <c r="W219" s="34"/>
      <c r="X219" s="34"/>
    </row>
    <row r="220" spans="1:24" x14ac:dyDescent="0.25">
      <c r="E220" s="34"/>
      <c r="F220" s="34"/>
      <c r="G220" s="34"/>
      <c r="H220" s="34"/>
      <c r="I220" s="34"/>
      <c r="J220" s="34"/>
      <c r="K220" s="34"/>
      <c r="L220" s="34"/>
      <c r="M220" s="34"/>
      <c r="N220" s="34"/>
      <c r="O220" s="34"/>
      <c r="P220" s="34"/>
      <c r="Q220" s="34"/>
      <c r="R220" s="34"/>
      <c r="S220" s="34"/>
      <c r="T220" s="34"/>
      <c r="U220" s="34"/>
      <c r="V220" s="34"/>
      <c r="W220" s="34"/>
      <c r="X220" s="34"/>
    </row>
    <row r="221" spans="1:24" x14ac:dyDescent="0.25">
      <c r="E221" s="34"/>
      <c r="F221" s="34"/>
      <c r="G221" s="34"/>
      <c r="H221" s="34"/>
      <c r="I221" s="34"/>
      <c r="J221" s="34"/>
      <c r="K221" s="34"/>
      <c r="L221" s="34"/>
      <c r="M221" s="34"/>
      <c r="N221" s="34"/>
      <c r="O221" s="34"/>
      <c r="P221" s="34"/>
      <c r="Q221" s="34"/>
      <c r="R221" s="34"/>
      <c r="S221" s="34"/>
      <c r="T221" s="34"/>
      <c r="U221" s="34"/>
      <c r="V221" s="34"/>
      <c r="W221" s="34"/>
      <c r="X221" s="34"/>
    </row>
    <row r="222" spans="1:24" x14ac:dyDescent="0.25">
      <c r="E222" s="34"/>
      <c r="F222" s="34"/>
      <c r="G222" s="34"/>
      <c r="H222" s="34"/>
      <c r="I222" s="34"/>
      <c r="J222" s="34"/>
      <c r="K222" s="34"/>
      <c r="L222" s="34"/>
      <c r="M222" s="34"/>
      <c r="N222" s="34"/>
      <c r="O222" s="34"/>
      <c r="P222" s="34"/>
      <c r="Q222" s="34"/>
      <c r="R222" s="34"/>
      <c r="S222" s="34"/>
      <c r="T222" s="34"/>
      <c r="U222" s="34"/>
      <c r="V222" s="34"/>
      <c r="W222" s="34"/>
      <c r="X222" s="34"/>
    </row>
    <row r="223" spans="1:24" x14ac:dyDescent="0.25">
      <c r="E223" s="34"/>
      <c r="F223" s="34"/>
      <c r="G223" s="34"/>
      <c r="H223" s="34"/>
      <c r="I223" s="34"/>
      <c r="J223" s="34"/>
      <c r="K223" s="34"/>
      <c r="L223" s="34"/>
      <c r="M223" s="34"/>
      <c r="N223" s="34"/>
      <c r="O223" s="34"/>
      <c r="P223" s="34"/>
      <c r="Q223" s="34"/>
      <c r="R223" s="34"/>
      <c r="S223" s="34"/>
      <c r="T223" s="34"/>
      <c r="U223" s="34"/>
      <c r="V223" s="34"/>
      <c r="W223" s="34"/>
      <c r="X223" s="34"/>
    </row>
    <row r="224" spans="1:24" x14ac:dyDescent="0.25">
      <c r="E224" s="34"/>
      <c r="F224" s="34"/>
      <c r="G224" s="34"/>
      <c r="H224" s="34"/>
      <c r="I224" s="34"/>
      <c r="J224" s="34"/>
      <c r="K224" s="34"/>
      <c r="L224" s="34"/>
      <c r="M224" s="34"/>
      <c r="N224" s="34"/>
      <c r="O224" s="34"/>
      <c r="P224" s="34"/>
      <c r="Q224" s="34"/>
      <c r="R224" s="34"/>
      <c r="S224" s="34"/>
      <c r="T224" s="34"/>
      <c r="U224" s="34"/>
      <c r="V224" s="34"/>
      <c r="W224" s="34"/>
      <c r="X224" s="34"/>
    </row>
    <row r="225" spans="5:24" x14ac:dyDescent="0.25">
      <c r="E225" s="34"/>
      <c r="F225" s="34"/>
      <c r="G225" s="34"/>
      <c r="H225" s="34"/>
      <c r="I225" s="34"/>
      <c r="J225" s="34"/>
      <c r="K225" s="34"/>
      <c r="L225" s="34"/>
      <c r="M225" s="34"/>
      <c r="N225" s="34"/>
      <c r="O225" s="34"/>
      <c r="P225" s="34"/>
      <c r="Q225" s="34"/>
      <c r="R225" s="34"/>
      <c r="S225" s="34"/>
      <c r="T225" s="34"/>
      <c r="U225" s="34"/>
      <c r="V225" s="34"/>
      <c r="W225" s="34"/>
      <c r="X225" s="34"/>
    </row>
    <row r="226" spans="5:24" x14ac:dyDescent="0.25">
      <c r="E226" s="34"/>
      <c r="F226" s="34"/>
      <c r="G226" s="34"/>
      <c r="H226" s="34"/>
      <c r="I226" s="34"/>
      <c r="J226" s="34"/>
      <c r="K226" s="34"/>
      <c r="L226" s="34"/>
      <c r="M226" s="34"/>
      <c r="N226" s="34"/>
      <c r="O226" s="34"/>
      <c r="P226" s="34"/>
      <c r="Q226" s="34"/>
      <c r="R226" s="34"/>
      <c r="S226" s="34"/>
      <c r="T226" s="34"/>
      <c r="U226" s="34"/>
      <c r="V226" s="34"/>
      <c r="W226" s="34"/>
      <c r="X226" s="34"/>
    </row>
  </sheetData>
  <mergeCells count="11">
    <mergeCell ref="A198:A215"/>
    <mergeCell ref="A7:A24"/>
    <mergeCell ref="A26:A43"/>
    <mergeCell ref="A45:A62"/>
    <mergeCell ref="A65:A82"/>
    <mergeCell ref="A84:A101"/>
    <mergeCell ref="A103:A120"/>
    <mergeCell ref="A122:A139"/>
    <mergeCell ref="A141:A158"/>
    <mergeCell ref="A160:A177"/>
    <mergeCell ref="A179:A196"/>
  </mergeCells>
  <conditionalFormatting sqref="D7:D24">
    <cfRule type="top10" dxfId="717" priority="734" percent="1" rank="25"/>
    <cfRule type="top10" dxfId="716" priority="733" percent="1" bottom="1" rank="25"/>
  </conditionalFormatting>
  <conditionalFormatting sqref="D26:D43">
    <cfRule type="top10" dxfId="715" priority="332" percent="1" rank="25"/>
    <cfRule type="top10" dxfId="714" priority="331" percent="1" bottom="1" rank="25"/>
  </conditionalFormatting>
  <conditionalFormatting sqref="D45:D62">
    <cfRule type="top10" dxfId="713" priority="316" percent="1" bottom="1" rank="25"/>
    <cfRule type="top10" dxfId="712" priority="317" percent="1" rank="25"/>
  </conditionalFormatting>
  <conditionalFormatting sqref="D65:D82">
    <cfRule type="top10" dxfId="711" priority="314" percent="1" bottom="1" rank="25"/>
    <cfRule type="top10" dxfId="710" priority="315" percent="1" rank="25"/>
  </conditionalFormatting>
  <conditionalFormatting sqref="E7:E24">
    <cfRule type="top10" dxfId="709" priority="737" percent="1" bottom="1" rank="25"/>
    <cfRule type="top10" dxfId="708" priority="738" percent="1" rank="25"/>
  </conditionalFormatting>
  <conditionalFormatting sqref="E26">
    <cfRule type="top10" dxfId="707" priority="328" percent="1" rank="25"/>
    <cfRule type="top10" dxfId="706" priority="327" percent="1" bottom="1" rank="25"/>
  </conditionalFormatting>
  <conditionalFormatting sqref="E27:E28">
    <cfRule type="top10" dxfId="705" priority="351" percent="1" bottom="1" rank="25"/>
    <cfRule type="top10" dxfId="704" priority="352" percent="1" rank="25"/>
  </conditionalFormatting>
  <conditionalFormatting sqref="E29:E30">
    <cfRule type="top10" dxfId="703" priority="374" percent="1" rank="25"/>
    <cfRule type="top10" dxfId="702" priority="373" percent="1" bottom="1" rank="25"/>
  </conditionalFormatting>
  <conditionalFormatting sqref="E31:E32">
    <cfRule type="top10" dxfId="701" priority="395" percent="1" bottom="1" rank="25"/>
    <cfRule type="top10" dxfId="700" priority="396" percent="1" rank="25"/>
  </conditionalFormatting>
  <conditionalFormatting sqref="E33:E34">
    <cfRule type="top10" dxfId="699" priority="418" percent="1" rank="25"/>
    <cfRule type="top10" dxfId="698" priority="417" percent="1" bottom="1" rank="25"/>
  </conditionalFormatting>
  <conditionalFormatting sqref="E35:E36">
    <cfRule type="top10" dxfId="697" priority="440" percent="1" rank="25"/>
    <cfRule type="top10" dxfId="696" priority="439" percent="1" bottom="1" rank="25"/>
  </conditionalFormatting>
  <conditionalFormatting sqref="E37:E38">
    <cfRule type="top10" dxfId="695" priority="462" percent="1" rank="25"/>
    <cfRule type="top10" dxfId="694" priority="461" percent="1" bottom="1" rank="25"/>
  </conditionalFormatting>
  <conditionalFormatting sqref="E39:E40">
    <cfRule type="top10" dxfId="693" priority="483" percent="1" bottom="1" rank="25"/>
    <cfRule type="top10" dxfId="692" priority="484" percent="1" rank="25"/>
  </conditionalFormatting>
  <conditionalFormatting sqref="E41">
    <cfRule type="top10" dxfId="691" priority="506" percent="1" rank="25"/>
    <cfRule type="top10" dxfId="690" priority="505" percent="1" bottom="1" rank="25"/>
  </conditionalFormatting>
  <conditionalFormatting sqref="E42:E43">
    <cfRule type="top10" dxfId="689" priority="528" percent="1" rank="25"/>
    <cfRule type="top10" dxfId="688" priority="527" percent="1" bottom="1" rank="25"/>
  </conditionalFormatting>
  <conditionalFormatting sqref="E45:F62 E65:F82 E84:F101 E103:F120 E122:F139 E141:F158 E160:F177 E179:F196 E198:F215">
    <cfRule type="cellIs" dxfId="687" priority="720" operator="lessThan">
      <formula>0</formula>
    </cfRule>
  </conditionalFormatting>
  <conditionalFormatting sqref="E102:L102">
    <cfRule type="cellIs" dxfId="686" priority="608" operator="lessThan">
      <formula>0</formula>
    </cfRule>
  </conditionalFormatting>
  <conditionalFormatting sqref="E121:L121">
    <cfRule type="cellIs" dxfId="685" priority="607" operator="lessThan">
      <formula>0</formula>
    </cfRule>
  </conditionalFormatting>
  <conditionalFormatting sqref="E140:L140">
    <cfRule type="cellIs" dxfId="684" priority="606" operator="lessThan">
      <formula>0</formula>
    </cfRule>
  </conditionalFormatting>
  <conditionalFormatting sqref="E159:L159">
    <cfRule type="cellIs" dxfId="683" priority="605" operator="lessThan">
      <formula>0</formula>
    </cfRule>
  </conditionalFormatting>
  <conditionalFormatting sqref="E178:L178">
    <cfRule type="cellIs" dxfId="682" priority="604" operator="lessThan">
      <formula>0</formula>
    </cfRule>
  </conditionalFormatting>
  <conditionalFormatting sqref="E197:L197">
    <cfRule type="cellIs" dxfId="681" priority="603" operator="lessThan">
      <formula>0</formula>
    </cfRule>
  </conditionalFormatting>
  <conditionalFormatting sqref="E216:L226">
    <cfRule type="cellIs" dxfId="680" priority="602" operator="lessThan">
      <formula>0</formula>
    </cfRule>
  </conditionalFormatting>
  <conditionalFormatting sqref="E83:S83">
    <cfRule type="cellIs" dxfId="679" priority="559" operator="lessThan">
      <formula>0</formula>
    </cfRule>
  </conditionalFormatting>
  <conditionalFormatting sqref="E25:X25">
    <cfRule type="cellIs" dxfId="678" priority="318" operator="lessThan">
      <formula>0</formula>
    </cfRule>
  </conditionalFormatting>
  <conditionalFormatting sqref="E44:X44">
    <cfRule type="cellIs" dxfId="677" priority="547" operator="lessThan">
      <formula>0</formula>
    </cfRule>
  </conditionalFormatting>
  <conditionalFormatting sqref="E63:BA63">
    <cfRule type="cellIs" dxfId="676" priority="217" operator="lessThan">
      <formula>0</formula>
    </cfRule>
  </conditionalFormatting>
  <conditionalFormatting sqref="F7:F24">
    <cfRule type="top10" dxfId="675" priority="735" percent="1" bottom="1" rank="25"/>
    <cfRule type="top10" dxfId="674" priority="736" percent="1" rank="25"/>
  </conditionalFormatting>
  <conditionalFormatting sqref="F26">
    <cfRule type="top10" dxfId="673" priority="330" percent="1" rank="25"/>
    <cfRule type="top10" dxfId="672" priority="329" percent="1" bottom="1" rank="25"/>
  </conditionalFormatting>
  <conditionalFormatting sqref="F27:F28">
    <cfRule type="top10" dxfId="671" priority="353" percent="1" bottom="1" rank="25"/>
    <cfRule type="top10" dxfId="670" priority="354" percent="1" rank="25"/>
  </conditionalFormatting>
  <conditionalFormatting sqref="F29:F30">
    <cfRule type="top10" dxfId="669" priority="375" percent="1" bottom="1" rank="25"/>
    <cfRule type="top10" dxfId="668" priority="376" percent="1" rank="25"/>
  </conditionalFormatting>
  <conditionalFormatting sqref="F31:F32">
    <cfRule type="top10" dxfId="667" priority="398" percent="1" rank="25"/>
    <cfRule type="top10" dxfId="666" priority="397" percent="1" bottom="1" rank="25"/>
  </conditionalFormatting>
  <conditionalFormatting sqref="F33:F34">
    <cfRule type="top10" dxfId="665" priority="419" percent="1" bottom="1" rank="25"/>
    <cfRule type="top10" dxfId="664" priority="420" percent="1" rank="25"/>
  </conditionalFormatting>
  <conditionalFormatting sqref="F35:F36">
    <cfRule type="top10" dxfId="663" priority="441" percent="1" bottom="1" rank="25"/>
    <cfRule type="top10" dxfId="662" priority="442" percent="1" rank="25"/>
  </conditionalFormatting>
  <conditionalFormatting sqref="F37:F38">
    <cfRule type="top10" dxfId="661" priority="464" percent="1" rank="25"/>
    <cfRule type="top10" dxfId="660" priority="463" percent="1" bottom="1" rank="25"/>
  </conditionalFormatting>
  <conditionalFormatting sqref="F39:F40">
    <cfRule type="top10" dxfId="659" priority="486" percent="1" rank="25"/>
    <cfRule type="top10" dxfId="658" priority="485" percent="1" bottom="1" rank="25"/>
  </conditionalFormatting>
  <conditionalFormatting sqref="F41">
    <cfRule type="top10" dxfId="657" priority="508" percent="1" rank="25"/>
    <cfRule type="top10" dxfId="656" priority="507" percent="1" bottom="1" rank="25"/>
  </conditionalFormatting>
  <conditionalFormatting sqref="F42:F43">
    <cfRule type="top10" dxfId="655" priority="530" percent="1" rank="25"/>
    <cfRule type="top10" dxfId="654" priority="529" percent="1" bottom="1" rank="25"/>
  </conditionalFormatting>
  <conditionalFormatting sqref="G7:G24">
    <cfRule type="top10" dxfId="653" priority="721" percent="1" bottom="1" rank="25"/>
    <cfRule type="top10" dxfId="652" priority="722" percent="1" rank="25"/>
  </conditionalFormatting>
  <conditionalFormatting sqref="G26">
    <cfRule type="top10" dxfId="651" priority="343" percent="1" bottom="1" rank="25"/>
    <cfRule type="top10" dxfId="650" priority="344" percent="1" rank="25"/>
  </conditionalFormatting>
  <conditionalFormatting sqref="G27:G28">
    <cfRule type="top10" dxfId="649" priority="366" percent="1" rank="25"/>
    <cfRule type="top10" dxfId="648" priority="365" percent="1" bottom="1" rank="25"/>
  </conditionalFormatting>
  <conditionalFormatting sqref="G29:G30">
    <cfRule type="top10" dxfId="647" priority="388" percent="1" rank="25"/>
    <cfRule type="top10" dxfId="646" priority="387" percent="1" bottom="1" rank="25"/>
  </conditionalFormatting>
  <conditionalFormatting sqref="G31:G32">
    <cfRule type="top10" dxfId="645" priority="409" percent="1" bottom="1" rank="25"/>
    <cfRule type="top10" dxfId="644" priority="410" percent="1" rank="25"/>
  </conditionalFormatting>
  <conditionalFormatting sqref="G33:G34">
    <cfRule type="top10" dxfId="643" priority="431" percent="1" bottom="1" rank="25"/>
    <cfRule type="top10" dxfId="642" priority="432" percent="1" rank="25"/>
  </conditionalFormatting>
  <conditionalFormatting sqref="G35:G36">
    <cfRule type="top10" dxfId="641" priority="453" percent="1" bottom="1" rank="25"/>
    <cfRule type="top10" dxfId="640" priority="454" percent="1" rank="25"/>
  </conditionalFormatting>
  <conditionalFormatting sqref="G37:G38">
    <cfRule type="top10" dxfId="639" priority="476" percent="1" rank="25"/>
    <cfRule type="top10" dxfId="638" priority="475" percent="1" bottom="1" rank="25"/>
  </conditionalFormatting>
  <conditionalFormatting sqref="G39:G40">
    <cfRule type="top10" dxfId="637" priority="498" percent="1" rank="25"/>
    <cfRule type="top10" dxfId="636" priority="497" percent="1" bottom="1" rank="25"/>
  </conditionalFormatting>
  <conditionalFormatting sqref="G41">
    <cfRule type="top10" dxfId="635" priority="519" percent="1" bottom="1" rank="25"/>
    <cfRule type="top10" dxfId="634" priority="520" percent="1" rank="25"/>
  </conditionalFormatting>
  <conditionalFormatting sqref="G42:G43">
    <cfRule type="top10" dxfId="633" priority="542" percent="1" rank="25"/>
    <cfRule type="top10" dxfId="632" priority="541" percent="1" bottom="1" rank="25"/>
  </conditionalFormatting>
  <conditionalFormatting sqref="G45:G62">
    <cfRule type="top10" dxfId="631" priority="718" percent="1" bottom="1" rank="25"/>
    <cfRule type="top10" dxfId="630" priority="719" percent="1" rank="25"/>
  </conditionalFormatting>
  <conditionalFormatting sqref="G65:G82">
    <cfRule type="top10" dxfId="629" priority="709" percent="1" rank="25"/>
    <cfRule type="top10" dxfId="628" priority="708" percent="1" bottom="1" rank="25"/>
  </conditionalFormatting>
  <conditionalFormatting sqref="G84:G101">
    <cfRule type="top10" dxfId="627" priority="699" percent="1" rank="25"/>
    <cfRule type="top10" dxfId="626" priority="698" percent="1" bottom="1" rank="25"/>
  </conditionalFormatting>
  <conditionalFormatting sqref="G103:G120">
    <cfRule type="top10" dxfId="625" priority="688" percent="1" bottom="1" rank="25"/>
    <cfRule type="top10" dxfId="624" priority="689" percent="1" rank="25"/>
  </conditionalFormatting>
  <conditionalFormatting sqref="G122:G139">
    <cfRule type="top10" dxfId="623" priority="678" percent="1" bottom="1" rank="25"/>
    <cfRule type="top10" dxfId="622" priority="679" percent="1" rank="25"/>
  </conditionalFormatting>
  <conditionalFormatting sqref="G141:G158">
    <cfRule type="top10" dxfId="621" priority="669" percent="1" rank="25"/>
    <cfRule type="top10" dxfId="620" priority="668" percent="1" bottom="1" rank="25"/>
  </conditionalFormatting>
  <conditionalFormatting sqref="G160:G177">
    <cfRule type="top10" dxfId="619" priority="658" percent="1" bottom="1" rank="25"/>
    <cfRule type="top10" dxfId="618" priority="659" percent="1" rank="25"/>
  </conditionalFormatting>
  <conditionalFormatting sqref="G179:G196">
    <cfRule type="top10" dxfId="617" priority="648" percent="1" bottom="1" rank="25"/>
    <cfRule type="top10" dxfId="616" priority="649" percent="1" rank="25"/>
  </conditionalFormatting>
  <conditionalFormatting sqref="G198:G215">
    <cfRule type="top10" dxfId="615" priority="638" percent="1" bottom="1" rank="25"/>
    <cfRule type="top10" dxfId="614" priority="639" percent="1" rank="25"/>
  </conditionalFormatting>
  <conditionalFormatting sqref="H7:H24">
    <cfRule type="top10" dxfId="613" priority="724" percent="1" rank="25"/>
    <cfRule type="top10" dxfId="612" priority="723" percent="1" bottom="1" rank="25"/>
  </conditionalFormatting>
  <conditionalFormatting sqref="H26">
    <cfRule type="top10" dxfId="611" priority="341" percent="1" bottom="1" rank="25"/>
    <cfRule type="top10" dxfId="610" priority="342" percent="1" rank="25"/>
  </conditionalFormatting>
  <conditionalFormatting sqref="H27:H28">
    <cfRule type="top10" dxfId="609" priority="364" percent="1" rank="25"/>
    <cfRule type="top10" dxfId="608" priority="363" percent="1" bottom="1" rank="25"/>
  </conditionalFormatting>
  <conditionalFormatting sqref="H29:H30">
    <cfRule type="top10" dxfId="607" priority="386" percent="1" rank="25"/>
    <cfRule type="top10" dxfId="606" priority="385" percent="1" bottom="1" rank="25"/>
  </conditionalFormatting>
  <conditionalFormatting sqref="H31:H32">
    <cfRule type="top10" dxfId="605" priority="408" percent="1" rank="25"/>
    <cfRule type="top10" dxfId="604" priority="407" percent="1" bottom="1" rank="25"/>
  </conditionalFormatting>
  <conditionalFormatting sqref="H33:H34">
    <cfRule type="top10" dxfId="603" priority="430" percent="1" rank="25"/>
    <cfRule type="top10" dxfId="602" priority="429" percent="1" bottom="1" rank="25"/>
  </conditionalFormatting>
  <conditionalFormatting sqref="H35:H36">
    <cfRule type="top10" dxfId="601" priority="452" percent="1" rank="25"/>
    <cfRule type="top10" dxfId="600" priority="451" percent="1" bottom="1" rank="25"/>
  </conditionalFormatting>
  <conditionalFormatting sqref="H37:H38">
    <cfRule type="top10" dxfId="599" priority="473" percent="1" bottom="1" rank="25"/>
    <cfRule type="top10" dxfId="598" priority="474" percent="1" rank="25"/>
  </conditionalFormatting>
  <conditionalFormatting sqref="H39:H40">
    <cfRule type="top10" dxfId="597" priority="495" percent="1" bottom="1" rank="25"/>
    <cfRule type="top10" dxfId="596" priority="496" percent="1" rank="25"/>
  </conditionalFormatting>
  <conditionalFormatting sqref="H41">
    <cfRule type="top10" dxfId="595" priority="517" percent="1" bottom="1" rank="25"/>
    <cfRule type="top10" dxfId="594" priority="518" percent="1" rank="25"/>
  </conditionalFormatting>
  <conditionalFormatting sqref="H42:H43">
    <cfRule type="top10" dxfId="593" priority="539" percent="1" bottom="1" rank="25"/>
    <cfRule type="top10" dxfId="592" priority="540" percent="1" rank="25"/>
  </conditionalFormatting>
  <conditionalFormatting sqref="H45:H62">
    <cfRule type="top10" dxfId="591" priority="717" percent="1" rank="25"/>
    <cfRule type="top10" dxfId="590" priority="716" percent="1" bottom="1" rank="25"/>
  </conditionalFormatting>
  <conditionalFormatting sqref="H65:H82">
    <cfRule type="top10" dxfId="589" priority="706" percent="1" bottom="1" rank="25"/>
    <cfRule type="top10" dxfId="588" priority="707" percent="1" rank="25"/>
  </conditionalFormatting>
  <conditionalFormatting sqref="H84:H101">
    <cfRule type="top10" dxfId="587" priority="697" percent="1" rank="25"/>
    <cfRule type="top10" dxfId="586" priority="696" percent="1" bottom="1" rank="25"/>
  </conditionalFormatting>
  <conditionalFormatting sqref="H103:H120">
    <cfRule type="top10" dxfId="585" priority="687" percent="1" rank="25"/>
    <cfRule type="top10" dxfId="584" priority="686" percent="1" bottom="1" rank="25"/>
  </conditionalFormatting>
  <conditionalFormatting sqref="H122:H139">
    <cfRule type="top10" dxfId="583" priority="676" percent="1" bottom="1" rank="25"/>
    <cfRule type="top10" dxfId="582" priority="677" percent="1" rank="25"/>
  </conditionalFormatting>
  <conditionalFormatting sqref="H141:H158">
    <cfRule type="top10" dxfId="581" priority="667" percent="1" rank="25"/>
    <cfRule type="top10" dxfId="580" priority="666" percent="1" bottom="1" rank="25"/>
  </conditionalFormatting>
  <conditionalFormatting sqref="H160:H177">
    <cfRule type="top10" dxfId="579" priority="657" percent="1" rank="25"/>
    <cfRule type="top10" dxfId="578" priority="656" percent="1" bottom="1" rank="25"/>
  </conditionalFormatting>
  <conditionalFormatting sqref="H179:H196">
    <cfRule type="top10" dxfId="577" priority="646" percent="1" bottom="1" rank="25"/>
    <cfRule type="top10" dxfId="576" priority="647" percent="1" rank="25"/>
  </conditionalFormatting>
  <conditionalFormatting sqref="H198:H215">
    <cfRule type="top10" dxfId="575" priority="636" percent="1" bottom="1" rank="25"/>
    <cfRule type="top10" dxfId="574" priority="637" percent="1" rank="25"/>
  </conditionalFormatting>
  <conditionalFormatting sqref="I7:I24">
    <cfRule type="top10" dxfId="573" priority="726" percent="1" rank="25"/>
    <cfRule type="top10" dxfId="572" priority="725" percent="1" bottom="1" rank="25"/>
  </conditionalFormatting>
  <conditionalFormatting sqref="I26">
    <cfRule type="top10" dxfId="571" priority="340" percent="1" rank="25"/>
    <cfRule type="top10" dxfId="570" priority="339" percent="1" bottom="1" rank="25"/>
  </conditionalFormatting>
  <conditionalFormatting sqref="I27:I28">
    <cfRule type="top10" dxfId="569" priority="361" percent="1" bottom="1" rank="25"/>
    <cfRule type="top10" dxfId="568" priority="362" percent="1" rank="25"/>
  </conditionalFormatting>
  <conditionalFormatting sqref="I29:I30">
    <cfRule type="top10" dxfId="567" priority="384" percent="1" rank="25"/>
    <cfRule type="top10" dxfId="566" priority="383" percent="1" bottom="1" rank="25"/>
  </conditionalFormatting>
  <conditionalFormatting sqref="I31:I32">
    <cfRule type="top10" dxfId="565" priority="405" percent="1" bottom="1" rank="25"/>
    <cfRule type="top10" dxfId="564" priority="406" percent="1" rank="25"/>
  </conditionalFormatting>
  <conditionalFormatting sqref="I33:I34">
    <cfRule type="top10" dxfId="563" priority="427" percent="1" bottom="1" rank="25"/>
    <cfRule type="top10" dxfId="562" priority="428" percent="1" rank="25"/>
  </conditionalFormatting>
  <conditionalFormatting sqref="I35:I36">
    <cfRule type="top10" dxfId="561" priority="450" percent="1" rank="25"/>
    <cfRule type="top10" dxfId="560" priority="449" percent="1" bottom="1" rank="25"/>
  </conditionalFormatting>
  <conditionalFormatting sqref="I37:I38">
    <cfRule type="top10" dxfId="559" priority="471" percent="1" bottom="1" rank="25"/>
    <cfRule type="top10" dxfId="558" priority="472" percent="1" rank="25"/>
  </conditionalFormatting>
  <conditionalFormatting sqref="I39:I40">
    <cfRule type="top10" dxfId="557" priority="494" percent="1" rank="25"/>
    <cfRule type="top10" dxfId="556" priority="493" percent="1" bottom="1" rank="25"/>
  </conditionalFormatting>
  <conditionalFormatting sqref="I41">
    <cfRule type="top10" dxfId="555" priority="516" percent="1" rank="25"/>
    <cfRule type="top10" dxfId="554" priority="515" percent="1" bottom="1" rank="25"/>
  </conditionalFormatting>
  <conditionalFormatting sqref="I42:I43">
    <cfRule type="top10" dxfId="553" priority="537" percent="1" bottom="1" rank="25"/>
    <cfRule type="top10" dxfId="552" priority="538" percent="1" rank="25"/>
  </conditionalFormatting>
  <conditionalFormatting sqref="I45:I62">
    <cfRule type="top10" dxfId="551" priority="715" percent="1" rank="25"/>
    <cfRule type="top10" dxfId="550" priority="714" percent="1" bottom="1" rank="25"/>
  </conditionalFormatting>
  <conditionalFormatting sqref="I65:I82">
    <cfRule type="top10" dxfId="549" priority="705" percent="1" rank="25"/>
    <cfRule type="top10" dxfId="548" priority="704" percent="1" bottom="1" rank="25"/>
  </conditionalFormatting>
  <conditionalFormatting sqref="I84:I101">
    <cfRule type="top10" dxfId="547" priority="695" percent="1" rank="25"/>
    <cfRule type="top10" dxfId="546" priority="694" percent="1" bottom="1" rank="25"/>
  </conditionalFormatting>
  <conditionalFormatting sqref="I103:I120">
    <cfRule type="top10" dxfId="545" priority="685" percent="1" rank="25"/>
    <cfRule type="top10" dxfId="544" priority="684" percent="1" bottom="1" rank="25"/>
  </conditionalFormatting>
  <conditionalFormatting sqref="I122:I139">
    <cfRule type="top10" dxfId="543" priority="675" percent="1" rank="25"/>
    <cfRule type="top10" dxfId="542" priority="674" percent="1" bottom="1" rank="25"/>
  </conditionalFormatting>
  <conditionalFormatting sqref="I141:I158">
    <cfRule type="top10" dxfId="541" priority="664" percent="1" bottom="1" rank="25"/>
    <cfRule type="top10" dxfId="540" priority="665" percent="1" rank="25"/>
  </conditionalFormatting>
  <conditionalFormatting sqref="I160:I177">
    <cfRule type="top10" dxfId="539" priority="655" percent="1" rank="25"/>
    <cfRule type="top10" dxfId="538" priority="654" percent="1" bottom="1" rank="25"/>
  </conditionalFormatting>
  <conditionalFormatting sqref="I179:I196">
    <cfRule type="top10" dxfId="537" priority="645" percent="1" rank="25"/>
    <cfRule type="top10" dxfId="536" priority="644" percent="1" bottom="1" rank="25"/>
  </conditionalFormatting>
  <conditionalFormatting sqref="I198:I215">
    <cfRule type="top10" dxfId="535" priority="635" percent="1" rank="25"/>
    <cfRule type="top10" dxfId="534" priority="634" percent="1" bottom="1" rank="25"/>
  </conditionalFormatting>
  <conditionalFormatting sqref="J7:J24">
    <cfRule type="top10" dxfId="533" priority="728" percent="1" rank="25"/>
    <cfRule type="top10" dxfId="532" priority="727" percent="1" bottom="1" rank="25"/>
  </conditionalFormatting>
  <conditionalFormatting sqref="J26">
    <cfRule type="top10" dxfId="531" priority="337" percent="1" bottom="1" rank="25"/>
    <cfRule type="top10" dxfId="530" priority="338" percent="1" rank="25"/>
  </conditionalFormatting>
  <conditionalFormatting sqref="J27:J28">
    <cfRule type="top10" dxfId="529" priority="360" percent="1" rank="25"/>
    <cfRule type="top10" dxfId="528" priority="359" percent="1" bottom="1" rank="25"/>
  </conditionalFormatting>
  <conditionalFormatting sqref="J29:J30">
    <cfRule type="top10" dxfId="527" priority="381" percent="1" bottom="1" rank="25"/>
    <cfRule type="top10" dxfId="526" priority="382" percent="1" rank="25"/>
  </conditionalFormatting>
  <conditionalFormatting sqref="J31:J32">
    <cfRule type="top10" dxfId="525" priority="404" percent="1" rank="25"/>
    <cfRule type="top10" dxfId="524" priority="403" percent="1" bottom="1" rank="25"/>
  </conditionalFormatting>
  <conditionalFormatting sqref="J33:J34">
    <cfRule type="top10" dxfId="523" priority="426" percent="1" rank="25"/>
    <cfRule type="top10" dxfId="522" priority="425" percent="1" bottom="1" rank="25"/>
  </conditionalFormatting>
  <conditionalFormatting sqref="J35:J36">
    <cfRule type="top10" dxfId="521" priority="448" percent="1" rank="25"/>
    <cfRule type="top10" dxfId="520" priority="447" percent="1" bottom="1" rank="25"/>
  </conditionalFormatting>
  <conditionalFormatting sqref="J37:J38">
    <cfRule type="top10" dxfId="519" priority="470" percent="1" rank="25"/>
    <cfRule type="top10" dxfId="518" priority="469" percent="1" bottom="1" rank="25"/>
  </conditionalFormatting>
  <conditionalFormatting sqref="J39:J40">
    <cfRule type="top10" dxfId="517" priority="491" percent="1" bottom="1" rank="25"/>
    <cfRule type="top10" dxfId="516" priority="492" percent="1" rank="25"/>
  </conditionalFormatting>
  <conditionalFormatting sqref="J41">
    <cfRule type="top10" dxfId="515" priority="513" percent="1" bottom="1" rank="25"/>
    <cfRule type="top10" dxfId="514" priority="514" percent="1" rank="25"/>
  </conditionalFormatting>
  <conditionalFormatting sqref="J42:J43">
    <cfRule type="top10" dxfId="513" priority="536" percent="1" rank="25"/>
    <cfRule type="top10" dxfId="512" priority="535" percent="1" bottom="1" rank="25"/>
  </conditionalFormatting>
  <conditionalFormatting sqref="J45:J62">
    <cfRule type="top10" dxfId="511" priority="712" percent="1" bottom="1" rank="25"/>
    <cfRule type="top10" dxfId="510" priority="713" percent="1" rank="25"/>
  </conditionalFormatting>
  <conditionalFormatting sqref="J65:J82">
    <cfRule type="top10" dxfId="509" priority="703" percent="1" rank="25"/>
    <cfRule type="top10" dxfId="508" priority="702" percent="1" bottom="1" rank="25"/>
  </conditionalFormatting>
  <conditionalFormatting sqref="J84:J101">
    <cfRule type="top10" dxfId="507" priority="693" percent="1" rank="25"/>
    <cfRule type="top10" dxfId="506" priority="692" percent="1" bottom="1" rank="25"/>
  </conditionalFormatting>
  <conditionalFormatting sqref="J103:J120">
    <cfRule type="top10" dxfId="505" priority="682" percent="1" bottom="1" rank="25"/>
    <cfRule type="top10" dxfId="504" priority="683" percent="1" rank="25"/>
  </conditionalFormatting>
  <conditionalFormatting sqref="J122:J139">
    <cfRule type="top10" dxfId="503" priority="672" percent="1" bottom="1" rank="25"/>
    <cfRule type="top10" dxfId="502" priority="673" percent="1" rank="25"/>
  </conditionalFormatting>
  <conditionalFormatting sqref="J141:J158">
    <cfRule type="top10" dxfId="501" priority="663" percent="1" rank="25"/>
    <cfRule type="top10" dxfId="500" priority="662" percent="1" bottom="1" rank="25"/>
  </conditionalFormatting>
  <conditionalFormatting sqref="J160:J177">
    <cfRule type="top10" dxfId="499" priority="653" percent="1" rank="25"/>
    <cfRule type="top10" dxfId="498" priority="652" percent="1" bottom="1" rank="25"/>
  </conditionalFormatting>
  <conditionalFormatting sqref="J179:J196">
    <cfRule type="top10" dxfId="497" priority="643" percent="1" rank="25"/>
    <cfRule type="top10" dxfId="496" priority="642" percent="1" bottom="1" rank="25"/>
  </conditionalFormatting>
  <conditionalFormatting sqref="J198:J215">
    <cfRule type="top10" dxfId="495" priority="632" percent="1" bottom="1" rank="25"/>
    <cfRule type="top10" dxfId="494" priority="633" percent="1" rank="25"/>
  </conditionalFormatting>
  <conditionalFormatting sqref="K7:K24">
    <cfRule type="top10" dxfId="493" priority="730" percent="1" rank="25"/>
    <cfRule type="top10" dxfId="492" priority="729" percent="1" bottom="1" rank="25"/>
  </conditionalFormatting>
  <conditionalFormatting sqref="K26">
    <cfRule type="top10" dxfId="491" priority="336" percent="1" rank="25"/>
    <cfRule type="top10" dxfId="490" priority="335" percent="1" bottom="1" rank="25"/>
  </conditionalFormatting>
  <conditionalFormatting sqref="K27:K28">
    <cfRule type="top10" dxfId="489" priority="358" percent="1" rank="25"/>
    <cfRule type="top10" dxfId="488" priority="357" percent="1" bottom="1" rank="25"/>
  </conditionalFormatting>
  <conditionalFormatting sqref="K29:K30">
    <cfRule type="top10" dxfId="487" priority="379" percent="1" bottom="1" rank="25"/>
    <cfRule type="top10" dxfId="486" priority="380" percent="1" rank="25"/>
  </conditionalFormatting>
  <conditionalFormatting sqref="K31:K32">
    <cfRule type="top10" dxfId="485" priority="401" percent="1" bottom="1" rank="25"/>
    <cfRule type="top10" dxfId="484" priority="402" percent="1" rank="25"/>
  </conditionalFormatting>
  <conditionalFormatting sqref="K33:K34">
    <cfRule type="top10" dxfId="483" priority="423" percent="1" bottom="1" rank="25"/>
    <cfRule type="top10" dxfId="482" priority="424" percent="1" rank="25"/>
  </conditionalFormatting>
  <conditionalFormatting sqref="K35:K36">
    <cfRule type="top10" dxfId="481" priority="446" percent="1" rank="25"/>
    <cfRule type="top10" dxfId="480" priority="445" percent="1" bottom="1" rank="25"/>
  </conditionalFormatting>
  <conditionalFormatting sqref="K37:K38">
    <cfRule type="top10" dxfId="479" priority="467" percent="1" bottom="1" rank="25"/>
    <cfRule type="top10" dxfId="478" priority="468" percent="1" rank="25"/>
  </conditionalFormatting>
  <conditionalFormatting sqref="K39:K40">
    <cfRule type="top10" dxfId="477" priority="490" percent="1" rank="25"/>
    <cfRule type="top10" dxfId="476" priority="489" percent="1" bottom="1" rank="25"/>
  </conditionalFormatting>
  <conditionalFormatting sqref="K41">
    <cfRule type="top10" dxfId="475" priority="511" percent="1" bottom="1" rank="25"/>
    <cfRule type="top10" dxfId="474" priority="512" percent="1" rank="25"/>
  </conditionalFormatting>
  <conditionalFormatting sqref="K42:K43">
    <cfRule type="top10" dxfId="473" priority="534" percent="1" rank="25"/>
    <cfRule type="top10" dxfId="472" priority="533" percent="1" bottom="1" rank="25"/>
  </conditionalFormatting>
  <conditionalFormatting sqref="K45:K62">
    <cfRule type="top10" dxfId="471" priority="711" percent="1" rank="25"/>
    <cfRule type="top10" dxfId="470" priority="710" percent="1" bottom="1" rank="25"/>
  </conditionalFormatting>
  <conditionalFormatting sqref="K65:K82">
    <cfRule type="top10" dxfId="469" priority="700" percent="1" bottom="1" rank="25"/>
    <cfRule type="top10" dxfId="468" priority="701" percent="1" rank="25"/>
  </conditionalFormatting>
  <conditionalFormatting sqref="K84:K101">
    <cfRule type="top10" dxfId="467" priority="690" percent="1" bottom="1" rank="25"/>
    <cfRule type="top10" dxfId="466" priority="691" percent="1" rank="25"/>
  </conditionalFormatting>
  <conditionalFormatting sqref="K103:K120">
    <cfRule type="top10" dxfId="465" priority="680" percent="1" bottom="1" rank="25"/>
    <cfRule type="top10" dxfId="464" priority="681" percent="1" rank="25"/>
  </conditionalFormatting>
  <conditionalFormatting sqref="K122:K139">
    <cfRule type="top10" dxfId="463" priority="670" percent="1" bottom="1" rank="25"/>
    <cfRule type="top10" dxfId="462" priority="671" percent="1" rank="25"/>
  </conditionalFormatting>
  <conditionalFormatting sqref="K141:K158">
    <cfRule type="top10" dxfId="461" priority="661" percent="1" rank="25"/>
    <cfRule type="top10" dxfId="460" priority="660" percent="1" bottom="1" rank="25"/>
  </conditionalFormatting>
  <conditionalFormatting sqref="K160:K177">
    <cfRule type="top10" dxfId="459" priority="650" percent="1" bottom="1" rank="25"/>
    <cfRule type="top10" dxfId="458" priority="651" percent="1" rank="25"/>
  </conditionalFormatting>
  <conditionalFormatting sqref="K179:K196">
    <cfRule type="top10" dxfId="457" priority="640" percent="1" bottom="1" rank="25"/>
    <cfRule type="top10" dxfId="456" priority="641" percent="1" rank="25"/>
  </conditionalFormatting>
  <conditionalFormatting sqref="K198:K215">
    <cfRule type="top10" dxfId="455" priority="630" percent="1" bottom="1" rank="25"/>
    <cfRule type="top10" dxfId="454" priority="631" percent="1" rank="25"/>
  </conditionalFormatting>
  <conditionalFormatting sqref="L7:L24">
    <cfRule type="top10" dxfId="453" priority="732" percent="1" rank="25"/>
    <cfRule type="top10" dxfId="452" priority="731" percent="1" bottom="1" rank="25"/>
  </conditionalFormatting>
  <conditionalFormatting sqref="L26">
    <cfRule type="top10" dxfId="451" priority="334" percent="1" rank="25"/>
    <cfRule type="top10" dxfId="450" priority="333" percent="1" bottom="1" rank="25"/>
  </conditionalFormatting>
  <conditionalFormatting sqref="L27:L28">
    <cfRule type="top10" dxfId="449" priority="356" percent="1" rank="25"/>
    <cfRule type="top10" dxfId="448" priority="355" percent="1" bottom="1" rank="25"/>
  </conditionalFormatting>
  <conditionalFormatting sqref="L29:L30">
    <cfRule type="top10" dxfId="447" priority="377" percent="1" bottom="1" rank="25"/>
    <cfRule type="top10" dxfId="446" priority="378" percent="1" rank="25"/>
  </conditionalFormatting>
  <conditionalFormatting sqref="L31:L32">
    <cfRule type="top10" dxfId="445" priority="400" percent="1" rank="25"/>
    <cfRule type="top10" dxfId="444" priority="399" percent="1" bottom="1" rank="25"/>
  </conditionalFormatting>
  <conditionalFormatting sqref="L33:L34">
    <cfRule type="top10" dxfId="443" priority="422" percent="1" rank="25"/>
    <cfRule type="top10" dxfId="442" priority="421" percent="1" bottom="1" rank="25"/>
  </conditionalFormatting>
  <conditionalFormatting sqref="L35:L36">
    <cfRule type="top10" dxfId="441" priority="443" percent="1" bottom="1" rank="25"/>
    <cfRule type="top10" dxfId="440" priority="444" percent="1" rank="25"/>
  </conditionalFormatting>
  <conditionalFormatting sqref="L37:L38">
    <cfRule type="top10" dxfId="439" priority="466" percent="1" rank="25"/>
    <cfRule type="top10" dxfId="438" priority="465" percent="1" bottom="1" rank="25"/>
  </conditionalFormatting>
  <conditionalFormatting sqref="L39:L40">
    <cfRule type="top10" dxfId="437" priority="488" percent="1" rank="25"/>
    <cfRule type="top10" dxfId="436" priority="487" percent="1" bottom="1" rank="25"/>
  </conditionalFormatting>
  <conditionalFormatting sqref="L41">
    <cfRule type="top10" dxfId="435" priority="510" percent="1" rank="25"/>
    <cfRule type="top10" dxfId="434" priority="509" percent="1" bottom="1" rank="25"/>
  </conditionalFormatting>
  <conditionalFormatting sqref="L42:L43">
    <cfRule type="top10" dxfId="433" priority="531" percent="1" bottom="1" rank="25"/>
    <cfRule type="top10" dxfId="432" priority="532" percent="1" rank="25"/>
  </conditionalFormatting>
  <conditionalFormatting sqref="L45:L62">
    <cfRule type="top10" dxfId="431" priority="626" percent="1" rank="25"/>
    <cfRule type="top10" dxfId="430" priority="625" percent="1" bottom="1" rank="25"/>
  </conditionalFormatting>
  <conditionalFormatting sqref="L65:L82">
    <cfRule type="top10" dxfId="429" priority="624" percent="1" rank="25"/>
    <cfRule type="top10" dxfId="428" priority="623" percent="1" bottom="1" rank="25"/>
  </conditionalFormatting>
  <conditionalFormatting sqref="L84:L101">
    <cfRule type="top10" dxfId="427" priority="622" percent="1" rank="25"/>
    <cfRule type="top10" dxfId="426" priority="621" percent="1" bottom="1" rank="25"/>
  </conditionalFormatting>
  <conditionalFormatting sqref="L103:L120">
    <cfRule type="top10" dxfId="425" priority="620" percent="1" rank="25"/>
    <cfRule type="top10" dxfId="424" priority="619" percent="1" bottom="1" rank="25"/>
  </conditionalFormatting>
  <conditionalFormatting sqref="L122:L139">
    <cfRule type="top10" dxfId="423" priority="618" percent="1" rank="25"/>
    <cfRule type="top10" dxfId="422" priority="617" percent="1" bottom="1" rank="25"/>
  </conditionalFormatting>
  <conditionalFormatting sqref="L141:L158">
    <cfRule type="top10" dxfId="421" priority="616" percent="1" rank="25"/>
    <cfRule type="top10" dxfId="420" priority="615" percent="1" bottom="1" rank="25"/>
  </conditionalFormatting>
  <conditionalFormatting sqref="L160:L177">
    <cfRule type="top10" dxfId="419" priority="614" percent="1" rank="25"/>
    <cfRule type="top10" dxfId="418" priority="613" percent="1" bottom="1" rank="25"/>
  </conditionalFormatting>
  <conditionalFormatting sqref="L179:L196">
    <cfRule type="top10" dxfId="417" priority="612" percent="1" rank="25"/>
    <cfRule type="top10" dxfId="416" priority="611" percent="1" bottom="1" rank="25"/>
  </conditionalFormatting>
  <conditionalFormatting sqref="L198:L215">
    <cfRule type="top10" dxfId="415" priority="610" percent="1" rank="25"/>
    <cfRule type="top10" dxfId="414" priority="609" percent="1" bottom="1" rank="25"/>
  </conditionalFormatting>
  <conditionalFormatting sqref="M7:M24">
    <cfRule type="top10" dxfId="413" priority="740" percent="1" rank="25"/>
    <cfRule type="top10" dxfId="412" priority="739" percent="1" bottom="1" rank="25"/>
  </conditionalFormatting>
  <conditionalFormatting sqref="M26">
    <cfRule type="top10" dxfId="411" priority="326" percent="1" rank="25"/>
    <cfRule type="top10" dxfId="410" priority="325" percent="1" bottom="1" rank="25"/>
  </conditionalFormatting>
  <conditionalFormatting sqref="M27:M28">
    <cfRule type="top10" dxfId="409" priority="350" percent="1" rank="25"/>
    <cfRule type="top10" dxfId="408" priority="349" percent="1" bottom="1" rank="25"/>
  </conditionalFormatting>
  <conditionalFormatting sqref="M29:M30">
    <cfRule type="top10" dxfId="407" priority="371" percent="1" bottom="1" rank="25"/>
    <cfRule type="top10" dxfId="406" priority="372" percent="1" rank="25"/>
  </conditionalFormatting>
  <conditionalFormatting sqref="M31:M32">
    <cfRule type="top10" dxfId="405" priority="394" percent="1" rank="25"/>
    <cfRule type="top10" dxfId="404" priority="393" percent="1" bottom="1" rank="25"/>
  </conditionalFormatting>
  <conditionalFormatting sqref="M33:M34">
    <cfRule type="top10" dxfId="403" priority="415" percent="1" bottom="1" rank="25"/>
    <cfRule type="top10" dxfId="402" priority="416" percent="1" rank="25"/>
  </conditionalFormatting>
  <conditionalFormatting sqref="M35:M36">
    <cfRule type="top10" dxfId="401" priority="437" percent="1" bottom="1" rank="25"/>
    <cfRule type="top10" dxfId="400" priority="438" percent="1" rank="25"/>
  </conditionalFormatting>
  <conditionalFormatting sqref="M37:M38">
    <cfRule type="top10" dxfId="399" priority="459" percent="1" bottom="1" rank="25"/>
    <cfRule type="top10" dxfId="398" priority="460" percent="1" rank="25"/>
  </conditionalFormatting>
  <conditionalFormatting sqref="M39:M40">
    <cfRule type="top10" dxfId="397" priority="482" percent="1" rank="25"/>
    <cfRule type="top10" dxfId="396" priority="481" percent="1" bottom="1" rank="25"/>
  </conditionalFormatting>
  <conditionalFormatting sqref="M41">
    <cfRule type="top10" dxfId="395" priority="503" percent="1" bottom="1" rank="25"/>
    <cfRule type="top10" dxfId="394" priority="504" percent="1" rank="25"/>
  </conditionalFormatting>
  <conditionalFormatting sqref="M42:M43">
    <cfRule type="top10" dxfId="393" priority="525" percent="1" bottom="1" rank="25"/>
    <cfRule type="top10" dxfId="392" priority="526" percent="1" rank="25"/>
  </conditionalFormatting>
  <conditionalFormatting sqref="M45:M62">
    <cfRule type="top10" dxfId="391" priority="583" percent="1" rank="25"/>
    <cfRule type="top10" dxfId="390" priority="582" percent="1" bottom="1" rank="25"/>
  </conditionalFormatting>
  <conditionalFormatting sqref="M65:M82">
    <cfRule type="top10" dxfId="389" priority="581" percent="1" rank="25"/>
    <cfRule type="top10" dxfId="388" priority="580" percent="1" bottom="1" rank="25"/>
  </conditionalFormatting>
  <conditionalFormatting sqref="M84:S226">
    <cfRule type="cellIs" dxfId="387" priority="629" operator="lessThan">
      <formula>0</formula>
    </cfRule>
  </conditionalFormatting>
  <conditionalFormatting sqref="N7:N24">
    <cfRule type="top10" dxfId="386" priority="741" percent="1" bottom="1" rank="25"/>
    <cfRule type="top10" dxfId="385" priority="742" percent="1" rank="25"/>
  </conditionalFormatting>
  <conditionalFormatting sqref="N26">
    <cfRule type="top10" dxfId="384" priority="323" percent="1" bottom="1" rank="25"/>
    <cfRule type="top10" dxfId="383" priority="324" percent="1" rank="25"/>
  </conditionalFormatting>
  <conditionalFormatting sqref="N27:N28">
    <cfRule type="top10" dxfId="382" priority="347" percent="1" bottom="1" rank="25"/>
    <cfRule type="top10" dxfId="381" priority="348" percent="1" rank="25"/>
  </conditionalFormatting>
  <conditionalFormatting sqref="N29:N30">
    <cfRule type="top10" dxfId="380" priority="370" percent="1" rank="25"/>
    <cfRule type="top10" dxfId="379" priority="369" percent="1" bottom="1" rank="25"/>
  </conditionalFormatting>
  <conditionalFormatting sqref="N31:N32">
    <cfRule type="top10" dxfId="378" priority="392" percent="1" rank="25"/>
    <cfRule type="top10" dxfId="377" priority="391" percent="1" bottom="1" rank="25"/>
  </conditionalFormatting>
  <conditionalFormatting sqref="N33:N34">
    <cfRule type="top10" dxfId="376" priority="414" percent="1" rank="25"/>
    <cfRule type="top10" dxfId="375" priority="413" percent="1" bottom="1" rank="25"/>
  </conditionalFormatting>
  <conditionalFormatting sqref="N35:N36">
    <cfRule type="top10" dxfId="374" priority="436" percent="1" rank="25"/>
    <cfRule type="top10" dxfId="373" priority="435" percent="1" bottom="1" rank="25"/>
  </conditionalFormatting>
  <conditionalFormatting sqref="N37:N38">
    <cfRule type="top10" dxfId="372" priority="458" percent="1" rank="25"/>
    <cfRule type="top10" dxfId="371" priority="457" percent="1" bottom="1" rank="25"/>
  </conditionalFormatting>
  <conditionalFormatting sqref="N39:N40">
    <cfRule type="top10" dxfId="370" priority="479" percent="1" bottom="1" rank="25"/>
    <cfRule type="top10" dxfId="369" priority="480" percent="1" rank="25"/>
  </conditionalFormatting>
  <conditionalFormatting sqref="N41">
    <cfRule type="top10" dxfId="368" priority="502" percent="1" rank="25"/>
    <cfRule type="top10" dxfId="367" priority="501" percent="1" bottom="1" rank="25"/>
  </conditionalFormatting>
  <conditionalFormatting sqref="N42:N43">
    <cfRule type="top10" dxfId="366" priority="523" percent="1" bottom="1" rank="25"/>
    <cfRule type="top10" dxfId="365" priority="524" percent="1" rank="25"/>
  </conditionalFormatting>
  <conditionalFormatting sqref="N45:N62">
    <cfRule type="top10" dxfId="364" priority="578" percent="1" bottom="1" rank="25"/>
    <cfRule type="top10" dxfId="363" priority="579" percent="1" rank="25"/>
  </conditionalFormatting>
  <conditionalFormatting sqref="N65:N82">
    <cfRule type="top10" dxfId="362" priority="577" percent="1" rank="25"/>
    <cfRule type="top10" dxfId="361" priority="576" percent="1" bottom="1" rank="25"/>
  </conditionalFormatting>
  <conditionalFormatting sqref="O7:O24">
    <cfRule type="top10" dxfId="360" priority="743" percent="1" bottom="1" rank="25"/>
    <cfRule type="top10" dxfId="359" priority="744" percent="1" rank="25"/>
  </conditionalFormatting>
  <conditionalFormatting sqref="O26">
    <cfRule type="top10" dxfId="358" priority="322" percent="1" rank="25"/>
    <cfRule type="top10" dxfId="357" priority="321" percent="1" bottom="1" rank="25"/>
  </conditionalFormatting>
  <conditionalFormatting sqref="O27:O28">
    <cfRule type="top10" dxfId="356" priority="345" percent="1" bottom="1" rank="25"/>
    <cfRule type="top10" dxfId="355" priority="346" percent="1" rank="25"/>
  </conditionalFormatting>
  <conditionalFormatting sqref="O29:O30">
    <cfRule type="top10" dxfId="354" priority="368" percent="1" rank="25"/>
    <cfRule type="top10" dxfId="353" priority="367" percent="1" bottom="1" rank="25"/>
  </conditionalFormatting>
  <conditionalFormatting sqref="O31:O32">
    <cfRule type="top10" dxfId="352" priority="389" percent="1" bottom="1" rank="25"/>
    <cfRule type="top10" dxfId="351" priority="390" percent="1" rank="25"/>
  </conditionalFormatting>
  <conditionalFormatting sqref="O33:O34">
    <cfRule type="top10" dxfId="350" priority="412" percent="1" rank="25"/>
    <cfRule type="top10" dxfId="349" priority="411" percent="1" bottom="1" rank="25"/>
  </conditionalFormatting>
  <conditionalFormatting sqref="O35:O36">
    <cfRule type="top10" dxfId="348" priority="434" percent="1" rank="25"/>
    <cfRule type="top10" dxfId="347" priority="433" percent="1" bottom="1" rank="25"/>
  </conditionalFormatting>
  <conditionalFormatting sqref="O37:O38">
    <cfRule type="top10" dxfId="346" priority="455" percent="1" bottom="1" rank="25"/>
    <cfRule type="top10" dxfId="345" priority="456" percent="1" rank="25"/>
  </conditionalFormatting>
  <conditionalFormatting sqref="O39:O40">
    <cfRule type="top10" dxfId="344" priority="478" percent="1" rank="25"/>
    <cfRule type="top10" dxfId="343" priority="477" percent="1" bottom="1" rank="25"/>
  </conditionalFormatting>
  <conditionalFormatting sqref="O41">
    <cfRule type="top10" dxfId="342" priority="500" percent="1" rank="25"/>
    <cfRule type="top10" dxfId="341" priority="499" percent="1" bottom="1" rank="25"/>
  </conditionalFormatting>
  <conditionalFormatting sqref="O42:O43">
    <cfRule type="top10" dxfId="340" priority="522" percent="1" rank="25"/>
    <cfRule type="top10" dxfId="339" priority="521" percent="1" bottom="1" rank="25"/>
  </conditionalFormatting>
  <conditionalFormatting sqref="O45:O62">
    <cfRule type="top10" dxfId="338" priority="574" percent="1" bottom="1" rank="25"/>
    <cfRule type="top10" dxfId="337" priority="575" percent="1" rank="25"/>
  </conditionalFormatting>
  <conditionalFormatting sqref="O65:O82">
    <cfRule type="top10" dxfId="336" priority="572" percent="1" bottom="1" rank="25"/>
    <cfRule type="top10" dxfId="335" priority="573" percent="1" rank="25"/>
  </conditionalFormatting>
  <conditionalFormatting sqref="P7:P24">
    <cfRule type="top10" dxfId="334" priority="745" percent="1" bottom="1" rank="25"/>
    <cfRule type="top10" dxfId="333" priority="746" percent="1" rank="25"/>
  </conditionalFormatting>
  <conditionalFormatting sqref="P45:P62">
    <cfRule type="top10" dxfId="332" priority="571" percent="1" rank="25"/>
    <cfRule type="top10" dxfId="331" priority="570" percent="1" bottom="1" rank="25"/>
  </conditionalFormatting>
  <conditionalFormatting sqref="P65:P82">
    <cfRule type="top10" dxfId="330" priority="568" percent="1" bottom="1" rank="25"/>
    <cfRule type="top10" dxfId="329" priority="569" percent="1" rank="25"/>
  </conditionalFormatting>
  <conditionalFormatting sqref="P26:AA43">
    <cfRule type="top10" dxfId="328" priority="319" percent="1" bottom="1" rank="25"/>
    <cfRule type="top10" dxfId="327" priority="320" percent="1" rank="25"/>
  </conditionalFormatting>
  <conditionalFormatting sqref="Q7:Q24">
    <cfRule type="top10" dxfId="326" priority="747" percent="1" bottom="1" rank="25"/>
    <cfRule type="top10" dxfId="325" priority="748" percent="1" rank="25"/>
  </conditionalFormatting>
  <conditionalFormatting sqref="Q45:Q62">
    <cfRule type="top10" dxfId="324" priority="567" percent="1" rank="25"/>
    <cfRule type="top10" dxfId="323" priority="566" percent="1" bottom="1" rank="25"/>
  </conditionalFormatting>
  <conditionalFormatting sqref="Q65:Q82">
    <cfRule type="top10" dxfId="322" priority="565" percent="1" rank="25"/>
    <cfRule type="top10" dxfId="321" priority="564" percent="1" bottom="1" rank="25"/>
  </conditionalFormatting>
  <conditionalFormatting sqref="R7:R24">
    <cfRule type="top10" dxfId="320" priority="749" percent="1" bottom="1" rank="25"/>
    <cfRule type="top10" dxfId="319" priority="750" percent="1" rank="25"/>
  </conditionalFormatting>
  <conditionalFormatting sqref="R45:R62">
    <cfRule type="top10" dxfId="318" priority="563" percent="1" rank="25"/>
    <cfRule type="top10" dxfId="317" priority="562" percent="1" bottom="1" rank="25"/>
  </conditionalFormatting>
  <conditionalFormatting sqref="R65:R82">
    <cfRule type="top10" dxfId="316" priority="560" percent="1" bottom="1" rank="25"/>
    <cfRule type="top10" dxfId="315" priority="561" percent="1" rank="25"/>
  </conditionalFormatting>
  <conditionalFormatting sqref="S7:S24">
    <cfRule type="top10" dxfId="314" priority="751" percent="1" bottom="1" rank="25"/>
    <cfRule type="top10" dxfId="313" priority="752" percent="1" rank="25"/>
  </conditionalFormatting>
  <conditionalFormatting sqref="S45:S62">
    <cfRule type="top10" dxfId="312" priority="558" percent="1" rank="25"/>
    <cfRule type="top10" dxfId="311" priority="557" percent="1" bottom="1" rank="25"/>
  </conditionalFormatting>
  <conditionalFormatting sqref="S65:S82">
    <cfRule type="top10" dxfId="310" priority="555" percent="1" bottom="1" rank="25"/>
    <cfRule type="top10" dxfId="309" priority="556" percent="1" rank="25"/>
  </conditionalFormatting>
  <conditionalFormatting sqref="T45:T62 V45:V62">
    <cfRule type="top10" dxfId="308" priority="554" percent="1" rank="25"/>
    <cfRule type="top10" dxfId="307" priority="553" percent="1" bottom="1" rank="25"/>
  </conditionalFormatting>
  <conditionalFormatting sqref="T7:V24">
    <cfRule type="top10" dxfId="306" priority="753" percent="1" bottom="1" rank="25"/>
    <cfRule type="top10" dxfId="305" priority="754" percent="1" rank="25"/>
  </conditionalFormatting>
  <conditionalFormatting sqref="T65:V82">
    <cfRule type="top10" dxfId="304" priority="551" percent="1" bottom="1" rank="25"/>
    <cfRule type="top10" dxfId="303" priority="552" percent="1" rank="25"/>
  </conditionalFormatting>
  <conditionalFormatting sqref="T83:X226">
    <cfRule type="cellIs" dxfId="302" priority="548" operator="lessThan">
      <formula>0</formula>
    </cfRule>
  </conditionalFormatting>
  <conditionalFormatting sqref="U45:U62">
    <cfRule type="top10" dxfId="301" priority="549" percent="1" bottom="1" rank="25"/>
    <cfRule type="top10" dxfId="300" priority="550" percent="1" rank="25"/>
  </conditionalFormatting>
  <conditionalFormatting sqref="W7:X24">
    <cfRule type="top10" dxfId="299" priority="755" percent="1" bottom="1" rank="25"/>
    <cfRule type="top10" dxfId="298" priority="756" percent="1" rank="25"/>
  </conditionalFormatting>
  <conditionalFormatting sqref="W45:X62">
    <cfRule type="top10" dxfId="297" priority="546" percent="1" rank="25"/>
    <cfRule type="top10" dxfId="296" priority="545" percent="1" bottom="1" rank="25"/>
  </conditionalFormatting>
  <conditionalFormatting sqref="W65:X82">
    <cfRule type="top10" dxfId="295" priority="543" percent="1" bottom="1" rank="25"/>
    <cfRule type="top10" dxfId="294" priority="544" percent="1" rank="25"/>
  </conditionalFormatting>
  <conditionalFormatting sqref="Y7:Y24">
    <cfRule type="top10" dxfId="293" priority="312" percent="1" bottom="1" rank="25"/>
    <cfRule type="top10" dxfId="292" priority="313" percent="1" rank="25"/>
  </conditionalFormatting>
  <conditionalFormatting sqref="Y45:Y62">
    <cfRule type="top10" dxfId="291" priority="309" percent="1" rank="25"/>
    <cfRule type="top10" dxfId="290" priority="308" percent="1" bottom="1" rank="25"/>
  </conditionalFormatting>
  <conditionalFormatting sqref="Y65:Y82">
    <cfRule type="top10" dxfId="289" priority="306" percent="1" bottom="1" rank="25"/>
    <cfRule type="top10" dxfId="288" priority="307" percent="1" rank="25"/>
  </conditionalFormatting>
  <conditionalFormatting sqref="Z7:Z24">
    <cfRule type="top10" dxfId="287" priority="311" percent="1" rank="25"/>
    <cfRule type="top10" dxfId="286" priority="310" percent="1" bottom="1" rank="25"/>
  </conditionalFormatting>
  <conditionalFormatting sqref="Z45:Z62">
    <cfRule type="top10" dxfId="285" priority="304" percent="1" bottom="1" rank="25"/>
    <cfRule type="top10" dxfId="284" priority="305" percent="1" rank="25"/>
  </conditionalFormatting>
  <conditionalFormatting sqref="Z65:Z82">
    <cfRule type="top10" dxfId="283" priority="303" percent="1" rank="25"/>
    <cfRule type="top10" dxfId="282" priority="302" percent="1" bottom="1" rank="25"/>
  </conditionalFormatting>
  <conditionalFormatting sqref="AA7:AA24">
    <cfRule type="top10" dxfId="281" priority="300" percent="1" bottom="1" rank="25"/>
    <cfRule type="top10" dxfId="280" priority="301" percent="1" rank="25"/>
  </conditionalFormatting>
  <conditionalFormatting sqref="AA45:AA62">
    <cfRule type="top10" dxfId="279" priority="299" percent="1" rank="25"/>
    <cfRule type="top10" dxfId="278" priority="298" percent="1" bottom="1" rank="25"/>
  </conditionalFormatting>
  <conditionalFormatting sqref="AA65:AA82">
    <cfRule type="top10" dxfId="277" priority="297" percent="1" rank="25"/>
    <cfRule type="top10" dxfId="276" priority="296" percent="1" bottom="1" rank="25"/>
  </conditionalFormatting>
  <conditionalFormatting sqref="AB7:AB24">
    <cfRule type="top10" dxfId="275" priority="293" percent="1" rank="25"/>
    <cfRule type="top10" dxfId="274" priority="292" percent="1" bottom="1" rank="25"/>
  </conditionalFormatting>
  <conditionalFormatting sqref="AB26:AB43">
    <cfRule type="top10" dxfId="273" priority="295" percent="1" rank="25"/>
    <cfRule type="top10" dxfId="272" priority="294" percent="1" bottom="1" rank="25"/>
  </conditionalFormatting>
  <conditionalFormatting sqref="AB45:AB62">
    <cfRule type="top10" dxfId="271" priority="291" percent="1" rank="25"/>
    <cfRule type="top10" dxfId="270" priority="290" percent="1" bottom="1" rank="25"/>
  </conditionalFormatting>
  <conditionalFormatting sqref="AB65:AB82">
    <cfRule type="top10" dxfId="269" priority="288" percent="1" bottom="1" rank="25"/>
    <cfRule type="top10" dxfId="268" priority="289" percent="1" rank="25"/>
  </conditionalFormatting>
  <conditionalFormatting sqref="AC7:AC24">
    <cfRule type="top10" dxfId="267" priority="285" percent="1" rank="25"/>
    <cfRule type="top10" dxfId="266" priority="284" percent="1" bottom="1" rank="25"/>
  </conditionalFormatting>
  <conditionalFormatting sqref="AC26:AC43">
    <cfRule type="top10" dxfId="265" priority="286" percent="1" bottom="1" rank="25"/>
    <cfRule type="top10" dxfId="264" priority="287" percent="1" rank="25"/>
  </conditionalFormatting>
  <conditionalFormatting sqref="AC45:AC62">
    <cfRule type="top10" dxfId="263" priority="283" percent="1" rank="25"/>
    <cfRule type="top10" dxfId="262" priority="282" percent="1" bottom="1" rank="25"/>
  </conditionalFormatting>
  <conditionalFormatting sqref="AC65:AC82">
    <cfRule type="top10" dxfId="261" priority="281" percent="1" rank="25"/>
    <cfRule type="top10" dxfId="260" priority="280" percent="1" bottom="1" rank="25"/>
  </conditionalFormatting>
  <conditionalFormatting sqref="AD7:AD24">
    <cfRule type="top10" dxfId="259" priority="277" percent="1" rank="25"/>
    <cfRule type="top10" dxfId="258" priority="276" percent="1" bottom="1" rank="25"/>
  </conditionalFormatting>
  <conditionalFormatting sqref="AD26:AD43">
    <cfRule type="top10" dxfId="257" priority="278" percent="1" bottom="1" rank="25"/>
    <cfRule type="top10" dxfId="256" priority="279" percent="1" rank="25"/>
  </conditionalFormatting>
  <conditionalFormatting sqref="AD45:AD62">
    <cfRule type="top10" dxfId="255" priority="274" percent="1" bottom="1" rank="25"/>
    <cfRule type="top10" dxfId="254" priority="275" percent="1" rank="25"/>
  </conditionalFormatting>
  <conditionalFormatting sqref="AD65:AD82">
    <cfRule type="top10" dxfId="253" priority="273" percent="1" rank="25"/>
    <cfRule type="top10" dxfId="252" priority="272" percent="1" bottom="1" rank="25"/>
  </conditionalFormatting>
  <conditionalFormatting sqref="AE7:AE24">
    <cfRule type="top10" dxfId="251" priority="269" percent="1" rank="25"/>
    <cfRule type="top10" dxfId="250" priority="268" percent="1" bottom="1" rank="25"/>
  </conditionalFormatting>
  <conditionalFormatting sqref="AE26:AE43">
    <cfRule type="top10" dxfId="249" priority="270" percent="1" bottom="1" rank="25"/>
    <cfRule type="top10" dxfId="248" priority="271" percent="1" rank="25"/>
  </conditionalFormatting>
  <conditionalFormatting sqref="AE45:AE62">
    <cfRule type="top10" dxfId="247" priority="267" percent="1" rank="25"/>
    <cfRule type="top10" dxfId="246" priority="266" percent="1" bottom="1" rank="25"/>
  </conditionalFormatting>
  <conditionalFormatting sqref="AE65:AE82">
    <cfRule type="top10" dxfId="245" priority="264" percent="1" bottom="1" rank="25"/>
    <cfRule type="top10" dxfId="244" priority="265" percent="1" rank="25"/>
  </conditionalFormatting>
  <conditionalFormatting sqref="AF7:AF24">
    <cfRule type="top10" dxfId="243" priority="261" percent="1" rank="25"/>
    <cfRule type="top10" dxfId="242" priority="260" percent="1" bottom="1" rank="25"/>
  </conditionalFormatting>
  <conditionalFormatting sqref="AF26:AF43">
    <cfRule type="top10" dxfId="241" priority="263" percent="1" rank="25"/>
    <cfRule type="top10" dxfId="240" priority="262" percent="1" bottom="1" rank="25"/>
  </conditionalFormatting>
  <conditionalFormatting sqref="AF45:AF62">
    <cfRule type="top10" dxfId="239" priority="259" percent="1" rank="25"/>
    <cfRule type="top10" dxfId="238" priority="258" percent="1" bottom="1" rank="25"/>
  </conditionalFormatting>
  <conditionalFormatting sqref="AF65:AF82">
    <cfRule type="top10" dxfId="237" priority="257" percent="1" rank="25"/>
    <cfRule type="top10" dxfId="236" priority="256" percent="1" bottom="1" rank="25"/>
  </conditionalFormatting>
  <conditionalFormatting sqref="AG7:AG24">
    <cfRule type="top10" dxfId="235" priority="253" percent="1" rank="25"/>
    <cfRule type="top10" dxfId="234" priority="252" percent="1" bottom="1" rank="25"/>
  </conditionalFormatting>
  <conditionalFormatting sqref="AG26:AG43">
    <cfRule type="top10" dxfId="233" priority="254" percent="1" bottom="1" rank="25"/>
    <cfRule type="top10" dxfId="232" priority="255" percent="1" rank="25"/>
  </conditionalFormatting>
  <conditionalFormatting sqref="AG45:AG62">
    <cfRule type="top10" dxfId="231" priority="250" percent="1" bottom="1" rank="25"/>
    <cfRule type="top10" dxfId="230" priority="251" percent="1" rank="25"/>
  </conditionalFormatting>
  <conditionalFormatting sqref="AG65:AG82">
    <cfRule type="top10" dxfId="229" priority="249" percent="1" rank="25"/>
    <cfRule type="top10" dxfId="228" priority="248" percent="1" bottom="1" rank="25"/>
  </conditionalFormatting>
  <conditionalFormatting sqref="AH7:AH24">
    <cfRule type="top10" dxfId="227" priority="245" percent="1" rank="25"/>
    <cfRule type="top10" dxfId="226" priority="244" percent="1" bottom="1" rank="25"/>
  </conditionalFormatting>
  <conditionalFormatting sqref="AH26:AH43">
    <cfRule type="top10" dxfId="225" priority="247" percent="1" rank="25"/>
    <cfRule type="top10" dxfId="224" priority="246" percent="1" bottom="1" rank="25"/>
  </conditionalFormatting>
  <conditionalFormatting sqref="AH45:AH62">
    <cfRule type="top10" dxfId="223" priority="242" percent="1" bottom="1" rank="25"/>
    <cfRule type="top10" dxfId="222" priority="243" percent="1" rank="25"/>
  </conditionalFormatting>
  <conditionalFormatting sqref="AH65:AH82">
    <cfRule type="top10" dxfId="221" priority="240" percent="1" bottom="1" rank="25"/>
    <cfRule type="top10" dxfId="220" priority="241" percent="1" rank="25"/>
  </conditionalFormatting>
  <conditionalFormatting sqref="AI7:AI24">
    <cfRule type="top10" dxfId="219" priority="238" percent="1" bottom="1" rank="25"/>
    <cfRule type="top10" dxfId="218" priority="239" percent="1" rank="25"/>
  </conditionalFormatting>
  <conditionalFormatting sqref="AI26:AI43">
    <cfRule type="top10" dxfId="217" priority="233" percent="1" rank="25"/>
    <cfRule type="top10" dxfId="216" priority="232" percent="1" bottom="1" rank="25"/>
  </conditionalFormatting>
  <conditionalFormatting sqref="AI45:AI62">
    <cfRule type="top10" dxfId="215" priority="237" percent="1" rank="25"/>
    <cfRule type="top10" dxfId="214" priority="236" percent="1" bottom="1" rank="25"/>
  </conditionalFormatting>
  <conditionalFormatting sqref="AI65:AI82">
    <cfRule type="top10" dxfId="213" priority="235" percent="1" rank="25"/>
    <cfRule type="top10" dxfId="212" priority="234" percent="1" bottom="1" rank="25"/>
  </conditionalFormatting>
  <conditionalFormatting sqref="AJ7:AJ24">
    <cfRule type="top10" dxfId="211" priority="230" percent="1" bottom="1" rank="25"/>
    <cfRule type="top10" dxfId="210" priority="231" percent="1" rank="25"/>
  </conditionalFormatting>
  <conditionalFormatting sqref="AJ45:AJ62">
    <cfRule type="top10" dxfId="209" priority="228" percent="1" bottom="1" rank="25"/>
    <cfRule type="top10" dxfId="208" priority="229" percent="1" rank="25"/>
  </conditionalFormatting>
  <conditionalFormatting sqref="AJ65:AJ82">
    <cfRule type="top10" dxfId="207" priority="226" percent="1" bottom="1" rank="25"/>
    <cfRule type="top10" dxfId="206" priority="227" percent="1" rank="25"/>
  </conditionalFormatting>
  <conditionalFormatting sqref="AJ26:BC43 BE26:BE43 BI26:BI43">
    <cfRule type="top10" dxfId="205" priority="225" percent="1" rank="25"/>
    <cfRule type="top10" dxfId="204" priority="224" percent="1" bottom="1" rank="25"/>
  </conditionalFormatting>
  <conditionalFormatting sqref="AK7:AW24">
    <cfRule type="top10" dxfId="203" priority="223" percent="1" rank="25"/>
    <cfRule type="top10" dxfId="202" priority="222" percent="1" bottom="1" rank="25"/>
  </conditionalFormatting>
  <conditionalFormatting sqref="AK45:AW62">
    <cfRule type="top10" dxfId="201" priority="221" percent="1" rank="25"/>
    <cfRule type="top10" dxfId="200" priority="220" percent="1" bottom="1" rank="25"/>
  </conditionalFormatting>
  <conditionalFormatting sqref="AK65:AW82">
    <cfRule type="top10" dxfId="199" priority="219" percent="1" rank="25"/>
    <cfRule type="top10" dxfId="198" priority="218" percent="1" bottom="1" rank="25"/>
  </conditionalFormatting>
  <conditionalFormatting sqref="AX7:AX24">
    <cfRule type="top10" dxfId="197" priority="216" percent="1" rank="25"/>
    <cfRule type="top10" dxfId="196" priority="215" percent="1" bottom="1" rank="25"/>
  </conditionalFormatting>
  <conditionalFormatting sqref="AX45:AX62">
    <cfRule type="top10" dxfId="195" priority="214" percent="1" rank="25"/>
    <cfRule type="top10" dxfId="194" priority="213" percent="1" bottom="1" rank="25"/>
  </conditionalFormatting>
  <conditionalFormatting sqref="AX65:AX82">
    <cfRule type="top10" dxfId="193" priority="212" percent="1" rank="25"/>
    <cfRule type="top10" dxfId="192" priority="211" percent="1" bottom="1" rank="25"/>
  </conditionalFormatting>
  <conditionalFormatting sqref="AY7:AY24">
    <cfRule type="top10" dxfId="191" priority="210" percent="1" rank="25"/>
    <cfRule type="top10" dxfId="190" priority="209" percent="1" bottom="1" rank="25"/>
  </conditionalFormatting>
  <conditionalFormatting sqref="AY45:AY62">
    <cfRule type="top10" dxfId="189" priority="208" percent="1" rank="25"/>
    <cfRule type="top10" dxfId="188" priority="207" percent="1" bottom="1" rank="25"/>
  </conditionalFormatting>
  <conditionalFormatting sqref="AY65:AY82">
    <cfRule type="top10" dxfId="187" priority="206" percent="1" rank="25"/>
    <cfRule type="top10" dxfId="186" priority="205" percent="1" bottom="1" rank="25"/>
  </conditionalFormatting>
  <conditionalFormatting sqref="AZ7:AZ24">
    <cfRule type="top10" dxfId="185" priority="204" percent="1" rank="25"/>
    <cfRule type="top10" dxfId="184" priority="203" percent="1" bottom="1" rank="25"/>
  </conditionalFormatting>
  <conditionalFormatting sqref="AZ45:AZ62">
    <cfRule type="top10" dxfId="183" priority="202" percent="1" rank="25"/>
    <cfRule type="top10" dxfId="182" priority="201" percent="1" bottom="1" rank="25"/>
  </conditionalFormatting>
  <conditionalFormatting sqref="AZ65:AZ82">
    <cfRule type="top10" dxfId="181" priority="200" percent="1" rank="25"/>
    <cfRule type="top10" dxfId="180" priority="199" percent="1" bottom="1" rank="25"/>
  </conditionalFormatting>
  <conditionalFormatting sqref="BA7:BA24">
    <cfRule type="top10" dxfId="179" priority="194" percent="1" rank="25"/>
    <cfRule type="top10" dxfId="178" priority="193" percent="1" bottom="1" rank="25"/>
  </conditionalFormatting>
  <conditionalFormatting sqref="BA45:BA62">
    <cfRule type="top10" dxfId="177" priority="196" percent="1" rank="25"/>
    <cfRule type="top10" dxfId="176" priority="195" percent="1" bottom="1" rank="25"/>
  </conditionalFormatting>
  <conditionalFormatting sqref="BA65:BA82">
    <cfRule type="top10" dxfId="175" priority="198" percent="1" rank="25"/>
    <cfRule type="top10" dxfId="174" priority="197" percent="1" bottom="1" rank="25"/>
  </conditionalFormatting>
  <conditionalFormatting sqref="BB7:BB24">
    <cfRule type="top10" dxfId="173" priority="192" percent="1" rank="25"/>
    <cfRule type="top10" dxfId="172" priority="191" percent="1" bottom="1" rank="25"/>
  </conditionalFormatting>
  <conditionalFormatting sqref="BB45:BB62">
    <cfRule type="top10" dxfId="171" priority="190" percent="1" rank="25"/>
    <cfRule type="top10" dxfId="170" priority="189" percent="1" bottom="1" rank="25"/>
  </conditionalFormatting>
  <conditionalFormatting sqref="BB65:BB82">
    <cfRule type="top10" dxfId="169" priority="188" percent="1" rank="25"/>
    <cfRule type="top10" dxfId="168" priority="187" percent="1" bottom="1" rank="25"/>
  </conditionalFormatting>
  <conditionalFormatting sqref="BC7:BC24">
    <cfRule type="top10" dxfId="167" priority="186" percent="1" rank="25"/>
    <cfRule type="top10" dxfId="166" priority="185" percent="1" bottom="1" rank="25"/>
  </conditionalFormatting>
  <conditionalFormatting sqref="BC45:BC62">
    <cfRule type="top10" dxfId="165" priority="184" percent="1" rank="25"/>
    <cfRule type="top10" dxfId="164" priority="183" percent="1" bottom="1" rank="25"/>
  </conditionalFormatting>
  <conditionalFormatting sqref="BC65:BC82">
    <cfRule type="top10" dxfId="163" priority="182" percent="1" rank="25"/>
    <cfRule type="top10" dxfId="162" priority="181" percent="1" bottom="1" rank="25"/>
  </conditionalFormatting>
  <conditionalFormatting sqref="BD7:BD24">
    <cfRule type="top10" dxfId="161" priority="178" percent="1" rank="25"/>
    <cfRule type="top10" dxfId="160" priority="177" percent="1" bottom="1" rank="25"/>
  </conditionalFormatting>
  <conditionalFormatting sqref="BD26:BD43">
    <cfRule type="top10" dxfId="159" priority="180" percent="1" rank="25"/>
    <cfRule type="top10" dxfId="158" priority="179" percent="1" bottom="1" rank="25"/>
  </conditionalFormatting>
  <conditionalFormatting sqref="BD45:BD62">
    <cfRule type="top10" dxfId="157" priority="176" percent="1" rank="25"/>
    <cfRule type="top10" dxfId="156" priority="175" percent="1" bottom="1" rank="25"/>
  </conditionalFormatting>
  <conditionalFormatting sqref="BD65:BD82">
    <cfRule type="top10" dxfId="155" priority="174" percent="1" rank="25"/>
    <cfRule type="top10" dxfId="154" priority="173" percent="1" bottom="1" rank="25"/>
  </conditionalFormatting>
  <conditionalFormatting sqref="BE7:BE24">
    <cfRule type="top10" dxfId="153" priority="172" percent="1" rank="25"/>
    <cfRule type="top10" dxfId="152" priority="171" percent="1" bottom="1" rank="25"/>
  </conditionalFormatting>
  <conditionalFormatting sqref="BE45:BE62">
    <cfRule type="top10" dxfId="151" priority="170" percent="1" rank="25"/>
    <cfRule type="top10" dxfId="150" priority="169" percent="1" bottom="1" rank="25"/>
  </conditionalFormatting>
  <conditionalFormatting sqref="BE65:BE82">
    <cfRule type="top10" dxfId="149" priority="168" percent="1" rank="25"/>
    <cfRule type="top10" dxfId="148" priority="167" percent="1" bottom="1" rank="25"/>
  </conditionalFormatting>
  <conditionalFormatting sqref="BF7:BF24">
    <cfRule type="top10" dxfId="147" priority="164" percent="1" rank="25"/>
    <cfRule type="top10" dxfId="146" priority="163" percent="1" bottom="1" rank="25"/>
  </conditionalFormatting>
  <conditionalFormatting sqref="BF26:BF43">
    <cfRule type="top10" dxfId="145" priority="166" percent="1" rank="25"/>
    <cfRule type="top10" dxfId="144" priority="165" percent="1" bottom="1" rank="25"/>
  </conditionalFormatting>
  <conditionalFormatting sqref="BF45:BF62">
    <cfRule type="top10" dxfId="143" priority="162" percent="1" rank="25"/>
    <cfRule type="top10" dxfId="142" priority="161" percent="1" bottom="1" rank="25"/>
  </conditionalFormatting>
  <conditionalFormatting sqref="BF65:BF82">
    <cfRule type="top10" dxfId="141" priority="160" percent="1" rank="25"/>
    <cfRule type="top10" dxfId="140" priority="159" percent="1" bottom="1" rank="25"/>
  </conditionalFormatting>
  <conditionalFormatting sqref="BG7:BG24">
    <cfRule type="top10" dxfId="139" priority="156" percent="1" rank="25"/>
    <cfRule type="top10" dxfId="138" priority="155" percent="1" bottom="1" rank="25"/>
  </conditionalFormatting>
  <conditionalFormatting sqref="BG26:BG43">
    <cfRule type="top10" dxfId="137" priority="158" percent="1" rank="25"/>
    <cfRule type="top10" dxfId="136" priority="157" percent="1" bottom="1" rank="25"/>
  </conditionalFormatting>
  <conditionalFormatting sqref="BG45:BG62">
    <cfRule type="top10" dxfId="135" priority="154" percent="1" rank="25"/>
    <cfRule type="top10" dxfId="134" priority="153" percent="1" bottom="1" rank="25"/>
  </conditionalFormatting>
  <conditionalFormatting sqref="BG65:BG82">
    <cfRule type="top10" dxfId="133" priority="152" percent="1" rank="25"/>
    <cfRule type="top10" dxfId="132" priority="151" percent="1" bottom="1" rank="25"/>
  </conditionalFormatting>
  <conditionalFormatting sqref="BH7:BH24">
    <cfRule type="top10" dxfId="131" priority="148" percent="1" rank="25"/>
    <cfRule type="top10" dxfId="130" priority="147" percent="1" bottom="1" rank="25"/>
  </conditionalFormatting>
  <conditionalFormatting sqref="BH26:BH43">
    <cfRule type="top10" dxfId="129" priority="150" percent="1" rank="25"/>
    <cfRule type="top10" dxfId="128" priority="149" percent="1" bottom="1" rank="25"/>
  </conditionalFormatting>
  <conditionalFormatting sqref="BH45:BH62">
    <cfRule type="top10" dxfId="127" priority="145" percent="1" bottom="1" rank="25"/>
    <cfRule type="top10" dxfId="126" priority="146" percent="1" rank="25"/>
  </conditionalFormatting>
  <conditionalFormatting sqref="BH65:BH82">
    <cfRule type="top10" dxfId="125" priority="143" percent="1" bottom="1" rank="25"/>
    <cfRule type="top10" dxfId="124" priority="144" percent="1" rank="25"/>
  </conditionalFormatting>
  <conditionalFormatting sqref="BI7:BI24">
    <cfRule type="top10" dxfId="123" priority="142" percent="1" rank="25"/>
    <cfRule type="top10" dxfId="122" priority="141" percent="1" bottom="1" rank="25"/>
  </conditionalFormatting>
  <conditionalFormatting sqref="BI45:BI62">
    <cfRule type="top10" dxfId="121" priority="140" percent="1" rank="25"/>
    <cfRule type="top10" dxfId="120" priority="139" percent="1" bottom="1" rank="25"/>
  </conditionalFormatting>
  <conditionalFormatting sqref="BI65:BI82">
    <cfRule type="top10" dxfId="119" priority="138" percent="1" rank="25"/>
    <cfRule type="top10" dxfId="118" priority="137" percent="1" bottom="1" rank="25"/>
  </conditionalFormatting>
  <conditionalFormatting sqref="BJ7:BJ24">
    <cfRule type="top10" dxfId="117" priority="134" percent="1" rank="25"/>
    <cfRule type="top10" dxfId="116" priority="133" percent="1" bottom="1" rank="25"/>
  </conditionalFormatting>
  <conditionalFormatting sqref="BJ45:BJ62">
    <cfRule type="top10" dxfId="115" priority="132" percent="1" rank="25"/>
    <cfRule type="top10" dxfId="114" priority="131" percent="1" bottom="1" rank="25"/>
  </conditionalFormatting>
  <conditionalFormatting sqref="BJ65:BJ82">
    <cfRule type="top10" dxfId="113" priority="130" percent="1" rank="25"/>
    <cfRule type="top10" dxfId="112" priority="129" percent="1" bottom="1" rank="25"/>
  </conditionalFormatting>
  <conditionalFormatting sqref="BJ26:BN43">
    <cfRule type="top10" dxfId="111" priority="127" percent="1" bottom="1" rank="25"/>
    <cfRule type="top10" dxfId="110" priority="128" percent="1" rank="25"/>
  </conditionalFormatting>
  <conditionalFormatting sqref="BK7:BK24">
    <cfRule type="top10" dxfId="109" priority="126" percent="1" rank="25"/>
    <cfRule type="top10" dxfId="108" priority="125" percent="1" bottom="1" rank="25"/>
  </conditionalFormatting>
  <conditionalFormatting sqref="BK45:BK62">
    <cfRule type="top10" dxfId="107" priority="123" percent="1" bottom="1" rank="25"/>
    <cfRule type="top10" dxfId="106" priority="124" percent="1" rank="25"/>
  </conditionalFormatting>
  <conditionalFormatting sqref="BK65:BK82">
    <cfRule type="top10" dxfId="105" priority="121" percent="1" bottom="1" rank="25"/>
    <cfRule type="top10" dxfId="104" priority="122" percent="1" rank="25"/>
  </conditionalFormatting>
  <conditionalFormatting sqref="BL7:BL24">
    <cfRule type="top10" dxfId="103" priority="119" percent="1" bottom="1" rank="25"/>
    <cfRule type="top10" dxfId="102" priority="120" percent="1" rank="25"/>
  </conditionalFormatting>
  <conditionalFormatting sqref="BL45:BL62">
    <cfRule type="top10" dxfId="101" priority="117" percent="1" bottom="1" rank="25"/>
    <cfRule type="top10" dxfId="100" priority="118" percent="1" rank="25"/>
  </conditionalFormatting>
  <conditionalFormatting sqref="BL65:BL82">
    <cfRule type="top10" dxfId="99" priority="115" percent="1" bottom="1" rank="25"/>
    <cfRule type="top10" dxfId="98" priority="116" percent="1" rank="25"/>
  </conditionalFormatting>
  <conditionalFormatting sqref="BM7:BM24">
    <cfRule type="top10" dxfId="97" priority="111" percent="1" bottom="1" rank="25"/>
    <cfRule type="top10" dxfId="96" priority="112" percent="1" rank="25"/>
  </conditionalFormatting>
  <conditionalFormatting sqref="BM45:BM62">
    <cfRule type="top10" dxfId="95" priority="109" percent="1" bottom="1" rank="25"/>
    <cfRule type="top10" dxfId="94" priority="110" percent="1" rank="25"/>
  </conditionalFormatting>
  <conditionalFormatting sqref="BM65:BM82">
    <cfRule type="top10" dxfId="93" priority="107" percent="1" bottom="1" rank="25"/>
    <cfRule type="top10" dxfId="92" priority="108" percent="1" rank="25"/>
  </conditionalFormatting>
  <conditionalFormatting sqref="BN7:BN24">
    <cfRule type="top10" dxfId="91" priority="103" percent="1" bottom="1" rank="25"/>
    <cfRule type="top10" dxfId="90" priority="104" percent="1" rank="25"/>
  </conditionalFormatting>
  <conditionalFormatting sqref="BN45:BN62">
    <cfRule type="top10" dxfId="89" priority="102" percent="1" rank="25"/>
    <cfRule type="top10" dxfId="88" priority="101" percent="1" bottom="1" rank="25"/>
  </conditionalFormatting>
  <conditionalFormatting sqref="BN65:BN82">
    <cfRule type="top10" dxfId="87" priority="100" percent="1" rank="25"/>
    <cfRule type="top10" dxfId="86" priority="99" percent="1" bottom="1" rank="25"/>
  </conditionalFormatting>
  <conditionalFormatting sqref="BO7:BO24">
    <cfRule type="top10" dxfId="85" priority="95" percent="1" bottom="1" rank="25"/>
    <cfRule type="top10" dxfId="84" priority="96" percent="1" rank="25"/>
  </conditionalFormatting>
  <conditionalFormatting sqref="BO45:BO62">
    <cfRule type="top10" dxfId="83" priority="93" percent="1" bottom="1" rank="25"/>
    <cfRule type="top10" dxfId="82" priority="94" percent="1" rank="25"/>
  </conditionalFormatting>
  <conditionalFormatting sqref="BO65:BO82">
    <cfRule type="top10" dxfId="81" priority="91" percent="1" bottom="1" rank="25"/>
    <cfRule type="top10" dxfId="80" priority="92" percent="1" rank="25"/>
  </conditionalFormatting>
  <conditionalFormatting sqref="BO26:CB43">
    <cfRule type="top10" dxfId="79" priority="98" percent="1" rank="25"/>
    <cfRule type="top10" dxfId="78" priority="97" percent="1" bottom="1" rank="25"/>
  </conditionalFormatting>
  <conditionalFormatting sqref="BP7:BP24">
    <cfRule type="top10" dxfId="77" priority="89" percent="1" bottom="1" rank="25"/>
    <cfRule type="top10" dxfId="76" priority="90" percent="1" rank="25"/>
  </conditionalFormatting>
  <conditionalFormatting sqref="BP45:BP62">
    <cfRule type="top10" dxfId="75" priority="88" percent="1" rank="25"/>
    <cfRule type="top10" dxfId="74" priority="87" percent="1" bottom="1" rank="25"/>
  </conditionalFormatting>
  <conditionalFormatting sqref="BP65:BP82">
    <cfRule type="top10" dxfId="73" priority="86" percent="1" rank="25"/>
    <cfRule type="top10" dxfId="72" priority="85" percent="1" bottom="1" rank="25"/>
  </conditionalFormatting>
  <conditionalFormatting sqref="BQ7:BQ24">
    <cfRule type="top10" dxfId="71" priority="81" percent="1" bottom="1" rank="25"/>
    <cfRule type="top10" dxfId="70" priority="82" percent="1" rank="25"/>
  </conditionalFormatting>
  <conditionalFormatting sqref="BQ45:BQ62">
    <cfRule type="top10" dxfId="69" priority="79" percent="1" bottom="1" rank="25"/>
    <cfRule type="top10" dxfId="68" priority="80" percent="1" rank="25"/>
  </conditionalFormatting>
  <conditionalFormatting sqref="BQ65:BQ82">
    <cfRule type="top10" dxfId="67" priority="77" percent="1" bottom="1" rank="25"/>
    <cfRule type="top10" dxfId="66" priority="78" percent="1" rank="25"/>
  </conditionalFormatting>
  <conditionalFormatting sqref="BR7:BR24">
    <cfRule type="top10" dxfId="65" priority="75" percent="1" bottom="1" rank="25"/>
    <cfRule type="top10" dxfId="64" priority="76" percent="1" rank="25"/>
  </conditionalFormatting>
  <conditionalFormatting sqref="BR45:BR62">
    <cfRule type="top10" dxfId="63" priority="73" percent="1" bottom="1" rank="25"/>
    <cfRule type="top10" dxfId="62" priority="74" percent="1" rank="25"/>
  </conditionalFormatting>
  <conditionalFormatting sqref="BR65:BR82">
    <cfRule type="top10" dxfId="61" priority="71" percent="1" bottom="1" rank="25"/>
    <cfRule type="top10" dxfId="60" priority="72" percent="1" rank="25"/>
  </conditionalFormatting>
  <conditionalFormatting sqref="BS7:BS24">
    <cfRule type="top10" dxfId="59" priority="67" percent="1" bottom="1" rank="25"/>
    <cfRule type="top10" dxfId="58" priority="68" percent="1" rank="25"/>
  </conditionalFormatting>
  <conditionalFormatting sqref="BS45:BS62">
    <cfRule type="top10" dxfId="57" priority="65" percent="1" bottom="1" rank="25"/>
    <cfRule type="top10" dxfId="56" priority="66" percent="1" rank="25"/>
  </conditionalFormatting>
  <conditionalFormatting sqref="BS65:BS82">
    <cfRule type="top10" dxfId="55" priority="63" percent="1" bottom="1" rank="25"/>
    <cfRule type="top10" dxfId="54" priority="64" percent="1" rank="25"/>
  </conditionalFormatting>
  <conditionalFormatting sqref="BT7:BT24">
    <cfRule type="top10" dxfId="53" priority="60" percent="1" rank="25"/>
    <cfRule type="top10" dxfId="52" priority="59" percent="1" bottom="1" rank="25"/>
  </conditionalFormatting>
  <conditionalFormatting sqref="BT45:BT62">
    <cfRule type="top10" dxfId="51" priority="58" percent="1" rank="25"/>
    <cfRule type="top10" dxfId="50" priority="57" percent="1" bottom="1" rank="25"/>
  </conditionalFormatting>
  <conditionalFormatting sqref="BT65:BT82">
    <cfRule type="top10" dxfId="49" priority="55" percent="1" bottom="1" rank="25"/>
    <cfRule type="top10" dxfId="48" priority="56" percent="1" rank="25"/>
  </conditionalFormatting>
  <conditionalFormatting sqref="BU7:BU24">
    <cfRule type="top10" dxfId="47" priority="54" percent="1" rank="25"/>
    <cfRule type="top10" dxfId="46" priority="53" percent="1" bottom="1" rank="25"/>
  </conditionalFormatting>
  <conditionalFormatting sqref="BU45:BU62">
    <cfRule type="top10" dxfId="45" priority="51" percent="1" bottom="1" rank="25"/>
    <cfRule type="top10" dxfId="44" priority="52" percent="1" rank="25"/>
  </conditionalFormatting>
  <conditionalFormatting sqref="BU65:BU82">
    <cfRule type="top10" dxfId="43" priority="49" percent="1" bottom="1" rank="25"/>
    <cfRule type="top10" dxfId="42" priority="50" percent="1" rank="25"/>
  </conditionalFormatting>
  <conditionalFormatting sqref="BV7:BV24">
    <cfRule type="top10" dxfId="41" priority="47" percent="1" bottom="1" rank="25"/>
    <cfRule type="top10" dxfId="40" priority="48" percent="1" rank="25"/>
  </conditionalFormatting>
  <conditionalFormatting sqref="BV75:BV82 BV65:BV73">
    <cfRule type="top10" dxfId="39" priority="45" percent="1" bottom="1" rank="25"/>
    <cfRule type="top10" dxfId="38" priority="46" percent="1" rank="25"/>
  </conditionalFormatting>
  <conditionalFormatting sqref="BW7:BW24">
    <cfRule type="top10" dxfId="37" priority="43" percent="1" bottom="1" rank="25"/>
    <cfRule type="top10" dxfId="36" priority="44" percent="1" rank="25"/>
  </conditionalFormatting>
  <conditionalFormatting sqref="BW75:BW82 BW65:BW73">
    <cfRule type="top10" dxfId="35" priority="41" percent="1" bottom="1" rank="25"/>
    <cfRule type="top10" dxfId="34" priority="42" percent="1" rank="25"/>
  </conditionalFormatting>
  <conditionalFormatting sqref="BX7:BX24">
    <cfRule type="top10" dxfId="33" priority="39" percent="1" bottom="1" rank="25"/>
    <cfRule type="top10" dxfId="32" priority="40" percent="1" rank="25"/>
  </conditionalFormatting>
  <conditionalFormatting sqref="BX75:BX82 BX65:BX73">
    <cfRule type="top10" dxfId="31" priority="37" percent="1" bottom="1" rank="25"/>
    <cfRule type="top10" dxfId="30" priority="38" percent="1" rank="25"/>
  </conditionalFormatting>
  <conditionalFormatting sqref="BY7:BY24">
    <cfRule type="top10" dxfId="29" priority="34" percent="1" rank="25"/>
    <cfRule type="top10" dxfId="28" priority="33" percent="1" bottom="1" rank="25"/>
  </conditionalFormatting>
  <conditionalFormatting sqref="BY75:BY82 BY65:BY73">
    <cfRule type="top10" dxfId="27" priority="32" percent="1" rank="25"/>
    <cfRule type="top10" dxfId="26" priority="31" percent="1" bottom="1" rank="25"/>
  </conditionalFormatting>
  <conditionalFormatting sqref="BZ7:BZ24">
    <cfRule type="top10" dxfId="25" priority="30" percent="1" rank="25"/>
    <cfRule type="top10" dxfId="24" priority="29" percent="1" bottom="1" rank="25"/>
  </conditionalFormatting>
  <conditionalFormatting sqref="BZ75:BZ82 BZ65:BZ73">
    <cfRule type="top10" dxfId="23" priority="27" percent="1" bottom="1" rank="25"/>
    <cfRule type="top10" dxfId="22" priority="28" percent="1" rank="25"/>
  </conditionalFormatting>
  <conditionalFormatting sqref="CA7:CA24">
    <cfRule type="top10" dxfId="21" priority="26" percent="1" rank="25"/>
    <cfRule type="top10" dxfId="20" priority="25" percent="1" bottom="1" rank="25"/>
  </conditionalFormatting>
  <conditionalFormatting sqref="CA75:CA82 CA65:CA73">
    <cfRule type="top10" dxfId="19" priority="23" percent="1" bottom="1" rank="25"/>
    <cfRule type="top10" dxfId="18" priority="24" percent="1" rank="25"/>
  </conditionalFormatting>
  <conditionalFormatting sqref="CB7:CB24">
    <cfRule type="top10" dxfId="17" priority="21" percent="1" bottom="1" rank="25"/>
    <cfRule type="top10" dxfId="16" priority="22" percent="1" rank="25"/>
  </conditionalFormatting>
  <conditionalFormatting sqref="CB75:CB82 CB65:CB73">
    <cfRule type="top10" dxfId="15" priority="19" percent="1" bottom="1" rank="25"/>
    <cfRule type="top10" dxfId="14" priority="20" percent="1" rank="25"/>
  </conditionalFormatting>
  <conditionalFormatting sqref="CC7:CC24">
    <cfRule type="top10" dxfId="13" priority="14" percent="1" rank="25"/>
    <cfRule type="top10" dxfId="12" priority="13" percent="1" bottom="1" rank="25"/>
  </conditionalFormatting>
  <conditionalFormatting sqref="CC75:CC82 CC65:CC73">
    <cfRule type="top10" dxfId="11" priority="12" percent="1" rank="25"/>
    <cfRule type="top10" dxfId="10" priority="11" percent="1" bottom="1" rank="25"/>
  </conditionalFormatting>
  <conditionalFormatting sqref="CC26:CE43">
    <cfRule type="top10" dxfId="9" priority="15" percent="1" bottom="1" rank="25"/>
    <cfRule type="top10" dxfId="8" priority="16" percent="1" rank="25"/>
  </conditionalFormatting>
  <conditionalFormatting sqref="CD7:CD24">
    <cfRule type="top10" dxfId="7" priority="10" percent="1" rank="25"/>
    <cfRule type="top10" dxfId="6" priority="9" percent="1" bottom="1" rank="25"/>
  </conditionalFormatting>
  <conditionalFormatting sqref="CD75:CD82 CD65:CD73">
    <cfRule type="top10" dxfId="5" priority="8" percent="1" rank="25"/>
    <cfRule type="top10" dxfId="4" priority="7" percent="1" bottom="1" rank="25"/>
  </conditionalFormatting>
  <conditionalFormatting sqref="CE7:CE24">
    <cfRule type="top10" dxfId="3" priority="3" percent="1" bottom="1" rank="25"/>
    <cfRule type="top10" dxfId="2" priority="4" percent="1" rank="25"/>
  </conditionalFormatting>
  <conditionalFormatting sqref="CE75:CE82 CE65:CE73">
    <cfRule type="top10" dxfId="1" priority="1" percent="1" bottom="1" rank="25"/>
    <cfRule type="top10" dxfId="0" priority="2" percent="1" rank="25"/>
  </conditionalFormatting>
  <dataValidations count="1">
    <dataValidation type="list" allowBlank="1" showInputMessage="1" showErrorMessage="1" sqref="C5" xr:uid="{20598733-9CE7-4891-838D-1759C02A3BD9}">
      <formula1>$C$2:$C$3</formula1>
    </dataValidation>
  </dataValidations>
  <hyperlinks>
    <hyperlink ref="W2" r:id="rId1" xr:uid="{7BE7ADC3-6BD6-448F-B846-2CCF56D1B12E}"/>
    <hyperlink ref="W3" r:id="rId2" xr:uid="{5384F4DE-4BAD-4F8F-BD90-62C85477576A}"/>
    <hyperlink ref="W1" r:id="rId3" location="etf-holdings&amp;sort_name=weight&amp;sort_order=desc&amp;page=1" xr:uid="{20B3C3D3-3E0E-4190-A597-E0766CB4EF4F}"/>
    <hyperlink ref="AB2" r:id="rId4" xr:uid="{02019B73-BB44-4655-92D7-BE7B7917FC9D}"/>
    <hyperlink ref="W4" r:id="rId5" xr:uid="{42B9EA63-3F86-43A1-9394-3193000A5071}"/>
    <hyperlink ref="AD2" r:id="rId6" xr:uid="{9F3759BC-F531-49E1-80B9-5F6AC199D1F0}"/>
    <hyperlink ref="AD3" r:id="rId7" xr:uid="{F1E42F53-5EB5-4FFD-8EC7-06A95F30BC01}"/>
    <hyperlink ref="AB1" r:id="rId8" xr:uid="{DFBE6130-57A7-49FE-B4A3-01875B96D68A}"/>
    <hyperlink ref="B2" r:id="rId9" xr:uid="{FA1B4958-CCB8-4AA4-9FF9-560CC5B1DFEA}"/>
    <hyperlink ref="B3" r:id="rId10" xr:uid="{625D0B14-319B-460E-AF64-920E3DD29DAD}"/>
    <hyperlink ref="B22" r:id="rId11" display="Textile Mills" xr:uid="{840E665B-2875-4750-BE78-477304956EF1}"/>
    <hyperlink ref="B60" r:id="rId12" display="Textile Mills" xr:uid="{0F647E3A-081A-4CD9-AAB5-619EF6219F75}"/>
    <hyperlink ref="B80" r:id="rId13" display="Textile Mills" xr:uid="{2A37E570-533E-43B9-8A98-17BF62EEAFF6}"/>
    <hyperlink ref="B99" r:id="rId14" display="Textile Mills" xr:uid="{B260BB23-4DD0-4DE8-AE4F-3C877AB0C93D}"/>
    <hyperlink ref="B118" r:id="rId15" display="Textile Mills" xr:uid="{D5765495-63CF-41C9-8B78-B9825D3E3E03}"/>
    <hyperlink ref="B137" r:id="rId16" display="Textile Mills" xr:uid="{10CF08AE-9F8A-4D04-873D-0026604DDF1A}"/>
    <hyperlink ref="B156" r:id="rId17" display="Textile Mills" xr:uid="{C718E9EB-32F7-4CA4-B25D-B1EC4662C0D8}"/>
    <hyperlink ref="B175" r:id="rId18" display="Textile Mills" xr:uid="{1CF134C6-04F2-4E84-A0BB-1C47D77D8117}"/>
    <hyperlink ref="B194" r:id="rId19" display="Textile Mills" xr:uid="{98C4EA8E-3528-4848-9B1E-2BF35213449D}"/>
    <hyperlink ref="B213" r:id="rId20" display="Textile Mills" xr:uid="{176F33E7-96B9-4D35-B5BB-0B66538FE735}"/>
    <hyperlink ref="K4" r:id="rId21" xr:uid="{EBE2B7D6-F62E-49A0-82E0-35999D1BE254}"/>
    <hyperlink ref="J4" r:id="rId22" xr:uid="{8DBE2630-CE89-43EF-96CA-0F6153A010A9}"/>
    <hyperlink ref="I4" r:id="rId23" xr:uid="{BDD4A1C6-464E-435D-A338-4DCB42236358}"/>
    <hyperlink ref="H4" r:id="rId24" xr:uid="{07BF168B-390D-43E8-A5B8-07392612A0E0}"/>
    <hyperlink ref="G4" r:id="rId25" xr:uid="{2810CF8C-14F1-4DF0-B20A-41EFBAD08EC1}"/>
    <hyperlink ref="F4" r:id="rId26" xr:uid="{983201D7-F513-40F0-986A-5858D389DE74}"/>
    <hyperlink ref="E4" r:id="rId27" xr:uid="{85A4A693-787E-4067-A04C-5D9BEFDA4184}"/>
    <hyperlink ref="B41" r:id="rId28" display="Textile Mills" xr:uid="{17479796-0D1A-40B0-A506-930526EECB3E}"/>
  </hyperlinks>
  <pageMargins left="0.7" right="0.7" top="0.75" bottom="0.75" header="0.3" footer="0.3"/>
  <ignoredErrors>
    <ignoredError sqref="BE26:BI43 BN26:BN43 BS26:BS43 BU6 CD26:CD43" evalError="1"/>
  </ignoredErrors>
  <drawing r:id="rId2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DBC-9704-4574-A24F-23490ED0B229}">
  <sheetPr>
    <tabColor theme="1"/>
  </sheetPr>
  <dimension ref="A1:S98"/>
  <sheetViews>
    <sheetView showGridLines="0" workbookViewId="0">
      <pane xSplit="1" ySplit="1" topLeftCell="B62" activePane="bottomRight" state="frozen"/>
      <selection pane="topRight" activeCell="C1" sqref="C1"/>
      <selection pane="bottomLeft" activeCell="A3" sqref="A3"/>
      <selection pane="bottomRight" activeCell="B72" sqref="B72"/>
    </sheetView>
  </sheetViews>
  <sheetFormatPr defaultRowHeight="15" x14ac:dyDescent="0.25"/>
  <cols>
    <col min="1" max="16384" width="9.140625" style="1"/>
  </cols>
  <sheetData>
    <row r="1" spans="1:19" ht="75.75" customHeight="1" x14ac:dyDescent="0.25">
      <c r="A1" s="3" t="s">
        <v>0</v>
      </c>
      <c r="B1" s="2" t="s">
        <v>55</v>
      </c>
      <c r="C1" s="2" t="s">
        <v>56</v>
      </c>
      <c r="D1" s="2" t="s">
        <v>57</v>
      </c>
      <c r="E1" s="2" t="s">
        <v>58</v>
      </c>
      <c r="F1" s="2" t="s">
        <v>59</v>
      </c>
      <c r="G1" s="2" t="s">
        <v>60</v>
      </c>
      <c r="H1" s="2" t="s">
        <v>61</v>
      </c>
      <c r="I1" s="2" t="s">
        <v>62</v>
      </c>
      <c r="J1" s="2" t="s">
        <v>63</v>
      </c>
      <c r="K1" s="2" t="s">
        <v>64</v>
      </c>
      <c r="L1" s="2" t="s">
        <v>65</v>
      </c>
      <c r="M1" s="2" t="s">
        <v>66</v>
      </c>
      <c r="N1" s="2" t="s">
        <v>67</v>
      </c>
      <c r="O1" s="2" t="s">
        <v>68</v>
      </c>
      <c r="P1" s="2" t="s">
        <v>69</v>
      </c>
      <c r="Q1" s="2" t="s">
        <v>70</v>
      </c>
      <c r="R1" s="2" t="s">
        <v>71</v>
      </c>
      <c r="S1" s="2" t="s">
        <v>72</v>
      </c>
    </row>
    <row r="2" spans="1:19" ht="18" customHeight="1" x14ac:dyDescent="0.25">
      <c r="A2" s="5">
        <v>43831</v>
      </c>
      <c r="B2" s="4">
        <v>7</v>
      </c>
      <c r="C2" s="4">
        <v>12</v>
      </c>
      <c r="D2" s="4">
        <v>-3</v>
      </c>
      <c r="E2" s="4">
        <v>4</v>
      </c>
      <c r="F2" s="4">
        <v>9</v>
      </c>
      <c r="G2" s="4">
        <v>6</v>
      </c>
      <c r="H2" s="4">
        <v>10</v>
      </c>
      <c r="I2" s="4">
        <v>2</v>
      </c>
      <c r="J2" s="4">
        <v>11</v>
      </c>
      <c r="K2" s="4">
        <v>-2</v>
      </c>
      <c r="L2" s="4">
        <v>-4</v>
      </c>
      <c r="M2" s="4">
        <v>1</v>
      </c>
      <c r="N2" s="4">
        <v>3</v>
      </c>
      <c r="O2" s="4">
        <v>-1</v>
      </c>
      <c r="P2" s="4">
        <v>5</v>
      </c>
      <c r="Q2" s="4">
        <v>-6</v>
      </c>
      <c r="R2" s="4">
        <v>8</v>
      </c>
      <c r="S2" s="4">
        <v>-5</v>
      </c>
    </row>
    <row r="3" spans="1:19" ht="18" customHeight="1" x14ac:dyDescent="0.25">
      <c r="A3" s="5">
        <v>43862</v>
      </c>
      <c r="B3" s="4">
        <v>16</v>
      </c>
      <c r="C3" s="4">
        <v>-1</v>
      </c>
      <c r="D3" s="4">
        <v>-2</v>
      </c>
      <c r="E3" s="4">
        <v>10</v>
      </c>
      <c r="F3" s="4">
        <v>5</v>
      </c>
      <c r="G3" s="4">
        <v>13</v>
      </c>
      <c r="H3" s="4">
        <v>9</v>
      </c>
      <c r="I3" s="4">
        <v>2</v>
      </c>
      <c r="J3" s="4">
        <v>15</v>
      </c>
      <c r="K3" s="4">
        <v>14</v>
      </c>
      <c r="L3" s="4">
        <v>11</v>
      </c>
      <c r="M3" s="4">
        <v>4</v>
      </c>
      <c r="N3" s="4">
        <v>8</v>
      </c>
      <c r="O3" s="4">
        <v>12</v>
      </c>
      <c r="P3" s="4">
        <v>1</v>
      </c>
      <c r="Q3" s="4">
        <v>6</v>
      </c>
      <c r="R3" s="4">
        <v>3</v>
      </c>
      <c r="S3" s="4">
        <v>7</v>
      </c>
    </row>
    <row r="4" spans="1:19" ht="18" customHeight="1" x14ac:dyDescent="0.25">
      <c r="A4" s="5">
        <v>43891</v>
      </c>
      <c r="B4" s="4">
        <v>0</v>
      </c>
      <c r="C4" s="4">
        <v>0</v>
      </c>
      <c r="D4" s="4">
        <v>-7</v>
      </c>
      <c r="E4" s="4">
        <v>4</v>
      </c>
      <c r="F4" s="4">
        <v>-1</v>
      </c>
      <c r="G4" s="4">
        <v>5</v>
      </c>
      <c r="H4" s="4">
        <v>9</v>
      </c>
      <c r="I4" s="4">
        <v>1</v>
      </c>
      <c r="J4" s="4">
        <v>3</v>
      </c>
      <c r="K4" s="4">
        <v>-4</v>
      </c>
      <c r="L4" s="4">
        <v>-3</v>
      </c>
      <c r="M4" s="4">
        <v>-5</v>
      </c>
      <c r="N4" s="4">
        <v>7</v>
      </c>
      <c r="O4" s="4">
        <v>8</v>
      </c>
      <c r="P4" s="4">
        <v>-2</v>
      </c>
      <c r="Q4" s="4">
        <v>-6</v>
      </c>
      <c r="R4" s="4">
        <v>6</v>
      </c>
      <c r="S4" s="4">
        <v>2</v>
      </c>
    </row>
    <row r="5" spans="1:19" ht="18" customHeight="1" x14ac:dyDescent="0.25">
      <c r="A5" s="5">
        <v>43922</v>
      </c>
      <c r="B5" s="4">
        <v>-6</v>
      </c>
      <c r="C5" s="4">
        <v>-15</v>
      </c>
      <c r="D5" s="4">
        <v>-16</v>
      </c>
      <c r="E5" s="4">
        <v>-11</v>
      </c>
      <c r="F5" s="4">
        <v>-4</v>
      </c>
      <c r="G5" s="4">
        <v>1</v>
      </c>
      <c r="H5" s="4">
        <v>-1</v>
      </c>
      <c r="I5" s="4">
        <v>-7</v>
      </c>
      <c r="J5" s="4">
        <v>-5</v>
      </c>
      <c r="K5" s="4">
        <v>-9</v>
      </c>
      <c r="L5" s="4">
        <v>-13</v>
      </c>
      <c r="M5" s="4">
        <v>-8</v>
      </c>
      <c r="N5" s="4">
        <v>2</v>
      </c>
      <c r="O5" s="4">
        <v>-3</v>
      </c>
      <c r="P5" s="4">
        <v>-14</v>
      </c>
      <c r="Q5" s="4">
        <v>-10</v>
      </c>
      <c r="R5" s="4">
        <v>-2</v>
      </c>
      <c r="S5" s="4">
        <v>-12</v>
      </c>
    </row>
    <row r="6" spans="1:19" ht="18" customHeight="1" x14ac:dyDescent="0.25">
      <c r="A6" s="5">
        <v>43952</v>
      </c>
      <c r="B6" s="4">
        <v>-6</v>
      </c>
      <c r="C6" s="4">
        <v>4</v>
      </c>
      <c r="D6" s="4">
        <v>-13</v>
      </c>
      <c r="E6" s="4">
        <v>-11</v>
      </c>
      <c r="F6" s="4">
        <v>-10</v>
      </c>
      <c r="G6" s="4">
        <v>3</v>
      </c>
      <c r="H6" s="4">
        <v>-2</v>
      </c>
      <c r="I6" s="4">
        <v>1</v>
      </c>
      <c r="J6" s="4">
        <v>-5</v>
      </c>
      <c r="K6" s="4">
        <v>-14</v>
      </c>
      <c r="L6" s="4">
        <v>-12</v>
      </c>
      <c r="M6" s="4">
        <v>-9</v>
      </c>
      <c r="N6" s="4">
        <v>2</v>
      </c>
      <c r="O6" s="4">
        <v>-4</v>
      </c>
      <c r="P6" s="4">
        <v>-1</v>
      </c>
      <c r="Q6" s="4">
        <v>-3</v>
      </c>
      <c r="R6" s="4">
        <v>-8</v>
      </c>
      <c r="S6" s="4">
        <v>-7</v>
      </c>
    </row>
    <row r="7" spans="1:19" ht="18" customHeight="1" x14ac:dyDescent="0.25">
      <c r="A7" s="5">
        <v>43983</v>
      </c>
      <c r="B7" s="4">
        <v>13</v>
      </c>
      <c r="C7" s="4">
        <v>14</v>
      </c>
      <c r="D7" s="4">
        <v>5</v>
      </c>
      <c r="E7" s="4">
        <v>9</v>
      </c>
      <c r="F7" s="4">
        <v>0</v>
      </c>
      <c r="G7" s="4">
        <v>3</v>
      </c>
      <c r="H7" s="4">
        <v>10</v>
      </c>
      <c r="I7" s="4">
        <v>4</v>
      </c>
      <c r="J7" s="4">
        <v>-1</v>
      </c>
      <c r="K7" s="4">
        <v>-3</v>
      </c>
      <c r="L7" s="4">
        <v>-2</v>
      </c>
      <c r="M7" s="4">
        <v>1</v>
      </c>
      <c r="N7" s="4">
        <v>2</v>
      </c>
      <c r="O7" s="4">
        <v>11</v>
      </c>
      <c r="P7" s="4">
        <v>8</v>
      </c>
      <c r="Q7" s="4">
        <v>6</v>
      </c>
      <c r="R7" s="4">
        <v>7</v>
      </c>
      <c r="S7" s="4">
        <v>12</v>
      </c>
    </row>
    <row r="8" spans="1:19" ht="18" customHeight="1" x14ac:dyDescent="0.25">
      <c r="A8" s="5">
        <v>44013</v>
      </c>
      <c r="B8" s="4">
        <v>2</v>
      </c>
      <c r="C8" s="4">
        <v>3</v>
      </c>
      <c r="D8" s="4">
        <v>15</v>
      </c>
      <c r="E8" s="4">
        <v>9</v>
      </c>
      <c r="F8" s="4">
        <v>10</v>
      </c>
      <c r="G8" s="4">
        <v>6</v>
      </c>
      <c r="H8" s="4">
        <v>14</v>
      </c>
      <c r="I8" s="4">
        <v>1</v>
      </c>
      <c r="J8" s="4">
        <v>5</v>
      </c>
      <c r="K8" s="4">
        <v>-2</v>
      </c>
      <c r="L8" s="4">
        <v>-3</v>
      </c>
      <c r="M8" s="4">
        <v>-1</v>
      </c>
      <c r="N8" s="4">
        <v>7</v>
      </c>
      <c r="O8" s="4">
        <v>4</v>
      </c>
      <c r="P8" s="4">
        <v>13</v>
      </c>
      <c r="Q8" s="4">
        <v>12</v>
      </c>
      <c r="R8" s="4">
        <v>8</v>
      </c>
      <c r="S8" s="4">
        <v>11</v>
      </c>
    </row>
    <row r="9" spans="1:19" ht="18" customHeight="1" x14ac:dyDescent="0.25">
      <c r="A9" s="5">
        <v>44044</v>
      </c>
      <c r="B9" s="4">
        <v>12</v>
      </c>
      <c r="C9" s="4">
        <v>3</v>
      </c>
      <c r="D9" s="4">
        <v>15</v>
      </c>
      <c r="E9" s="4">
        <v>9</v>
      </c>
      <c r="F9" s="4">
        <v>4</v>
      </c>
      <c r="G9" s="4">
        <v>5</v>
      </c>
      <c r="H9" s="4">
        <v>14</v>
      </c>
      <c r="I9" s="4">
        <v>-2</v>
      </c>
      <c r="J9" s="4">
        <v>7</v>
      </c>
      <c r="K9" s="4">
        <v>-3</v>
      </c>
      <c r="L9" s="4">
        <v>-1</v>
      </c>
      <c r="M9" s="4">
        <v>1</v>
      </c>
      <c r="N9" s="4">
        <v>6</v>
      </c>
      <c r="O9" s="4">
        <v>2</v>
      </c>
      <c r="P9" s="4">
        <v>8</v>
      </c>
      <c r="Q9" s="4">
        <v>11</v>
      </c>
      <c r="R9" s="4">
        <v>13</v>
      </c>
      <c r="S9" s="4">
        <v>10</v>
      </c>
    </row>
    <row r="10" spans="1:19" ht="18" customHeight="1" x14ac:dyDescent="0.25">
      <c r="A10" s="5">
        <v>44094</v>
      </c>
      <c r="B10" s="4">
        <v>9</v>
      </c>
      <c r="C10" s="4">
        <v>5</v>
      </c>
      <c r="D10" s="4">
        <v>16</v>
      </c>
      <c r="E10" s="4">
        <v>8</v>
      </c>
      <c r="F10" s="4">
        <v>6</v>
      </c>
      <c r="G10" s="4">
        <v>4</v>
      </c>
      <c r="H10" s="4">
        <v>12</v>
      </c>
      <c r="I10" s="4">
        <v>2</v>
      </c>
      <c r="J10" s="4">
        <v>14</v>
      </c>
      <c r="K10" s="4">
        <v>0</v>
      </c>
      <c r="L10" s="4">
        <v>1</v>
      </c>
      <c r="M10" s="4">
        <v>-1</v>
      </c>
      <c r="N10" s="4">
        <v>7</v>
      </c>
      <c r="O10" s="4">
        <v>10</v>
      </c>
      <c r="P10" s="4">
        <v>3</v>
      </c>
      <c r="Q10" s="4">
        <v>13</v>
      </c>
      <c r="R10" s="4">
        <v>15</v>
      </c>
      <c r="S10" s="4">
        <v>11</v>
      </c>
    </row>
    <row r="11" spans="1:19" ht="18" customHeight="1" x14ac:dyDescent="0.25">
      <c r="A11" s="5">
        <v>44105</v>
      </c>
      <c r="B11" s="4">
        <v>14</v>
      </c>
      <c r="C11" s="4">
        <v>12</v>
      </c>
      <c r="D11" s="4">
        <v>-2</v>
      </c>
      <c r="E11" s="4">
        <v>15</v>
      </c>
      <c r="F11" s="4">
        <v>11</v>
      </c>
      <c r="G11" s="4">
        <v>10</v>
      </c>
      <c r="H11" s="4">
        <v>13</v>
      </c>
      <c r="I11" s="4">
        <v>2</v>
      </c>
      <c r="J11" s="4">
        <v>9</v>
      </c>
      <c r="K11" s="4">
        <v>7</v>
      </c>
      <c r="L11" s="4">
        <v>1</v>
      </c>
      <c r="M11" s="4">
        <v>6</v>
      </c>
      <c r="N11" s="4">
        <v>-1</v>
      </c>
      <c r="O11" s="4">
        <v>3</v>
      </c>
      <c r="P11" s="4">
        <v>4</v>
      </c>
      <c r="Q11" s="4">
        <v>16</v>
      </c>
      <c r="R11" s="4">
        <v>5</v>
      </c>
      <c r="S11" s="4">
        <v>8</v>
      </c>
    </row>
    <row r="12" spans="1:19" ht="18" customHeight="1" x14ac:dyDescent="0.25">
      <c r="A12" s="5">
        <v>44136</v>
      </c>
      <c r="B12" s="4">
        <v>10</v>
      </c>
      <c r="C12" s="4">
        <v>4</v>
      </c>
      <c r="D12" s="4">
        <v>-4</v>
      </c>
      <c r="E12" s="4">
        <v>9</v>
      </c>
      <c r="F12" s="4">
        <v>-1</v>
      </c>
      <c r="G12" s="4">
        <v>5</v>
      </c>
      <c r="H12" s="4">
        <v>12</v>
      </c>
      <c r="I12" s="4">
        <v>1</v>
      </c>
      <c r="J12" s="4">
        <v>13</v>
      </c>
      <c r="K12" s="4">
        <v>3</v>
      </c>
      <c r="L12" s="4">
        <v>-3</v>
      </c>
      <c r="M12" s="4">
        <v>6</v>
      </c>
      <c r="N12" s="4">
        <v>2</v>
      </c>
      <c r="O12" s="4">
        <v>-2</v>
      </c>
      <c r="P12" s="4">
        <v>8</v>
      </c>
      <c r="Q12" s="4">
        <v>14</v>
      </c>
      <c r="R12" s="4">
        <v>11</v>
      </c>
      <c r="S12" s="4">
        <v>7</v>
      </c>
    </row>
    <row r="13" spans="1:19" ht="18" customHeight="1" x14ac:dyDescent="0.25">
      <c r="A13" s="5">
        <v>44166</v>
      </c>
      <c r="B13" s="4">
        <v>-3</v>
      </c>
      <c r="C13" s="4">
        <v>7</v>
      </c>
      <c r="D13" s="4">
        <v>-4</v>
      </c>
      <c r="E13" s="4">
        <v>2</v>
      </c>
      <c r="F13" s="4">
        <v>1</v>
      </c>
      <c r="G13" s="4">
        <v>9</v>
      </c>
      <c r="H13" s="4">
        <v>11</v>
      </c>
      <c r="I13" s="4">
        <v>6</v>
      </c>
      <c r="J13" s="4">
        <v>14</v>
      </c>
      <c r="K13" s="4">
        <v>4</v>
      </c>
      <c r="L13" s="4">
        <v>-2</v>
      </c>
      <c r="M13" s="4">
        <v>5</v>
      </c>
      <c r="N13" s="4">
        <v>3</v>
      </c>
      <c r="O13" s="4">
        <v>-1</v>
      </c>
      <c r="P13" s="4">
        <v>12</v>
      </c>
      <c r="Q13" s="4">
        <v>10</v>
      </c>
      <c r="R13" s="4">
        <v>8</v>
      </c>
      <c r="S13" s="4">
        <v>13</v>
      </c>
    </row>
    <row r="14" spans="1:19" ht="18" customHeight="1" x14ac:dyDescent="0.25">
      <c r="A14" s="5">
        <v>44197</v>
      </c>
      <c r="B14" s="4">
        <v>6</v>
      </c>
      <c r="C14" s="4">
        <v>7</v>
      </c>
      <c r="D14" s="4">
        <v>-4</v>
      </c>
      <c r="E14" s="4">
        <v>13</v>
      </c>
      <c r="F14" s="4">
        <v>-3</v>
      </c>
      <c r="G14" s="4">
        <v>11</v>
      </c>
      <c r="H14" s="4">
        <v>9</v>
      </c>
      <c r="I14" s="4">
        <v>1</v>
      </c>
      <c r="J14" s="4">
        <v>8</v>
      </c>
      <c r="K14" s="4">
        <v>4</v>
      </c>
      <c r="L14" s="4">
        <v>5</v>
      </c>
      <c r="M14" s="4">
        <v>3</v>
      </c>
      <c r="N14" s="4">
        <v>2</v>
      </c>
      <c r="O14" s="4">
        <v>14</v>
      </c>
      <c r="P14" s="4">
        <v>-2</v>
      </c>
      <c r="Q14" s="4">
        <v>10</v>
      </c>
      <c r="R14" s="4">
        <v>-1</v>
      </c>
      <c r="S14" s="4">
        <v>12</v>
      </c>
    </row>
    <row r="15" spans="1:19" ht="18" customHeight="1" x14ac:dyDescent="0.25">
      <c r="A15" s="5">
        <v>44228</v>
      </c>
      <c r="B15" s="4">
        <v>17</v>
      </c>
      <c r="C15" s="4">
        <v>4</v>
      </c>
      <c r="D15" s="4">
        <v>13</v>
      </c>
      <c r="E15" s="4">
        <v>14</v>
      </c>
      <c r="F15" s="4">
        <v>3</v>
      </c>
      <c r="G15" s="4">
        <v>7</v>
      </c>
      <c r="H15" s="4">
        <v>10</v>
      </c>
      <c r="I15" s="4">
        <v>5</v>
      </c>
      <c r="J15" s="4">
        <v>6</v>
      </c>
      <c r="K15" s="4">
        <v>1</v>
      </c>
      <c r="L15" s="4">
        <v>2</v>
      </c>
      <c r="M15" s="4">
        <v>8</v>
      </c>
      <c r="N15" s="4">
        <v>12</v>
      </c>
      <c r="O15" s="4">
        <v>-1</v>
      </c>
      <c r="P15" s="4">
        <v>9</v>
      </c>
      <c r="Q15" s="4">
        <v>15</v>
      </c>
      <c r="R15" s="4">
        <v>11</v>
      </c>
      <c r="S15" s="4">
        <v>16</v>
      </c>
    </row>
    <row r="16" spans="1:19" ht="18" customHeight="1" x14ac:dyDescent="0.25">
      <c r="A16" s="5">
        <v>44256</v>
      </c>
      <c r="B16" s="4">
        <v>12</v>
      </c>
      <c r="C16" s="4">
        <v>13</v>
      </c>
      <c r="D16" s="4">
        <v>18</v>
      </c>
      <c r="E16" s="4">
        <v>14</v>
      </c>
      <c r="F16" s="4">
        <v>2</v>
      </c>
      <c r="G16" s="4">
        <v>8</v>
      </c>
      <c r="H16" s="4">
        <v>6</v>
      </c>
      <c r="I16" s="4">
        <v>4</v>
      </c>
      <c r="J16" s="4">
        <v>15</v>
      </c>
      <c r="K16" s="4">
        <v>16</v>
      </c>
      <c r="L16" s="4">
        <v>1</v>
      </c>
      <c r="M16" s="4">
        <v>5</v>
      </c>
      <c r="N16" s="4">
        <v>9</v>
      </c>
      <c r="O16" s="4">
        <v>11</v>
      </c>
      <c r="P16" s="4">
        <v>3</v>
      </c>
      <c r="Q16" s="4">
        <v>10</v>
      </c>
      <c r="R16" s="4">
        <v>7</v>
      </c>
      <c r="S16" s="4">
        <v>17</v>
      </c>
    </row>
    <row r="17" spans="1:19" ht="18" customHeight="1" x14ac:dyDescent="0.25">
      <c r="A17" s="5">
        <v>44287</v>
      </c>
      <c r="B17" s="4">
        <v>1</v>
      </c>
      <c r="C17" s="4">
        <v>-1</v>
      </c>
      <c r="D17" s="4">
        <v>17</v>
      </c>
      <c r="E17" s="4">
        <v>14</v>
      </c>
      <c r="F17" s="4">
        <v>3</v>
      </c>
      <c r="G17" s="4">
        <v>7</v>
      </c>
      <c r="H17" s="4">
        <v>5</v>
      </c>
      <c r="I17" s="4">
        <v>2</v>
      </c>
      <c r="J17" s="4">
        <v>15</v>
      </c>
      <c r="K17" s="4">
        <v>6</v>
      </c>
      <c r="L17" s="4">
        <v>8</v>
      </c>
      <c r="M17" s="4">
        <v>4</v>
      </c>
      <c r="N17" s="4">
        <v>11</v>
      </c>
      <c r="O17" s="4">
        <v>13</v>
      </c>
      <c r="P17" s="4">
        <v>9</v>
      </c>
      <c r="Q17" s="4">
        <v>10</v>
      </c>
      <c r="R17" s="4">
        <v>12</v>
      </c>
      <c r="S17" s="4">
        <v>16</v>
      </c>
    </row>
    <row r="18" spans="1:19" ht="18" customHeight="1" x14ac:dyDescent="0.25">
      <c r="A18" s="5">
        <v>44317</v>
      </c>
      <c r="B18" s="4">
        <v>6</v>
      </c>
      <c r="C18" s="4">
        <v>4</v>
      </c>
      <c r="D18" s="4">
        <v>15</v>
      </c>
      <c r="E18" s="4">
        <v>16</v>
      </c>
      <c r="F18" s="4">
        <v>1</v>
      </c>
      <c r="G18" s="4">
        <v>11</v>
      </c>
      <c r="H18" s="4">
        <v>5</v>
      </c>
      <c r="I18" s="4">
        <v>7</v>
      </c>
      <c r="J18" s="4">
        <v>10</v>
      </c>
      <c r="K18" s="4">
        <v>12</v>
      </c>
      <c r="L18" s="4">
        <v>8</v>
      </c>
      <c r="M18" s="4">
        <v>2</v>
      </c>
      <c r="N18" s="4">
        <v>3</v>
      </c>
      <c r="O18" s="4">
        <v>13</v>
      </c>
      <c r="P18" s="4">
        <v>18</v>
      </c>
      <c r="Q18" s="4">
        <v>14</v>
      </c>
      <c r="R18" s="4">
        <v>9</v>
      </c>
      <c r="S18" s="4">
        <v>17</v>
      </c>
    </row>
    <row r="19" spans="1:19" ht="18" customHeight="1" x14ac:dyDescent="0.25">
      <c r="A19" s="5">
        <v>44348</v>
      </c>
      <c r="B19" s="4">
        <v>10</v>
      </c>
      <c r="C19" s="4">
        <v>-1</v>
      </c>
      <c r="D19" s="4">
        <v>16</v>
      </c>
      <c r="E19" s="4">
        <v>7</v>
      </c>
      <c r="F19" s="4">
        <v>2</v>
      </c>
      <c r="G19" s="4">
        <v>3</v>
      </c>
      <c r="H19" s="4">
        <v>6</v>
      </c>
      <c r="I19" s="4">
        <v>4</v>
      </c>
      <c r="J19" s="4">
        <v>11</v>
      </c>
      <c r="K19" s="4">
        <v>8</v>
      </c>
      <c r="L19" s="4">
        <v>15</v>
      </c>
      <c r="M19" s="4">
        <v>1</v>
      </c>
      <c r="N19" s="4">
        <v>5</v>
      </c>
      <c r="O19" s="4">
        <v>-2</v>
      </c>
      <c r="P19" s="4">
        <v>12</v>
      </c>
      <c r="Q19" s="4">
        <v>14</v>
      </c>
      <c r="R19" s="4">
        <v>9</v>
      </c>
      <c r="S19" s="4">
        <v>13</v>
      </c>
    </row>
    <row r="20" spans="1:19" ht="18" customHeight="1" x14ac:dyDescent="0.25">
      <c r="A20" s="5">
        <v>44378</v>
      </c>
      <c r="B20" s="4">
        <v>15</v>
      </c>
      <c r="C20" s="4">
        <v>0</v>
      </c>
      <c r="D20" s="4">
        <v>17</v>
      </c>
      <c r="E20" s="4">
        <v>7</v>
      </c>
      <c r="F20" s="4">
        <v>3</v>
      </c>
      <c r="G20" s="4">
        <v>2</v>
      </c>
      <c r="H20" s="4">
        <v>6</v>
      </c>
      <c r="I20" s="4">
        <v>10</v>
      </c>
      <c r="J20" s="4">
        <v>14</v>
      </c>
      <c r="K20" s="4">
        <v>1</v>
      </c>
      <c r="L20" s="4">
        <v>9</v>
      </c>
      <c r="M20" s="4">
        <v>4</v>
      </c>
      <c r="N20" s="4">
        <v>8</v>
      </c>
      <c r="O20" s="4">
        <v>12</v>
      </c>
      <c r="P20" s="4">
        <v>13</v>
      </c>
      <c r="Q20" s="4">
        <v>11</v>
      </c>
      <c r="R20" s="4">
        <v>5</v>
      </c>
      <c r="S20" s="4">
        <v>16</v>
      </c>
    </row>
    <row r="21" spans="1:19" ht="18" customHeight="1" x14ac:dyDescent="0.25">
      <c r="A21" s="5">
        <v>44409</v>
      </c>
      <c r="B21" s="4">
        <v>17</v>
      </c>
      <c r="C21" s="4">
        <v>4</v>
      </c>
      <c r="D21" s="4">
        <v>-1</v>
      </c>
      <c r="E21" s="4">
        <v>15</v>
      </c>
      <c r="F21" s="4">
        <v>14</v>
      </c>
      <c r="G21" s="4">
        <v>3</v>
      </c>
      <c r="H21" s="4">
        <v>7</v>
      </c>
      <c r="I21" s="4">
        <v>13</v>
      </c>
      <c r="J21" s="4">
        <v>5</v>
      </c>
      <c r="K21" s="4">
        <v>12</v>
      </c>
      <c r="L21" s="4">
        <v>11</v>
      </c>
      <c r="M21" s="4">
        <v>1</v>
      </c>
      <c r="N21" s="4">
        <v>9</v>
      </c>
      <c r="O21" s="4">
        <v>2</v>
      </c>
      <c r="P21" s="4">
        <v>16</v>
      </c>
      <c r="Q21" s="4">
        <v>8</v>
      </c>
      <c r="R21" s="4">
        <v>10</v>
      </c>
      <c r="S21" s="4">
        <v>6</v>
      </c>
    </row>
    <row r="22" spans="1:19" ht="18" customHeight="1" x14ac:dyDescent="0.25">
      <c r="A22" s="5">
        <v>44440</v>
      </c>
      <c r="B22" s="4">
        <v>11</v>
      </c>
      <c r="C22" s="4">
        <v>-1</v>
      </c>
      <c r="D22" s="4">
        <v>16</v>
      </c>
      <c r="E22" s="4">
        <v>10</v>
      </c>
      <c r="F22" s="4">
        <v>14</v>
      </c>
      <c r="G22" s="4">
        <v>1</v>
      </c>
      <c r="H22" s="4">
        <v>5</v>
      </c>
      <c r="I22" s="4">
        <v>6</v>
      </c>
      <c r="J22" s="4">
        <v>15</v>
      </c>
      <c r="K22" s="4">
        <v>9</v>
      </c>
      <c r="L22" s="4">
        <v>7</v>
      </c>
      <c r="M22" s="4">
        <v>8</v>
      </c>
      <c r="N22" s="4">
        <v>3</v>
      </c>
      <c r="O22" s="4">
        <v>12</v>
      </c>
      <c r="P22" s="4">
        <v>17</v>
      </c>
      <c r="Q22" s="4">
        <v>13</v>
      </c>
      <c r="R22" s="4">
        <v>4</v>
      </c>
      <c r="S22" s="4">
        <v>2</v>
      </c>
    </row>
    <row r="23" spans="1:19" ht="18" customHeight="1" x14ac:dyDescent="0.25">
      <c r="A23" s="5">
        <v>44470</v>
      </c>
      <c r="B23" s="4">
        <v>8</v>
      </c>
      <c r="C23" s="4">
        <v>6</v>
      </c>
      <c r="D23" s="4">
        <v>15</v>
      </c>
      <c r="E23" s="4">
        <v>12</v>
      </c>
      <c r="F23" s="4">
        <v>10</v>
      </c>
      <c r="G23" s="4">
        <v>4</v>
      </c>
      <c r="H23" s="4">
        <v>7</v>
      </c>
      <c r="I23" s="4">
        <v>11</v>
      </c>
      <c r="J23" s="4">
        <v>5</v>
      </c>
      <c r="K23" s="4">
        <v>1</v>
      </c>
      <c r="L23" s="4">
        <v>14</v>
      </c>
      <c r="M23" s="4">
        <v>3</v>
      </c>
      <c r="N23" s="4">
        <v>2</v>
      </c>
      <c r="O23" s="4">
        <v>16</v>
      </c>
      <c r="P23" s="4">
        <v>18</v>
      </c>
      <c r="Q23" s="4">
        <v>17</v>
      </c>
      <c r="R23" s="4">
        <v>13</v>
      </c>
      <c r="S23" s="4">
        <v>9</v>
      </c>
    </row>
    <row r="24" spans="1:19" ht="18" customHeight="1" x14ac:dyDescent="0.25">
      <c r="A24" s="5">
        <v>44501</v>
      </c>
      <c r="B24" s="4">
        <v>1</v>
      </c>
      <c r="C24" s="4">
        <v>15</v>
      </c>
      <c r="D24" s="4">
        <v>7</v>
      </c>
      <c r="E24" s="4">
        <v>9</v>
      </c>
      <c r="F24" s="4">
        <v>2</v>
      </c>
      <c r="G24" s="4">
        <v>4</v>
      </c>
      <c r="H24" s="4">
        <v>8</v>
      </c>
      <c r="I24" s="4">
        <v>3</v>
      </c>
      <c r="J24" s="4">
        <v>14</v>
      </c>
      <c r="K24" s="4">
        <v>11</v>
      </c>
      <c r="L24" s="4">
        <v>6</v>
      </c>
      <c r="M24" s="4">
        <v>5</v>
      </c>
      <c r="N24" s="4">
        <v>10</v>
      </c>
      <c r="O24" s="4">
        <v>18</v>
      </c>
      <c r="P24" s="4">
        <v>16</v>
      </c>
      <c r="Q24" s="4">
        <v>17</v>
      </c>
      <c r="R24" s="4">
        <v>13</v>
      </c>
      <c r="S24" s="4">
        <v>12</v>
      </c>
    </row>
    <row r="25" spans="1:19" ht="18" customHeight="1" x14ac:dyDescent="0.25">
      <c r="A25" s="5">
        <v>44531</v>
      </c>
      <c r="B25" s="4">
        <v>16</v>
      </c>
      <c r="C25" s="4">
        <v>0</v>
      </c>
      <c r="D25" s="4">
        <v>8</v>
      </c>
      <c r="E25" s="4">
        <v>14</v>
      </c>
      <c r="F25" s="4">
        <v>1</v>
      </c>
      <c r="G25" s="4">
        <v>4</v>
      </c>
      <c r="H25" s="4">
        <v>9</v>
      </c>
      <c r="I25" s="4">
        <v>3</v>
      </c>
      <c r="J25" s="4">
        <v>12</v>
      </c>
      <c r="K25" s="4">
        <v>-1</v>
      </c>
      <c r="L25" s="4">
        <v>10</v>
      </c>
      <c r="M25" s="4">
        <v>6</v>
      </c>
      <c r="N25" s="4">
        <v>5</v>
      </c>
      <c r="O25" s="4">
        <v>2</v>
      </c>
      <c r="P25" s="4">
        <v>11</v>
      </c>
      <c r="Q25" s="4">
        <v>13</v>
      </c>
      <c r="R25" s="4">
        <v>7</v>
      </c>
      <c r="S25" s="4">
        <v>15</v>
      </c>
    </row>
    <row r="26" spans="1:19" ht="18" customHeight="1" x14ac:dyDescent="0.25">
      <c r="A26" s="5">
        <v>44562</v>
      </c>
      <c r="B26" s="4">
        <v>1</v>
      </c>
      <c r="C26" s="4">
        <v>-3</v>
      </c>
      <c r="D26" s="4">
        <v>-2</v>
      </c>
      <c r="E26" s="4">
        <v>15</v>
      </c>
      <c r="F26" s="4">
        <v>7</v>
      </c>
      <c r="G26" s="4">
        <v>6</v>
      </c>
      <c r="H26" s="4">
        <v>13</v>
      </c>
      <c r="I26" s="4">
        <v>-1</v>
      </c>
      <c r="J26" s="4">
        <v>4</v>
      </c>
      <c r="K26" s="4">
        <v>5</v>
      </c>
      <c r="L26" s="4">
        <v>8</v>
      </c>
      <c r="M26" s="4">
        <v>9</v>
      </c>
      <c r="N26" s="4">
        <v>12</v>
      </c>
      <c r="O26" s="4">
        <v>11</v>
      </c>
      <c r="P26" s="4">
        <v>14</v>
      </c>
      <c r="Q26" s="4">
        <v>3</v>
      </c>
      <c r="R26" s="4">
        <v>10</v>
      </c>
      <c r="S26" s="4">
        <v>2</v>
      </c>
    </row>
    <row r="27" spans="1:19" ht="18" customHeight="1" x14ac:dyDescent="0.25">
      <c r="A27" s="5">
        <v>44593</v>
      </c>
      <c r="B27" s="4">
        <v>-1</v>
      </c>
      <c r="C27" s="4">
        <v>-2</v>
      </c>
      <c r="D27" s="4">
        <v>-3</v>
      </c>
      <c r="E27" s="4">
        <v>14</v>
      </c>
      <c r="F27" s="4">
        <v>12</v>
      </c>
      <c r="G27" s="4">
        <v>6</v>
      </c>
      <c r="H27" s="4">
        <v>7</v>
      </c>
      <c r="I27" s="4">
        <v>2</v>
      </c>
      <c r="J27" s="4">
        <v>11</v>
      </c>
      <c r="K27" s="4">
        <v>9</v>
      </c>
      <c r="L27" s="4">
        <v>1</v>
      </c>
      <c r="M27" s="4">
        <v>5</v>
      </c>
      <c r="N27" s="4">
        <v>4</v>
      </c>
      <c r="O27" s="4">
        <v>-4</v>
      </c>
      <c r="P27" s="4">
        <v>3</v>
      </c>
      <c r="Q27" s="4">
        <v>13</v>
      </c>
      <c r="R27" s="4">
        <v>8</v>
      </c>
      <c r="S27" s="4">
        <v>10</v>
      </c>
    </row>
    <row r="28" spans="1:19" ht="18" customHeight="1" x14ac:dyDescent="0.25">
      <c r="A28" s="5">
        <v>44621</v>
      </c>
      <c r="B28" s="4">
        <v>12</v>
      </c>
      <c r="C28" s="4">
        <v>-1</v>
      </c>
      <c r="D28" s="4">
        <v>16</v>
      </c>
      <c r="E28" s="4">
        <v>14</v>
      </c>
      <c r="F28" s="4">
        <v>17</v>
      </c>
      <c r="G28" s="4">
        <v>4</v>
      </c>
      <c r="H28" s="4">
        <v>1</v>
      </c>
      <c r="I28" s="4">
        <v>9</v>
      </c>
      <c r="J28" s="4">
        <v>5</v>
      </c>
      <c r="K28" s="4">
        <v>2</v>
      </c>
      <c r="L28" s="4">
        <v>11</v>
      </c>
      <c r="M28" s="4">
        <v>3</v>
      </c>
      <c r="N28" s="4">
        <v>7</v>
      </c>
      <c r="O28" s="4">
        <v>10</v>
      </c>
      <c r="P28" s="4">
        <v>6</v>
      </c>
      <c r="Q28" s="4">
        <v>8</v>
      </c>
      <c r="R28" s="4">
        <v>15</v>
      </c>
      <c r="S28" s="4">
        <v>13</v>
      </c>
    </row>
    <row r="29" spans="1:19" ht="18" customHeight="1" x14ac:dyDescent="0.25">
      <c r="A29" s="5">
        <v>44652</v>
      </c>
      <c r="B29" s="4">
        <v>13</v>
      </c>
      <c r="C29" s="4">
        <v>1</v>
      </c>
      <c r="D29" s="4">
        <v>2</v>
      </c>
      <c r="E29" s="4">
        <v>17</v>
      </c>
      <c r="F29" s="4">
        <v>10</v>
      </c>
      <c r="G29" s="4">
        <v>6</v>
      </c>
      <c r="H29" s="4">
        <v>4</v>
      </c>
      <c r="I29" s="4">
        <v>-1</v>
      </c>
      <c r="J29" s="4">
        <v>15</v>
      </c>
      <c r="K29" s="4">
        <v>9</v>
      </c>
      <c r="L29" s="4">
        <v>5</v>
      </c>
      <c r="M29" s="4">
        <v>11</v>
      </c>
      <c r="N29" s="4">
        <v>12</v>
      </c>
      <c r="O29" s="4">
        <v>14</v>
      </c>
      <c r="P29" s="4">
        <v>3</v>
      </c>
      <c r="Q29" s="4">
        <v>8</v>
      </c>
      <c r="R29" s="4">
        <v>16</v>
      </c>
      <c r="S29" s="4">
        <v>7</v>
      </c>
    </row>
    <row r="30" spans="1:19" ht="18" customHeight="1" x14ac:dyDescent="0.25">
      <c r="A30" s="5">
        <v>44682</v>
      </c>
      <c r="B30" s="4">
        <v>7</v>
      </c>
      <c r="C30" s="4">
        <v>-3</v>
      </c>
      <c r="D30" s="4">
        <v>4</v>
      </c>
      <c r="E30" s="4">
        <v>13</v>
      </c>
      <c r="F30" s="4">
        <v>11</v>
      </c>
      <c r="G30" s="4">
        <v>0</v>
      </c>
      <c r="H30" s="4">
        <v>2</v>
      </c>
      <c r="I30" s="4">
        <v>-1</v>
      </c>
      <c r="J30" s="4">
        <v>9</v>
      </c>
      <c r="K30" s="4">
        <v>14</v>
      </c>
      <c r="L30" s="4">
        <v>3</v>
      </c>
      <c r="M30" s="4">
        <v>5</v>
      </c>
      <c r="N30" s="4">
        <v>1</v>
      </c>
      <c r="O30" s="4">
        <v>12</v>
      </c>
      <c r="P30" s="4">
        <v>-2</v>
      </c>
      <c r="Q30" s="4">
        <v>10</v>
      </c>
      <c r="R30" s="4">
        <v>8</v>
      </c>
      <c r="S30" s="4">
        <v>6</v>
      </c>
    </row>
    <row r="31" spans="1:19" ht="18" customHeight="1" x14ac:dyDescent="0.25">
      <c r="A31" s="5">
        <v>44713</v>
      </c>
      <c r="B31" s="4">
        <v>7</v>
      </c>
      <c r="C31" s="4">
        <v>4</v>
      </c>
      <c r="D31" s="4">
        <v>14</v>
      </c>
      <c r="E31" s="4">
        <v>15</v>
      </c>
      <c r="F31" s="4">
        <v>1</v>
      </c>
      <c r="G31" s="4">
        <v>5</v>
      </c>
      <c r="H31" s="4">
        <v>10</v>
      </c>
      <c r="I31" s="4">
        <v>3</v>
      </c>
      <c r="J31" s="4">
        <v>17</v>
      </c>
      <c r="K31" s="4">
        <v>18</v>
      </c>
      <c r="L31" s="4">
        <v>16</v>
      </c>
      <c r="M31" s="4">
        <v>9</v>
      </c>
      <c r="N31" s="4">
        <v>12</v>
      </c>
      <c r="O31" s="4">
        <v>2</v>
      </c>
      <c r="P31" s="4">
        <v>6</v>
      </c>
      <c r="Q31" s="4">
        <v>8</v>
      </c>
      <c r="R31" s="4">
        <v>13</v>
      </c>
      <c r="S31" s="4">
        <v>11</v>
      </c>
    </row>
    <row r="32" spans="1:19" ht="18" customHeight="1" x14ac:dyDescent="0.25">
      <c r="A32" s="5">
        <v>44743</v>
      </c>
      <c r="B32" s="4">
        <v>0</v>
      </c>
      <c r="C32" s="4">
        <v>-3</v>
      </c>
      <c r="D32" s="4">
        <v>0</v>
      </c>
      <c r="E32" s="4">
        <v>9</v>
      </c>
      <c r="F32" s="4">
        <v>8</v>
      </c>
      <c r="G32" s="4">
        <v>-1</v>
      </c>
      <c r="H32" s="4">
        <v>4</v>
      </c>
      <c r="I32" s="4">
        <v>1</v>
      </c>
      <c r="J32" s="4">
        <v>10</v>
      </c>
      <c r="K32" s="4">
        <v>13</v>
      </c>
      <c r="L32" s="4">
        <v>7</v>
      </c>
      <c r="M32" s="4">
        <v>5</v>
      </c>
      <c r="N32" s="4">
        <v>11</v>
      </c>
      <c r="O32" s="4">
        <v>12</v>
      </c>
      <c r="P32" s="4">
        <v>-2</v>
      </c>
      <c r="Q32" s="4">
        <v>3</v>
      </c>
      <c r="R32" s="4">
        <v>6</v>
      </c>
      <c r="S32" s="4">
        <v>2</v>
      </c>
    </row>
    <row r="33" spans="1:19" ht="18" customHeight="1" x14ac:dyDescent="0.25">
      <c r="A33" s="5">
        <v>44774</v>
      </c>
      <c r="B33" s="4">
        <v>0</v>
      </c>
      <c r="C33" s="4">
        <v>-2</v>
      </c>
      <c r="D33" s="4">
        <v>-1</v>
      </c>
      <c r="E33" s="4">
        <v>11</v>
      </c>
      <c r="F33" s="4">
        <v>10</v>
      </c>
      <c r="G33" s="4">
        <v>4</v>
      </c>
      <c r="H33" s="4">
        <v>6</v>
      </c>
      <c r="I33" s="4">
        <v>9</v>
      </c>
      <c r="J33" s="4">
        <v>3</v>
      </c>
      <c r="K33" s="4">
        <v>14</v>
      </c>
      <c r="L33" s="4">
        <v>1</v>
      </c>
      <c r="M33" s="4">
        <v>2</v>
      </c>
      <c r="N33" s="4">
        <v>5</v>
      </c>
      <c r="O33" s="4">
        <v>13</v>
      </c>
      <c r="P33" s="4">
        <v>0</v>
      </c>
      <c r="Q33" s="4">
        <v>8</v>
      </c>
      <c r="R33" s="4">
        <v>12</v>
      </c>
      <c r="S33" s="4">
        <v>7</v>
      </c>
    </row>
    <row r="34" spans="1:19" ht="18" customHeight="1" x14ac:dyDescent="0.25">
      <c r="A34" s="5">
        <v>44805</v>
      </c>
      <c r="B34" s="4">
        <v>-3</v>
      </c>
      <c r="C34" s="4">
        <v>12</v>
      </c>
      <c r="D34" s="4">
        <v>-2</v>
      </c>
      <c r="E34" s="4">
        <v>2</v>
      </c>
      <c r="F34" s="4">
        <v>13</v>
      </c>
      <c r="G34" s="4">
        <v>4</v>
      </c>
      <c r="H34" s="4">
        <v>5</v>
      </c>
      <c r="I34" s="4">
        <v>8</v>
      </c>
      <c r="J34" s="4">
        <v>1</v>
      </c>
      <c r="K34" s="4">
        <v>15</v>
      </c>
      <c r="L34" s="4">
        <v>14</v>
      </c>
      <c r="M34" s="4">
        <v>6</v>
      </c>
      <c r="N34" s="4">
        <v>11</v>
      </c>
      <c r="O34" s="4">
        <v>3</v>
      </c>
      <c r="P34" s="4">
        <v>10</v>
      </c>
      <c r="Q34" s="4">
        <v>-1</v>
      </c>
      <c r="R34" s="4">
        <v>7</v>
      </c>
      <c r="S34" s="4">
        <v>9</v>
      </c>
    </row>
    <row r="35" spans="1:19" ht="18" customHeight="1" x14ac:dyDescent="0.25">
      <c r="A35" s="5">
        <v>44835</v>
      </c>
      <c r="B35" s="4">
        <v>12</v>
      </c>
      <c r="C35" s="4">
        <v>15</v>
      </c>
      <c r="D35" s="4">
        <v>14</v>
      </c>
      <c r="E35" s="4">
        <v>11</v>
      </c>
      <c r="F35" s="4">
        <v>5</v>
      </c>
      <c r="G35" s="4">
        <v>4</v>
      </c>
      <c r="H35" s="4">
        <v>2</v>
      </c>
      <c r="I35" s="4">
        <v>8</v>
      </c>
      <c r="J35" s="4">
        <v>-2</v>
      </c>
      <c r="K35" s="4">
        <v>16</v>
      </c>
      <c r="L35" s="4">
        <v>9</v>
      </c>
      <c r="M35" s="4">
        <v>6</v>
      </c>
      <c r="N35" s="4">
        <v>3</v>
      </c>
      <c r="O35" s="4">
        <v>-1</v>
      </c>
      <c r="P35" s="4">
        <v>7</v>
      </c>
      <c r="Q35" s="4">
        <v>13</v>
      </c>
      <c r="R35" s="4">
        <v>10</v>
      </c>
      <c r="S35" s="4">
        <v>1</v>
      </c>
    </row>
    <row r="36" spans="1:19" ht="18" customHeight="1" x14ac:dyDescent="0.25">
      <c r="A36" s="5">
        <v>44866</v>
      </c>
      <c r="B36" s="4">
        <v>4</v>
      </c>
      <c r="C36" s="4">
        <v>11</v>
      </c>
      <c r="D36" s="4">
        <v>0</v>
      </c>
      <c r="E36" s="4">
        <v>9</v>
      </c>
      <c r="F36" s="4">
        <v>1</v>
      </c>
      <c r="G36" s="4">
        <v>0</v>
      </c>
      <c r="H36" s="4">
        <v>8</v>
      </c>
      <c r="I36" s="4">
        <v>-1</v>
      </c>
      <c r="J36" s="4">
        <v>-3</v>
      </c>
      <c r="K36" s="4">
        <v>12</v>
      </c>
      <c r="L36" s="4">
        <v>10</v>
      </c>
      <c r="M36" s="4">
        <v>5</v>
      </c>
      <c r="N36" s="4">
        <v>7</v>
      </c>
      <c r="O36" s="4">
        <v>13</v>
      </c>
      <c r="P36" s="4">
        <v>6</v>
      </c>
      <c r="Q36" s="4">
        <v>2</v>
      </c>
      <c r="R36" s="4">
        <v>3</v>
      </c>
      <c r="S36" s="4">
        <v>-2</v>
      </c>
    </row>
    <row r="37" spans="1:19" ht="18" customHeight="1" x14ac:dyDescent="0.25">
      <c r="A37" s="5">
        <v>44896</v>
      </c>
      <c r="B37" s="4">
        <v>5</v>
      </c>
      <c r="C37" s="4">
        <v>0</v>
      </c>
      <c r="D37" s="4">
        <v>7</v>
      </c>
      <c r="E37" s="4">
        <v>-2</v>
      </c>
      <c r="F37" s="4">
        <v>-1</v>
      </c>
      <c r="G37" s="4">
        <v>1</v>
      </c>
      <c r="H37" s="4">
        <v>10</v>
      </c>
      <c r="I37" s="4">
        <v>-3</v>
      </c>
      <c r="J37" s="4">
        <v>3</v>
      </c>
      <c r="K37" s="4">
        <v>6</v>
      </c>
      <c r="L37" s="4">
        <v>-4</v>
      </c>
      <c r="M37" s="4">
        <v>2</v>
      </c>
      <c r="N37" s="4">
        <v>8</v>
      </c>
      <c r="O37" s="4">
        <v>-6</v>
      </c>
      <c r="P37" s="4">
        <v>11</v>
      </c>
      <c r="Q37" s="4">
        <v>4</v>
      </c>
      <c r="R37" s="4">
        <v>9</v>
      </c>
      <c r="S37" s="4">
        <v>-5</v>
      </c>
    </row>
    <row r="38" spans="1:19" ht="18" customHeight="1" x14ac:dyDescent="0.25">
      <c r="A38" s="5">
        <v>44927</v>
      </c>
      <c r="B38" s="4">
        <v>4</v>
      </c>
      <c r="C38" s="4">
        <v>10</v>
      </c>
      <c r="D38" s="4">
        <v>-6</v>
      </c>
      <c r="E38" s="4">
        <v>-4</v>
      </c>
      <c r="F38" s="4">
        <v>5</v>
      </c>
      <c r="G38" s="4">
        <v>-2</v>
      </c>
      <c r="H38" s="4">
        <v>2</v>
      </c>
      <c r="I38" s="4">
        <v>-3</v>
      </c>
      <c r="J38" s="4">
        <v>7</v>
      </c>
      <c r="K38" s="4">
        <v>-5</v>
      </c>
      <c r="L38" s="4">
        <v>8</v>
      </c>
      <c r="M38" s="4">
        <v>1</v>
      </c>
      <c r="N38" s="4">
        <v>6</v>
      </c>
      <c r="O38" s="4">
        <v>3</v>
      </c>
      <c r="P38" s="4">
        <v>-7</v>
      </c>
      <c r="Q38" s="4">
        <v>-8</v>
      </c>
      <c r="R38" s="4">
        <v>9</v>
      </c>
      <c r="S38" s="4">
        <v>-1</v>
      </c>
    </row>
    <row r="39" spans="1:19" ht="18" customHeight="1" x14ac:dyDescent="0.25">
      <c r="A39" s="5">
        <v>44958</v>
      </c>
      <c r="B39" s="1">
        <v>1</v>
      </c>
      <c r="C39" s="1">
        <v>13</v>
      </c>
      <c r="D39" s="1">
        <v>4</v>
      </c>
      <c r="E39" s="1">
        <v>11</v>
      </c>
      <c r="F39" s="1">
        <v>6</v>
      </c>
      <c r="G39" s="1">
        <v>5</v>
      </c>
      <c r="H39" s="1">
        <v>2</v>
      </c>
      <c r="I39" s="1">
        <v>-2</v>
      </c>
      <c r="J39" s="1">
        <v>-1</v>
      </c>
      <c r="K39" s="1">
        <v>0</v>
      </c>
      <c r="L39" s="1">
        <v>7</v>
      </c>
      <c r="M39" s="1">
        <v>10</v>
      </c>
      <c r="N39" s="1">
        <v>12</v>
      </c>
      <c r="O39" s="1">
        <v>3</v>
      </c>
      <c r="P39" s="1">
        <v>9</v>
      </c>
      <c r="Q39" s="1">
        <v>-3</v>
      </c>
      <c r="R39" s="1">
        <v>8</v>
      </c>
      <c r="S39" s="1">
        <v>-4</v>
      </c>
    </row>
    <row r="40" spans="1:19" ht="18" customHeight="1" x14ac:dyDescent="0.25">
      <c r="A40" s="5">
        <v>44986</v>
      </c>
      <c r="B40" s="1">
        <v>10</v>
      </c>
      <c r="C40" s="1">
        <v>6</v>
      </c>
      <c r="D40" s="1">
        <v>12</v>
      </c>
      <c r="E40" s="1">
        <v>2</v>
      </c>
      <c r="F40" s="1">
        <v>11</v>
      </c>
      <c r="G40" s="1">
        <v>-5</v>
      </c>
      <c r="H40" s="1">
        <v>3</v>
      </c>
      <c r="I40" s="1">
        <v>1</v>
      </c>
      <c r="J40" s="1">
        <v>7</v>
      </c>
      <c r="K40" s="1">
        <v>8</v>
      </c>
      <c r="L40" s="1">
        <v>13</v>
      </c>
      <c r="M40" s="1">
        <v>7</v>
      </c>
      <c r="N40" s="1">
        <v>9</v>
      </c>
      <c r="O40" s="1">
        <v>-3</v>
      </c>
      <c r="P40" s="1">
        <v>-1</v>
      </c>
      <c r="Q40" s="1">
        <v>-2</v>
      </c>
      <c r="R40" s="1">
        <v>5</v>
      </c>
      <c r="S40" s="1">
        <v>-4</v>
      </c>
    </row>
    <row r="41" spans="1:19" ht="18" customHeight="1" x14ac:dyDescent="0.25">
      <c r="A41" s="5">
        <v>45017</v>
      </c>
      <c r="B41" s="1">
        <v>11</v>
      </c>
      <c r="C41" s="1">
        <v>-2</v>
      </c>
      <c r="D41" s="1">
        <v>14</v>
      </c>
      <c r="E41" s="1">
        <v>3</v>
      </c>
      <c r="F41" s="1">
        <v>6</v>
      </c>
      <c r="G41" s="1">
        <v>2</v>
      </c>
      <c r="H41" s="1">
        <v>5</v>
      </c>
      <c r="I41" s="1">
        <v>1</v>
      </c>
      <c r="J41" s="1">
        <v>0</v>
      </c>
      <c r="K41" s="1">
        <v>-3</v>
      </c>
      <c r="L41" s="1">
        <v>13</v>
      </c>
      <c r="M41" s="1">
        <v>7</v>
      </c>
      <c r="N41" s="1">
        <v>9</v>
      </c>
      <c r="O41" s="1">
        <v>12</v>
      </c>
      <c r="P41" s="1">
        <v>4</v>
      </c>
      <c r="Q41" s="1">
        <v>8</v>
      </c>
      <c r="R41" s="1">
        <v>10</v>
      </c>
      <c r="S41" s="1">
        <v>-1</v>
      </c>
    </row>
    <row r="42" spans="1:19" ht="18" customHeight="1" x14ac:dyDescent="0.25">
      <c r="A42" s="5">
        <v>45047</v>
      </c>
      <c r="B42" s="1">
        <v>11</v>
      </c>
      <c r="C42" s="1">
        <v>-6</v>
      </c>
      <c r="D42" s="1">
        <v>6</v>
      </c>
      <c r="E42" s="1">
        <v>5</v>
      </c>
      <c r="F42" s="1">
        <v>1</v>
      </c>
      <c r="G42" s="1">
        <v>-1</v>
      </c>
      <c r="H42" s="1">
        <v>-2</v>
      </c>
      <c r="I42" s="1">
        <v>-3</v>
      </c>
      <c r="J42" s="1">
        <v>10</v>
      </c>
      <c r="K42" s="1">
        <v>-7</v>
      </c>
      <c r="L42" s="1">
        <v>4</v>
      </c>
      <c r="M42" s="1">
        <v>9</v>
      </c>
      <c r="N42" s="1">
        <v>2</v>
      </c>
      <c r="O42" s="1">
        <v>-5</v>
      </c>
      <c r="P42" s="1">
        <v>7</v>
      </c>
      <c r="Q42" s="1">
        <v>3</v>
      </c>
      <c r="R42" s="1">
        <v>8</v>
      </c>
      <c r="S42" s="1">
        <v>-4</v>
      </c>
    </row>
    <row r="43" spans="1:19" ht="18" customHeight="1" x14ac:dyDescent="0.25">
      <c r="A43" s="5">
        <v>45078</v>
      </c>
      <c r="B43" s="1">
        <v>15</v>
      </c>
      <c r="C43" s="1">
        <v>-3</v>
      </c>
      <c r="D43" s="1">
        <v>14</v>
      </c>
      <c r="E43" s="1">
        <v>4</v>
      </c>
      <c r="F43" s="1">
        <v>11</v>
      </c>
      <c r="G43" s="1">
        <v>3</v>
      </c>
      <c r="H43" s="1">
        <v>1</v>
      </c>
      <c r="I43" s="1">
        <v>-1</v>
      </c>
      <c r="J43" s="1">
        <v>10</v>
      </c>
      <c r="K43" s="1">
        <v>-2</v>
      </c>
      <c r="L43" s="1">
        <v>7</v>
      </c>
      <c r="M43" s="1">
        <v>5</v>
      </c>
      <c r="N43" s="1">
        <v>12</v>
      </c>
      <c r="O43" s="1">
        <v>13</v>
      </c>
      <c r="P43" s="1">
        <v>2</v>
      </c>
      <c r="Q43" s="1">
        <v>9</v>
      </c>
      <c r="R43" s="1">
        <v>6</v>
      </c>
      <c r="S43" s="1">
        <v>8</v>
      </c>
    </row>
    <row r="44" spans="1:19" ht="18" customHeight="1" x14ac:dyDescent="0.25">
      <c r="A44" s="5">
        <v>45108</v>
      </c>
      <c r="B44" s="1">
        <v>12</v>
      </c>
      <c r="C44" s="1">
        <v>-3</v>
      </c>
      <c r="D44" s="1">
        <v>-2</v>
      </c>
      <c r="E44" s="1">
        <v>13</v>
      </c>
      <c r="F44" s="1">
        <v>4</v>
      </c>
      <c r="G44" s="1">
        <v>-1</v>
      </c>
      <c r="H44" s="1">
        <v>5</v>
      </c>
      <c r="I44" s="1">
        <v>2</v>
      </c>
      <c r="J44" s="1">
        <v>10</v>
      </c>
      <c r="K44" s="1">
        <v>-4</v>
      </c>
      <c r="L44" s="1">
        <v>14</v>
      </c>
      <c r="M44" s="1">
        <v>6</v>
      </c>
      <c r="N44" s="1">
        <v>11</v>
      </c>
      <c r="O44" s="1">
        <v>7</v>
      </c>
      <c r="P44" s="1">
        <v>3</v>
      </c>
      <c r="Q44" s="1">
        <v>9</v>
      </c>
      <c r="R44" s="1">
        <v>8</v>
      </c>
      <c r="S44" s="1">
        <v>1</v>
      </c>
    </row>
    <row r="45" spans="1:19" ht="18" customHeight="1" x14ac:dyDescent="0.25">
      <c r="A45" s="5">
        <v>45139</v>
      </c>
      <c r="B45" s="1">
        <v>12</v>
      </c>
      <c r="C45" s="1">
        <v>-5</v>
      </c>
      <c r="D45" s="1">
        <v>10</v>
      </c>
      <c r="E45" s="1">
        <v>4</v>
      </c>
      <c r="F45" s="1">
        <v>5</v>
      </c>
      <c r="G45" s="1">
        <v>3</v>
      </c>
      <c r="H45" s="1">
        <v>-2</v>
      </c>
      <c r="I45" s="1">
        <v>6</v>
      </c>
      <c r="J45" s="1">
        <v>-1</v>
      </c>
      <c r="K45" s="1">
        <v>-4</v>
      </c>
      <c r="L45" s="1">
        <v>11</v>
      </c>
      <c r="M45" s="1">
        <v>1</v>
      </c>
      <c r="N45" s="1">
        <v>7</v>
      </c>
      <c r="O45" s="1">
        <v>13</v>
      </c>
      <c r="P45" s="1">
        <v>8</v>
      </c>
      <c r="Q45" s="1">
        <v>2</v>
      </c>
      <c r="R45" s="1">
        <v>9</v>
      </c>
      <c r="S45" s="1">
        <v>-3</v>
      </c>
    </row>
    <row r="46" spans="1:19" ht="18" customHeight="1" x14ac:dyDescent="0.25">
      <c r="A46" s="5">
        <v>45170</v>
      </c>
      <c r="B46" s="1">
        <v>-3</v>
      </c>
      <c r="C46" s="1">
        <v>-5</v>
      </c>
      <c r="D46" s="1">
        <v>-4</v>
      </c>
      <c r="E46" s="1">
        <v>6</v>
      </c>
      <c r="F46" s="1">
        <v>1</v>
      </c>
      <c r="G46" s="1">
        <v>7</v>
      </c>
      <c r="H46" s="1">
        <v>8</v>
      </c>
      <c r="I46" s="1">
        <v>3</v>
      </c>
      <c r="J46" s="1">
        <v>-2</v>
      </c>
      <c r="K46" s="1">
        <v>11</v>
      </c>
      <c r="L46" s="1">
        <v>10</v>
      </c>
      <c r="M46" s="1">
        <v>5</v>
      </c>
      <c r="N46" s="1">
        <v>4</v>
      </c>
      <c r="O46" s="1">
        <v>13</v>
      </c>
      <c r="P46" s="1">
        <v>12</v>
      </c>
      <c r="Q46" s="1">
        <v>2</v>
      </c>
      <c r="R46" s="1">
        <v>9</v>
      </c>
      <c r="S46" s="1">
        <v>-1</v>
      </c>
    </row>
    <row r="47" spans="1:19" ht="18" customHeight="1" x14ac:dyDescent="0.25">
      <c r="A47" s="5">
        <v>45200</v>
      </c>
      <c r="B47" s="1">
        <v>0</v>
      </c>
      <c r="C47" s="1">
        <v>-4</v>
      </c>
      <c r="D47" s="1">
        <v>12</v>
      </c>
      <c r="E47" s="1">
        <v>9</v>
      </c>
      <c r="F47" s="1">
        <v>4</v>
      </c>
      <c r="G47" s="1">
        <v>8</v>
      </c>
      <c r="H47" s="1">
        <v>3</v>
      </c>
      <c r="I47" s="1">
        <v>1</v>
      </c>
      <c r="J47" s="1">
        <v>2</v>
      </c>
      <c r="K47" s="1">
        <v>-3</v>
      </c>
      <c r="L47" s="1">
        <v>10</v>
      </c>
      <c r="M47" s="1">
        <v>-1</v>
      </c>
      <c r="N47" s="1">
        <v>7</v>
      </c>
      <c r="O47" s="1">
        <v>-5</v>
      </c>
      <c r="P47" s="1">
        <v>11</v>
      </c>
      <c r="Q47" s="1">
        <v>6</v>
      </c>
      <c r="R47" s="1">
        <v>5</v>
      </c>
      <c r="S47" s="1">
        <v>-2</v>
      </c>
    </row>
    <row r="48" spans="1:19" ht="18" customHeight="1" x14ac:dyDescent="0.25">
      <c r="A48" s="5">
        <v>45231</v>
      </c>
      <c r="B48" s="1">
        <v>8</v>
      </c>
      <c r="C48" s="1">
        <v>15</v>
      </c>
      <c r="D48" s="1">
        <v>12</v>
      </c>
      <c r="E48" s="1">
        <v>3</v>
      </c>
      <c r="F48" s="1">
        <v>1</v>
      </c>
      <c r="G48" s="1">
        <v>5</v>
      </c>
      <c r="H48" s="1">
        <v>14</v>
      </c>
      <c r="I48" s="1">
        <v>-3</v>
      </c>
      <c r="J48" s="1">
        <v>6</v>
      </c>
      <c r="K48" s="1">
        <v>-2</v>
      </c>
      <c r="L48" s="1">
        <v>7</v>
      </c>
      <c r="M48" s="1">
        <v>-1</v>
      </c>
      <c r="N48" s="1">
        <v>4</v>
      </c>
      <c r="O48" s="1">
        <v>13</v>
      </c>
      <c r="P48" s="1">
        <v>10</v>
      </c>
      <c r="Q48" s="1">
        <v>11</v>
      </c>
      <c r="R48" s="1">
        <v>9</v>
      </c>
      <c r="S48" s="1">
        <v>2</v>
      </c>
    </row>
    <row r="49" spans="1:19" ht="18" customHeight="1" x14ac:dyDescent="0.25">
      <c r="A49" s="5">
        <v>45261</v>
      </c>
      <c r="B49" s="1">
        <v>8</v>
      </c>
      <c r="C49" s="1">
        <v>9</v>
      </c>
      <c r="D49" s="1">
        <v>-8</v>
      </c>
      <c r="E49" s="1">
        <v>-2</v>
      </c>
      <c r="F49" s="1">
        <v>-4</v>
      </c>
      <c r="G49" s="1">
        <v>-1</v>
      </c>
      <c r="H49" s="1">
        <v>7</v>
      </c>
      <c r="I49" s="1">
        <v>-5</v>
      </c>
      <c r="J49" s="1">
        <v>-3</v>
      </c>
      <c r="K49" s="1">
        <v>-6</v>
      </c>
      <c r="L49" s="1">
        <v>5</v>
      </c>
      <c r="M49" s="1">
        <v>2</v>
      </c>
      <c r="N49" s="1">
        <v>1</v>
      </c>
      <c r="O49" s="1">
        <v>-9</v>
      </c>
      <c r="P49" s="1">
        <v>3</v>
      </c>
      <c r="Q49" s="1">
        <v>6</v>
      </c>
      <c r="R49" s="1">
        <v>4</v>
      </c>
      <c r="S49" s="1">
        <v>-7</v>
      </c>
    </row>
    <row r="50" spans="1:19" ht="18" customHeight="1" x14ac:dyDescent="0.25">
      <c r="A50" s="5">
        <v>45292</v>
      </c>
      <c r="B50" s="1">
        <v>5</v>
      </c>
      <c r="C50" s="1">
        <v>9</v>
      </c>
      <c r="D50" s="1">
        <v>-3</v>
      </c>
      <c r="E50" s="1">
        <v>4</v>
      </c>
      <c r="F50" s="1">
        <v>2</v>
      </c>
      <c r="G50" s="1">
        <v>-1</v>
      </c>
      <c r="H50" s="1">
        <v>10</v>
      </c>
      <c r="I50" s="1">
        <v>-7</v>
      </c>
      <c r="J50" s="1">
        <v>1</v>
      </c>
      <c r="K50" s="1">
        <v>-4</v>
      </c>
      <c r="L50" s="1">
        <v>3</v>
      </c>
      <c r="M50" s="1">
        <v>8</v>
      </c>
      <c r="N50" s="1">
        <v>7</v>
      </c>
      <c r="O50" s="1">
        <v>-5</v>
      </c>
      <c r="P50" s="1">
        <v>-6</v>
      </c>
      <c r="Q50" s="1">
        <v>0</v>
      </c>
      <c r="R50" s="1">
        <v>6</v>
      </c>
      <c r="S50" s="1">
        <v>-2</v>
      </c>
    </row>
    <row r="51" spans="1:19" ht="18" customHeight="1" x14ac:dyDescent="0.25">
      <c r="A51" s="5">
        <v>45323</v>
      </c>
      <c r="B51" s="1">
        <v>10</v>
      </c>
      <c r="C51" s="1">
        <v>5</v>
      </c>
      <c r="D51" s="1">
        <v>-3</v>
      </c>
      <c r="E51" s="1">
        <v>14</v>
      </c>
      <c r="F51" s="1">
        <v>2</v>
      </c>
      <c r="G51" s="1">
        <v>6</v>
      </c>
      <c r="H51" s="1">
        <v>11</v>
      </c>
      <c r="I51" s="1">
        <v>3</v>
      </c>
      <c r="J51" s="1">
        <v>7</v>
      </c>
      <c r="K51" s="1">
        <v>-2</v>
      </c>
      <c r="L51" s="1">
        <v>0</v>
      </c>
      <c r="M51" s="1">
        <v>8</v>
      </c>
      <c r="N51" s="1">
        <v>12</v>
      </c>
      <c r="O51" s="1">
        <v>-1</v>
      </c>
      <c r="P51" s="1">
        <v>13</v>
      </c>
      <c r="Q51" s="1">
        <v>1</v>
      </c>
      <c r="R51" s="1">
        <v>9</v>
      </c>
      <c r="S51" s="1">
        <v>4</v>
      </c>
    </row>
    <row r="52" spans="1:19" ht="18" customHeight="1" x14ac:dyDescent="0.25">
      <c r="A52" s="5">
        <v>45352</v>
      </c>
      <c r="B52" s="1">
        <v>12</v>
      </c>
      <c r="C52" s="1">
        <v>10</v>
      </c>
      <c r="D52" s="1">
        <v>0</v>
      </c>
      <c r="E52" s="1">
        <v>8</v>
      </c>
      <c r="F52" s="1">
        <v>9</v>
      </c>
      <c r="G52" s="1">
        <v>2</v>
      </c>
      <c r="H52" s="1">
        <v>1</v>
      </c>
      <c r="I52" s="1">
        <v>-1</v>
      </c>
      <c r="J52" s="1">
        <v>7</v>
      </c>
      <c r="K52" s="1">
        <v>-4</v>
      </c>
      <c r="L52" s="1">
        <v>3</v>
      </c>
      <c r="M52" s="1">
        <v>11</v>
      </c>
      <c r="N52" s="1">
        <v>0</v>
      </c>
      <c r="O52" s="1">
        <v>-2</v>
      </c>
      <c r="P52" s="1">
        <v>5</v>
      </c>
      <c r="Q52" s="1">
        <v>-3</v>
      </c>
      <c r="R52" s="1">
        <v>6</v>
      </c>
      <c r="S52" s="1">
        <v>4</v>
      </c>
    </row>
    <row r="53" spans="1:19" ht="18" customHeight="1" x14ac:dyDescent="0.25">
      <c r="A53" s="5">
        <v>45383</v>
      </c>
      <c r="B53" s="1">
        <v>12</v>
      </c>
      <c r="C53" s="1">
        <v>10</v>
      </c>
      <c r="D53" s="1">
        <v>-4</v>
      </c>
      <c r="E53" s="1">
        <v>11</v>
      </c>
      <c r="F53" s="1">
        <v>6</v>
      </c>
      <c r="G53" s="1">
        <v>4</v>
      </c>
      <c r="H53" s="1">
        <v>3</v>
      </c>
      <c r="I53" s="1">
        <v>-5</v>
      </c>
      <c r="J53" s="1">
        <v>7</v>
      </c>
      <c r="K53" s="1">
        <v>8</v>
      </c>
      <c r="L53" s="1">
        <v>-6</v>
      </c>
      <c r="M53" s="1">
        <v>-2</v>
      </c>
      <c r="N53" s="1">
        <v>2</v>
      </c>
      <c r="O53" s="1">
        <v>-3</v>
      </c>
      <c r="P53" s="1">
        <v>5</v>
      </c>
      <c r="Q53" s="1">
        <v>-1</v>
      </c>
      <c r="R53" s="1">
        <v>9</v>
      </c>
      <c r="S53" s="1">
        <v>1</v>
      </c>
    </row>
    <row r="54" spans="1:19" ht="18" customHeight="1" x14ac:dyDescent="0.25">
      <c r="A54" s="5">
        <v>45413</v>
      </c>
      <c r="B54" s="1">
        <v>-2</v>
      </c>
      <c r="C54" s="1">
        <v>-4</v>
      </c>
      <c r="D54" s="1">
        <v>-3</v>
      </c>
      <c r="E54" s="1">
        <v>7</v>
      </c>
      <c r="F54" s="1">
        <v>10</v>
      </c>
      <c r="G54" s="1">
        <v>3</v>
      </c>
      <c r="H54" s="1">
        <v>12</v>
      </c>
      <c r="I54" s="1">
        <v>2</v>
      </c>
      <c r="J54" s="1">
        <v>4</v>
      </c>
      <c r="K54" s="1">
        <v>-1</v>
      </c>
      <c r="L54" s="1">
        <v>11</v>
      </c>
      <c r="M54" s="1">
        <v>1</v>
      </c>
      <c r="N54" s="1">
        <v>5</v>
      </c>
      <c r="O54" s="1">
        <v>13</v>
      </c>
      <c r="P54" s="1">
        <v>-5</v>
      </c>
      <c r="Q54" s="1">
        <v>6</v>
      </c>
      <c r="R54" s="1">
        <v>9</v>
      </c>
      <c r="S54" s="1">
        <v>8</v>
      </c>
    </row>
    <row r="55" spans="1:19" ht="18" customHeight="1" x14ac:dyDescent="0.25">
      <c r="A55" s="5">
        <v>45444</v>
      </c>
      <c r="B55" s="1">
        <v>0</v>
      </c>
      <c r="C55" s="1">
        <v>-9</v>
      </c>
      <c r="D55" s="1">
        <v>0</v>
      </c>
      <c r="E55" s="1">
        <v>5</v>
      </c>
      <c r="F55" s="1">
        <v>2</v>
      </c>
      <c r="G55" s="1">
        <v>3</v>
      </c>
      <c r="H55" s="1">
        <v>6</v>
      </c>
      <c r="I55" s="1">
        <v>-1</v>
      </c>
      <c r="J55" s="1">
        <v>7</v>
      </c>
      <c r="K55" s="1">
        <v>-5</v>
      </c>
      <c r="L55" s="1">
        <v>8</v>
      </c>
      <c r="M55" s="1">
        <v>1</v>
      </c>
      <c r="N55" s="1">
        <v>-8</v>
      </c>
      <c r="O55" s="1">
        <v>-7</v>
      </c>
      <c r="P55" s="1">
        <v>-5</v>
      </c>
      <c r="Q55" s="1">
        <v>-2</v>
      </c>
      <c r="R55" s="1">
        <v>4</v>
      </c>
      <c r="S55" s="1">
        <v>-3</v>
      </c>
    </row>
    <row r="56" spans="1:19" ht="18" customHeight="1" x14ac:dyDescent="0.25">
      <c r="A56" s="5">
        <v>45474</v>
      </c>
      <c r="B56" s="1">
        <v>9</v>
      </c>
      <c r="C56" s="1">
        <v>-8</v>
      </c>
      <c r="D56" s="1">
        <v>10</v>
      </c>
      <c r="E56" s="1">
        <v>7</v>
      </c>
      <c r="F56" s="1">
        <v>-2</v>
      </c>
      <c r="G56" s="1">
        <v>3</v>
      </c>
      <c r="H56" s="1">
        <v>2</v>
      </c>
      <c r="I56" s="1">
        <v>-3</v>
      </c>
      <c r="J56" s="1">
        <v>6</v>
      </c>
      <c r="K56" s="1">
        <v>8</v>
      </c>
      <c r="L56" s="1">
        <v>-1</v>
      </c>
      <c r="M56" s="1">
        <v>-4</v>
      </c>
      <c r="N56" s="1">
        <v>4</v>
      </c>
      <c r="O56" s="1">
        <v>-7</v>
      </c>
      <c r="P56" s="1">
        <v>-5</v>
      </c>
      <c r="Q56" s="1">
        <v>5</v>
      </c>
      <c r="R56" s="1">
        <v>1</v>
      </c>
      <c r="S56" s="1">
        <v>-6</v>
      </c>
    </row>
    <row r="57" spans="1:19" ht="18" customHeight="1" x14ac:dyDescent="0.25">
      <c r="A57" s="5">
        <v>45505</v>
      </c>
      <c r="B57" s="1">
        <v>-3</v>
      </c>
      <c r="C57" s="1">
        <v>-7</v>
      </c>
      <c r="D57" s="1">
        <v>10</v>
      </c>
      <c r="E57" s="1">
        <v>-5</v>
      </c>
      <c r="F57" s="1">
        <v>2</v>
      </c>
      <c r="G57" s="1">
        <v>4</v>
      </c>
      <c r="H57" s="1">
        <v>5</v>
      </c>
      <c r="I57" s="1">
        <v>6</v>
      </c>
      <c r="J57" s="1">
        <v>-2</v>
      </c>
      <c r="K57" s="1">
        <v>9</v>
      </c>
      <c r="L57" s="1">
        <v>7</v>
      </c>
      <c r="M57" s="1">
        <v>-1</v>
      </c>
      <c r="N57" s="1">
        <v>3</v>
      </c>
      <c r="O57" s="1">
        <v>0</v>
      </c>
      <c r="P57" s="1">
        <v>-6</v>
      </c>
      <c r="Q57" s="1">
        <v>8</v>
      </c>
      <c r="R57" s="1">
        <v>1</v>
      </c>
      <c r="S57" s="1">
        <v>-4</v>
      </c>
    </row>
    <row r="58" spans="1:19" ht="18" customHeight="1" x14ac:dyDescent="0.25">
      <c r="A58" s="5">
        <v>45536</v>
      </c>
      <c r="B58" s="1">
        <v>10</v>
      </c>
      <c r="C58" s="1">
        <v>-4</v>
      </c>
      <c r="D58" s="1">
        <v>0</v>
      </c>
      <c r="E58" s="1">
        <v>5</v>
      </c>
      <c r="F58" s="1">
        <v>2</v>
      </c>
      <c r="G58" s="1">
        <v>6</v>
      </c>
      <c r="H58" s="1">
        <v>7</v>
      </c>
      <c r="I58" s="1">
        <v>3</v>
      </c>
      <c r="J58" s="1">
        <v>11</v>
      </c>
      <c r="K58" s="1">
        <v>9</v>
      </c>
      <c r="L58" s="1">
        <v>-5</v>
      </c>
      <c r="M58" s="1">
        <v>-2</v>
      </c>
      <c r="N58" s="1">
        <v>8</v>
      </c>
      <c r="O58" s="1">
        <v>12</v>
      </c>
      <c r="P58" s="1">
        <v>-1</v>
      </c>
      <c r="Q58" s="1">
        <v>4</v>
      </c>
      <c r="R58" s="1">
        <v>1</v>
      </c>
      <c r="S58" s="1">
        <v>-3</v>
      </c>
    </row>
    <row r="59" spans="1:19" ht="18" customHeight="1" x14ac:dyDescent="0.25">
      <c r="A59" s="5">
        <v>45566</v>
      </c>
      <c r="B59" s="1">
        <v>11</v>
      </c>
      <c r="C59" s="1">
        <v>0</v>
      </c>
      <c r="D59" s="1">
        <v>0</v>
      </c>
      <c r="E59" s="1">
        <v>9</v>
      </c>
      <c r="F59" s="1">
        <v>4</v>
      </c>
      <c r="G59" s="1">
        <v>10</v>
      </c>
      <c r="H59" s="1">
        <v>2</v>
      </c>
      <c r="I59" s="1">
        <v>13</v>
      </c>
      <c r="J59" s="1">
        <v>-1</v>
      </c>
      <c r="K59" s="1">
        <v>8</v>
      </c>
      <c r="L59" s="1">
        <v>-2</v>
      </c>
      <c r="M59" s="1">
        <v>3</v>
      </c>
      <c r="N59" s="1">
        <v>7</v>
      </c>
      <c r="O59" s="1">
        <v>5</v>
      </c>
      <c r="P59" s="1">
        <v>14</v>
      </c>
      <c r="Q59" s="1">
        <v>12</v>
      </c>
      <c r="R59" s="1">
        <v>6</v>
      </c>
      <c r="S59" s="1">
        <v>1</v>
      </c>
    </row>
    <row r="60" spans="1:19" ht="18" customHeight="1" x14ac:dyDescent="0.25">
      <c r="A60" s="5">
        <v>45597</v>
      </c>
      <c r="B60" s="1">
        <v>14</v>
      </c>
      <c r="C60" s="1">
        <v>10</v>
      </c>
      <c r="D60" s="1">
        <v>13</v>
      </c>
      <c r="E60" s="1">
        <v>2</v>
      </c>
      <c r="F60" s="1">
        <v>-1</v>
      </c>
      <c r="G60" s="1">
        <v>8</v>
      </c>
      <c r="H60" s="1">
        <v>12</v>
      </c>
      <c r="I60" s="1">
        <v>4</v>
      </c>
      <c r="J60" s="1">
        <v>7</v>
      </c>
      <c r="K60" s="1">
        <v>-3</v>
      </c>
      <c r="L60" s="1">
        <v>0</v>
      </c>
      <c r="M60" s="1">
        <v>3</v>
      </c>
      <c r="N60" s="1">
        <v>9</v>
      </c>
      <c r="O60" s="1">
        <v>-2</v>
      </c>
      <c r="P60" s="1">
        <v>6</v>
      </c>
      <c r="Q60" s="1">
        <v>5</v>
      </c>
      <c r="R60" s="1">
        <v>1</v>
      </c>
      <c r="S60" s="1">
        <v>11</v>
      </c>
    </row>
    <row r="61" spans="1:19" ht="18" customHeight="1" x14ac:dyDescent="0.25">
      <c r="A61" s="5">
        <v>45627</v>
      </c>
      <c r="B61" s="1">
        <v>3</v>
      </c>
      <c r="C61" s="1">
        <v>-4</v>
      </c>
      <c r="D61" s="1">
        <v>8</v>
      </c>
      <c r="E61" s="1">
        <v>0</v>
      </c>
      <c r="F61" s="1">
        <v>-5</v>
      </c>
      <c r="G61" s="1">
        <v>9</v>
      </c>
      <c r="H61" s="1">
        <v>6</v>
      </c>
      <c r="I61" s="1">
        <v>-2</v>
      </c>
      <c r="J61" s="1">
        <v>-1</v>
      </c>
      <c r="K61" s="1">
        <v>0</v>
      </c>
      <c r="L61" s="1">
        <v>0</v>
      </c>
      <c r="M61" s="1">
        <v>-3</v>
      </c>
      <c r="N61" s="1">
        <v>4</v>
      </c>
      <c r="O61" s="1">
        <v>-6</v>
      </c>
      <c r="P61" s="1">
        <v>7</v>
      </c>
      <c r="Q61" s="1">
        <v>5</v>
      </c>
      <c r="R61" s="1">
        <v>1</v>
      </c>
      <c r="S61" s="1">
        <v>2</v>
      </c>
    </row>
    <row r="62" spans="1:19" ht="18" customHeight="1" x14ac:dyDescent="0.25">
      <c r="A62" s="5">
        <v>45658</v>
      </c>
      <c r="B62" s="1">
        <v>13</v>
      </c>
      <c r="C62" s="1">
        <v>14</v>
      </c>
      <c r="D62" s="1">
        <v>0</v>
      </c>
      <c r="E62" s="1">
        <v>4</v>
      </c>
      <c r="F62" s="1">
        <v>8</v>
      </c>
      <c r="G62" s="1">
        <v>10</v>
      </c>
      <c r="H62" s="1">
        <v>9</v>
      </c>
      <c r="I62" s="1">
        <v>5</v>
      </c>
      <c r="J62" s="1">
        <v>3</v>
      </c>
      <c r="K62" s="1">
        <v>12</v>
      </c>
      <c r="L62" s="1">
        <v>-3</v>
      </c>
      <c r="M62" s="1">
        <v>-1</v>
      </c>
      <c r="N62" s="1">
        <v>2</v>
      </c>
      <c r="O62" s="1">
        <v>-2</v>
      </c>
      <c r="P62" s="1">
        <v>6</v>
      </c>
      <c r="Q62" s="1">
        <v>7</v>
      </c>
      <c r="R62" s="1">
        <v>1</v>
      </c>
      <c r="S62" s="1">
        <v>11</v>
      </c>
    </row>
    <row r="63" spans="1:19" ht="18" customHeight="1" x14ac:dyDescent="0.25">
      <c r="A63" s="5">
        <v>45689</v>
      </c>
      <c r="B63" s="1">
        <v>4</v>
      </c>
      <c r="C63" s="1">
        <v>10</v>
      </c>
      <c r="D63" s="1">
        <v>0</v>
      </c>
      <c r="E63" s="1">
        <v>6</v>
      </c>
      <c r="F63" s="1">
        <v>-1</v>
      </c>
      <c r="G63" s="1">
        <v>13</v>
      </c>
      <c r="H63" s="1">
        <v>7</v>
      </c>
      <c r="I63" s="1">
        <v>2</v>
      </c>
      <c r="J63" s="1">
        <v>-3</v>
      </c>
      <c r="K63" s="1">
        <v>9</v>
      </c>
      <c r="L63" s="1">
        <v>14</v>
      </c>
      <c r="M63" s="1">
        <v>3</v>
      </c>
      <c r="N63" s="1">
        <v>1</v>
      </c>
      <c r="O63" s="1">
        <v>8</v>
      </c>
      <c r="P63" s="1">
        <v>-2</v>
      </c>
      <c r="Q63" s="1">
        <v>5</v>
      </c>
      <c r="R63" s="1">
        <v>11</v>
      </c>
      <c r="S63" s="1">
        <v>12</v>
      </c>
    </row>
    <row r="64" spans="1:19" ht="18" customHeight="1" x14ac:dyDescent="0.25">
      <c r="A64" s="5">
        <v>45717</v>
      </c>
      <c r="B64" s="1">
        <v>10</v>
      </c>
      <c r="C64" s="1">
        <v>4</v>
      </c>
      <c r="D64" s="1">
        <v>-4</v>
      </c>
      <c r="E64" s="1">
        <v>3</v>
      </c>
      <c r="F64" s="1">
        <v>-3</v>
      </c>
      <c r="G64" s="1">
        <v>8</v>
      </c>
      <c r="H64" s="1">
        <v>-2</v>
      </c>
      <c r="I64" s="1">
        <v>-1</v>
      </c>
      <c r="J64" s="1">
        <v>-7</v>
      </c>
      <c r="K64" s="1">
        <v>0</v>
      </c>
      <c r="L64" s="1">
        <v>-5</v>
      </c>
      <c r="M64" s="1">
        <v>-6</v>
      </c>
      <c r="N64" s="1">
        <v>6</v>
      </c>
      <c r="O64" s="1">
        <v>2</v>
      </c>
      <c r="P64" s="1">
        <v>1</v>
      </c>
      <c r="Q64" s="1">
        <v>9</v>
      </c>
      <c r="R64" s="1">
        <v>5</v>
      </c>
      <c r="S64" s="1">
        <v>7</v>
      </c>
    </row>
    <row r="65" spans="1:19" ht="18" customHeight="1" x14ac:dyDescent="0.25">
      <c r="A65" s="5">
        <v>45748</v>
      </c>
      <c r="B65" s="1">
        <v>11</v>
      </c>
      <c r="C65" s="1">
        <v>-6</v>
      </c>
      <c r="D65" s="1">
        <v>6</v>
      </c>
      <c r="E65" s="1">
        <v>-1</v>
      </c>
      <c r="F65" s="1">
        <v>2</v>
      </c>
      <c r="G65" s="1">
        <v>-4</v>
      </c>
      <c r="H65" s="1">
        <v>5</v>
      </c>
      <c r="I65" s="1">
        <v>3</v>
      </c>
      <c r="J65" s="1">
        <v>-3</v>
      </c>
      <c r="K65" s="1">
        <v>9</v>
      </c>
      <c r="L65" s="1">
        <v>0</v>
      </c>
      <c r="M65" s="1">
        <v>-5</v>
      </c>
      <c r="N65" s="1">
        <v>-2</v>
      </c>
      <c r="O65" s="1">
        <v>8</v>
      </c>
      <c r="P65" s="1">
        <v>7</v>
      </c>
      <c r="Q65" s="1">
        <v>4</v>
      </c>
      <c r="R65" s="1">
        <v>1</v>
      </c>
      <c r="S65" s="1">
        <v>10</v>
      </c>
    </row>
    <row r="66" spans="1:19" ht="18" customHeight="1" x14ac:dyDescent="0.25">
      <c r="A66" s="5">
        <v>45778</v>
      </c>
      <c r="B66" s="1">
        <v>10</v>
      </c>
      <c r="C66" s="1">
        <v>-5</v>
      </c>
      <c r="D66" s="1">
        <v>9</v>
      </c>
      <c r="E66" s="1">
        <v>-3</v>
      </c>
      <c r="F66" s="1">
        <v>5</v>
      </c>
      <c r="G66" s="1">
        <v>-4</v>
      </c>
      <c r="H66" s="1">
        <v>2</v>
      </c>
      <c r="I66" s="1">
        <v>3</v>
      </c>
      <c r="J66" s="1">
        <v>-6</v>
      </c>
      <c r="K66" s="1">
        <v>7</v>
      </c>
      <c r="L66" s="1">
        <v>-8</v>
      </c>
      <c r="M66" s="1">
        <v>1</v>
      </c>
      <c r="N66" s="1">
        <v>8</v>
      </c>
      <c r="O66" s="1">
        <v>4</v>
      </c>
      <c r="P66" s="1">
        <v>-7</v>
      </c>
      <c r="Q66" s="1">
        <v>-2</v>
      </c>
      <c r="R66" s="1">
        <v>6</v>
      </c>
      <c r="S66" s="1">
        <v>-1</v>
      </c>
    </row>
    <row r="67" spans="1:19" ht="18" customHeight="1" x14ac:dyDescent="0.25">
      <c r="A67" s="5">
        <v>45809</v>
      </c>
      <c r="B67" s="1">
        <v>0</v>
      </c>
      <c r="C67" s="1">
        <v>-6</v>
      </c>
      <c r="D67" s="1">
        <v>7</v>
      </c>
      <c r="E67" s="1">
        <v>-5</v>
      </c>
      <c r="F67" s="1">
        <v>-1</v>
      </c>
      <c r="G67" s="1">
        <v>0</v>
      </c>
      <c r="H67" s="1">
        <v>-3</v>
      </c>
      <c r="I67" s="1">
        <v>2</v>
      </c>
      <c r="J67" s="1">
        <v>6</v>
      </c>
      <c r="K67" s="1">
        <v>-4</v>
      </c>
      <c r="L67" s="1">
        <v>10</v>
      </c>
      <c r="M67" s="1">
        <v>-2</v>
      </c>
      <c r="N67" s="1">
        <v>4</v>
      </c>
      <c r="O67" s="1">
        <v>1</v>
      </c>
      <c r="P67" s="1">
        <v>3</v>
      </c>
      <c r="Q67" s="1">
        <v>9</v>
      </c>
      <c r="R67" s="1">
        <v>8</v>
      </c>
      <c r="S67" s="1">
        <v>5</v>
      </c>
    </row>
    <row r="68" spans="1:19" ht="18" customHeight="1" x14ac:dyDescent="0.25">
      <c r="A68" s="5">
        <v>45839</v>
      </c>
      <c r="B68" s="1">
        <v>-7</v>
      </c>
      <c r="C68" s="1">
        <v>-3</v>
      </c>
      <c r="D68" s="1">
        <v>-2</v>
      </c>
      <c r="E68" s="1">
        <v>-6</v>
      </c>
      <c r="F68" s="1">
        <v>-4</v>
      </c>
      <c r="G68" s="1">
        <v>9</v>
      </c>
      <c r="H68" s="1">
        <v>1</v>
      </c>
      <c r="I68" s="1">
        <v>3</v>
      </c>
      <c r="J68" s="1">
        <v>6</v>
      </c>
      <c r="K68" s="1">
        <v>-5</v>
      </c>
      <c r="L68" s="1">
        <v>7</v>
      </c>
      <c r="M68" s="1">
        <v>-1</v>
      </c>
      <c r="N68" s="1">
        <v>5</v>
      </c>
      <c r="O68" s="1">
        <v>4</v>
      </c>
      <c r="P68" s="1">
        <v>8</v>
      </c>
      <c r="Q68" s="1">
        <v>11</v>
      </c>
      <c r="R68" s="1">
        <v>2</v>
      </c>
      <c r="S68" s="1">
        <v>10</v>
      </c>
    </row>
    <row r="69" spans="1:19" ht="18" customHeight="1" x14ac:dyDescent="0.25">
      <c r="A69" s="5">
        <v>45870</v>
      </c>
      <c r="B69" s="1">
        <v>-4</v>
      </c>
      <c r="C69" s="1">
        <v>0</v>
      </c>
      <c r="D69" s="1">
        <v>10</v>
      </c>
      <c r="E69" s="1">
        <v>-1</v>
      </c>
      <c r="F69" s="1">
        <v>7</v>
      </c>
      <c r="G69" s="1">
        <v>0</v>
      </c>
      <c r="H69" s="1">
        <v>3</v>
      </c>
      <c r="I69" s="1">
        <v>12</v>
      </c>
      <c r="J69" s="1">
        <v>-3</v>
      </c>
      <c r="K69" s="1">
        <v>9</v>
      </c>
      <c r="L69" s="1">
        <v>-2</v>
      </c>
      <c r="M69" s="1">
        <v>6</v>
      </c>
      <c r="N69" s="1">
        <v>2</v>
      </c>
      <c r="O69" s="1">
        <v>1</v>
      </c>
      <c r="P69" s="1">
        <v>5</v>
      </c>
      <c r="Q69" s="1">
        <v>8</v>
      </c>
      <c r="R69" s="1">
        <v>4</v>
      </c>
      <c r="S69" s="1">
        <v>11</v>
      </c>
    </row>
    <row r="70" spans="1:19" ht="18" customHeight="1" x14ac:dyDescent="0.25">
      <c r="A70" s="5">
        <v>45901</v>
      </c>
      <c r="B70" s="1">
        <v>10</v>
      </c>
      <c r="C70" s="1">
        <v>-6</v>
      </c>
      <c r="D70" s="1">
        <v>0</v>
      </c>
      <c r="E70" s="1">
        <v>-5</v>
      </c>
      <c r="F70" s="1">
        <v>5</v>
      </c>
      <c r="G70" s="1">
        <v>3</v>
      </c>
      <c r="H70" s="1">
        <v>9</v>
      </c>
      <c r="I70" s="1">
        <v>7</v>
      </c>
      <c r="J70" s="1">
        <v>-4</v>
      </c>
      <c r="K70" s="1">
        <v>-7</v>
      </c>
      <c r="L70" s="1">
        <v>8</v>
      </c>
      <c r="M70" s="1">
        <v>-3</v>
      </c>
      <c r="N70" s="1">
        <v>6</v>
      </c>
      <c r="O70" s="1">
        <v>-1</v>
      </c>
      <c r="P70" s="1">
        <v>-2</v>
      </c>
      <c r="Q70" s="1">
        <v>2</v>
      </c>
      <c r="R70" s="1">
        <v>1</v>
      </c>
      <c r="S70" s="1">
        <v>4</v>
      </c>
    </row>
    <row r="71" spans="1:19" ht="18" customHeight="1" x14ac:dyDescent="0.25">
      <c r="A71" s="5">
        <v>45931</v>
      </c>
      <c r="B71" s="1">
        <v>11</v>
      </c>
      <c r="C71" s="1">
        <v>4</v>
      </c>
      <c r="D71" s="1">
        <v>-6</v>
      </c>
      <c r="E71" s="1">
        <v>-2</v>
      </c>
      <c r="F71" s="1">
        <v>1</v>
      </c>
      <c r="G71" s="1">
        <v>-4</v>
      </c>
      <c r="H71" s="1">
        <v>7</v>
      </c>
      <c r="I71" s="1">
        <v>3</v>
      </c>
      <c r="J71" s="1">
        <v>-5</v>
      </c>
      <c r="K71" s="1">
        <v>0</v>
      </c>
      <c r="L71" s="1">
        <v>-1</v>
      </c>
      <c r="M71" s="1">
        <v>2</v>
      </c>
      <c r="N71" s="1">
        <v>-3</v>
      </c>
      <c r="O71" s="1">
        <v>8</v>
      </c>
      <c r="P71" s="1">
        <v>10</v>
      </c>
      <c r="Q71" s="1">
        <v>5</v>
      </c>
      <c r="R71" s="1">
        <v>6</v>
      </c>
      <c r="S71" s="1">
        <v>9</v>
      </c>
    </row>
    <row r="72" spans="1:19" ht="18" customHeight="1" x14ac:dyDescent="0.25"/>
    <row r="73" spans="1:19" ht="18" customHeight="1" x14ac:dyDescent="0.25"/>
    <row r="74" spans="1:19" ht="18" customHeight="1" x14ac:dyDescent="0.25"/>
    <row r="75" spans="1:19" ht="18" customHeight="1" x14ac:dyDescent="0.25"/>
    <row r="76" spans="1:19" ht="18" customHeight="1" x14ac:dyDescent="0.25"/>
    <row r="77" spans="1:19" ht="18" customHeight="1" x14ac:dyDescent="0.25"/>
    <row r="78" spans="1:19" ht="18" customHeight="1" x14ac:dyDescent="0.25"/>
    <row r="79" spans="1:19" ht="18" customHeight="1" x14ac:dyDescent="0.25"/>
    <row r="80" spans="1:19"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sheetData>
  <hyperlinks>
    <hyperlink ref="Q1" r:id="rId1" display="Textile Mills" xr:uid="{24F9CFF8-A076-44F5-8C72-2AFBAB2FA1CB}"/>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B244D-908D-4C0B-B6AE-E89B45B8935B}">
  <dimension ref="A1:T98"/>
  <sheetViews>
    <sheetView showGridLines="0" workbookViewId="0">
      <pane xSplit="1" ySplit="1" topLeftCell="B62" activePane="bottomRight" state="frozen"/>
      <selection pane="topRight" activeCell="C1" sqref="C1"/>
      <selection pane="bottomLeft" activeCell="A3" sqref="A3"/>
      <selection pane="bottomRight" activeCell="A72" sqref="A72"/>
    </sheetView>
  </sheetViews>
  <sheetFormatPr defaultRowHeight="15" x14ac:dyDescent="0.25"/>
  <cols>
    <col min="1" max="16384" width="9.140625" style="1"/>
  </cols>
  <sheetData>
    <row r="1" spans="1:20" ht="75.75" customHeight="1" x14ac:dyDescent="0.25">
      <c r="A1" s="3" t="s">
        <v>0</v>
      </c>
      <c r="B1" s="2" t="s">
        <v>73</v>
      </c>
      <c r="C1" s="2" t="s">
        <v>74</v>
      </c>
      <c r="D1" s="2" t="s">
        <v>75</v>
      </c>
      <c r="E1" s="2" t="s">
        <v>76</v>
      </c>
      <c r="F1" s="2" t="s">
        <v>77</v>
      </c>
      <c r="G1" s="2" t="s">
        <v>78</v>
      </c>
      <c r="H1" s="2" t="s">
        <v>79</v>
      </c>
      <c r="I1" s="2" t="s">
        <v>80</v>
      </c>
      <c r="J1" s="2" t="s">
        <v>81</v>
      </c>
      <c r="K1" s="2" t="s">
        <v>82</v>
      </c>
      <c r="L1" s="2" t="s">
        <v>83</v>
      </c>
      <c r="M1" s="2" t="s">
        <v>84</v>
      </c>
      <c r="N1" s="2" t="s">
        <v>85</v>
      </c>
      <c r="O1" s="2" t="s">
        <v>86</v>
      </c>
      <c r="P1" s="2" t="s">
        <v>87</v>
      </c>
      <c r="Q1" s="2" t="s">
        <v>88</v>
      </c>
      <c r="R1" s="2" t="s">
        <v>89</v>
      </c>
      <c r="S1" s="2" t="s">
        <v>90</v>
      </c>
    </row>
    <row r="2" spans="1:20" ht="18" customHeight="1" x14ac:dyDescent="0.25">
      <c r="A2" s="5">
        <v>43831</v>
      </c>
      <c r="B2" s="4">
        <f>_xlfn.RANK.AVG(serv_pmi!B2,serv_pmi!$B2:$S2,1)</f>
        <v>13</v>
      </c>
      <c r="C2" s="4">
        <f>_xlfn.RANK.AVG(serv_pmi!C2,serv_pmi!$B2:$S2,1)</f>
        <v>18</v>
      </c>
      <c r="D2" s="4">
        <f>_xlfn.RANK.AVG(serv_pmi!D2,serv_pmi!$B2:$S2,1)</f>
        <v>4</v>
      </c>
      <c r="E2" s="4">
        <f>_xlfn.RANK.AVG(serv_pmi!E2,serv_pmi!$B2:$S2,1)</f>
        <v>10</v>
      </c>
      <c r="F2" s="4">
        <f>_xlfn.RANK.AVG(serv_pmi!F2,serv_pmi!$B2:$S2,1)</f>
        <v>15</v>
      </c>
      <c r="G2" s="4">
        <f>_xlfn.RANK.AVG(serv_pmi!G2,serv_pmi!$B2:$S2,1)</f>
        <v>12</v>
      </c>
      <c r="H2" s="4">
        <f>_xlfn.RANK.AVG(serv_pmi!H2,serv_pmi!$B2:$S2,1)</f>
        <v>16</v>
      </c>
      <c r="I2" s="4">
        <f>_xlfn.RANK.AVG(serv_pmi!I2,serv_pmi!$B2:$S2,1)</f>
        <v>8</v>
      </c>
      <c r="J2" s="4">
        <f>_xlfn.RANK.AVG(serv_pmi!J2,serv_pmi!$B2:$S2,1)</f>
        <v>17</v>
      </c>
      <c r="K2" s="4">
        <f>_xlfn.RANK.AVG(serv_pmi!K2,serv_pmi!$B2:$S2,1)</f>
        <v>5</v>
      </c>
      <c r="L2" s="4">
        <f>_xlfn.RANK.AVG(serv_pmi!L2,serv_pmi!$B2:$S2,1)</f>
        <v>3</v>
      </c>
      <c r="M2" s="4">
        <f>_xlfn.RANK.AVG(serv_pmi!M2,serv_pmi!$B2:$S2,1)</f>
        <v>7</v>
      </c>
      <c r="N2" s="4">
        <f>_xlfn.RANK.AVG(serv_pmi!N2,serv_pmi!$B2:$S2,1)</f>
        <v>9</v>
      </c>
      <c r="O2" s="4">
        <f>_xlfn.RANK.AVG(serv_pmi!O2,serv_pmi!$B2:$S2,1)</f>
        <v>6</v>
      </c>
      <c r="P2" s="4">
        <f>_xlfn.RANK.AVG(serv_pmi!P2,serv_pmi!$B2:$S2,1)</f>
        <v>11</v>
      </c>
      <c r="Q2" s="4">
        <f>_xlfn.RANK.AVG(serv_pmi!Q2,serv_pmi!$B2:$S2,1)</f>
        <v>1</v>
      </c>
      <c r="R2" s="4">
        <f>_xlfn.RANK.AVG(serv_pmi!R2,serv_pmi!$B2:$S2,1)</f>
        <v>14</v>
      </c>
      <c r="S2" s="4">
        <f>_xlfn.RANK.AVG(serv_pmi!S2,serv_pmi!$B2:$S2,1)</f>
        <v>2</v>
      </c>
      <c r="T2" s="6"/>
    </row>
    <row r="3" spans="1:20" ht="18" customHeight="1" x14ac:dyDescent="0.25">
      <c r="A3" s="5">
        <v>43862</v>
      </c>
      <c r="B3" s="4">
        <f>_xlfn.RANK.AVG(serv_pmi!B3,serv_pmi!$B3:$S3,1)</f>
        <v>18</v>
      </c>
      <c r="C3" s="4">
        <f>_xlfn.RANK.AVG(serv_pmi!C3,serv_pmi!$B3:$S3,1)</f>
        <v>2</v>
      </c>
      <c r="D3" s="4">
        <f>_xlfn.RANK.AVG(serv_pmi!D3,serv_pmi!$B3:$S3,1)</f>
        <v>1</v>
      </c>
      <c r="E3" s="4">
        <f>_xlfn.RANK.AVG(serv_pmi!E3,serv_pmi!$B3:$S3,1)</f>
        <v>12</v>
      </c>
      <c r="F3" s="4">
        <f>_xlfn.RANK.AVG(serv_pmi!F3,serv_pmi!$B3:$S3,1)</f>
        <v>7</v>
      </c>
      <c r="G3" s="4">
        <f>_xlfn.RANK.AVG(serv_pmi!G3,serv_pmi!$B3:$S3,1)</f>
        <v>15</v>
      </c>
      <c r="H3" s="4">
        <f>_xlfn.RANK.AVG(serv_pmi!H3,serv_pmi!$B3:$S3,1)</f>
        <v>11</v>
      </c>
      <c r="I3" s="4">
        <f>_xlfn.RANK.AVG(serv_pmi!I3,serv_pmi!$B3:$S3,1)</f>
        <v>4</v>
      </c>
      <c r="J3" s="4">
        <f>_xlfn.RANK.AVG(serv_pmi!J3,serv_pmi!$B3:$S3,1)</f>
        <v>17</v>
      </c>
      <c r="K3" s="4">
        <f>_xlfn.RANK.AVG(serv_pmi!K3,serv_pmi!$B3:$S3,1)</f>
        <v>16</v>
      </c>
      <c r="L3" s="4">
        <f>_xlfn.RANK.AVG(serv_pmi!L3,serv_pmi!$B3:$S3,1)</f>
        <v>13</v>
      </c>
      <c r="M3" s="4">
        <f>_xlfn.RANK.AVG(serv_pmi!M3,serv_pmi!$B3:$S3,1)</f>
        <v>6</v>
      </c>
      <c r="N3" s="4">
        <f>_xlfn.RANK.AVG(serv_pmi!N3,serv_pmi!$B3:$S3,1)</f>
        <v>10</v>
      </c>
      <c r="O3" s="4">
        <f>_xlfn.RANK.AVG(serv_pmi!O3,serv_pmi!$B3:$S3,1)</f>
        <v>14</v>
      </c>
      <c r="P3" s="4">
        <f>_xlfn.RANK.AVG(serv_pmi!P3,serv_pmi!$B3:$S3,1)</f>
        <v>3</v>
      </c>
      <c r="Q3" s="4">
        <f>_xlfn.RANK.AVG(serv_pmi!Q3,serv_pmi!$B3:$S3,1)</f>
        <v>8</v>
      </c>
      <c r="R3" s="4">
        <f>_xlfn.RANK.AVG(serv_pmi!R3,serv_pmi!$B3:$S3,1)</f>
        <v>5</v>
      </c>
      <c r="S3" s="4">
        <f>_xlfn.RANK.AVG(serv_pmi!S3,serv_pmi!$B3:$S3,1)</f>
        <v>9</v>
      </c>
      <c r="T3" s="6"/>
    </row>
    <row r="4" spans="1:20" ht="18" customHeight="1" x14ac:dyDescent="0.25">
      <c r="A4" s="5">
        <v>43891</v>
      </c>
      <c r="B4" s="4">
        <f>_xlfn.RANK.AVG(serv_pmi!B4,serv_pmi!$B4:$S4,1)</f>
        <v>8.5</v>
      </c>
      <c r="C4" s="4">
        <f>_xlfn.RANK.AVG(serv_pmi!C4,serv_pmi!$B4:$S4,1)</f>
        <v>8.5</v>
      </c>
      <c r="D4" s="4">
        <f>_xlfn.RANK.AVG(serv_pmi!D4,serv_pmi!$B4:$S4,1)</f>
        <v>1</v>
      </c>
      <c r="E4" s="4">
        <f>_xlfn.RANK.AVG(serv_pmi!E4,serv_pmi!$B4:$S4,1)</f>
        <v>13</v>
      </c>
      <c r="F4" s="4">
        <f>_xlfn.RANK.AVG(serv_pmi!F4,serv_pmi!$B4:$S4,1)</f>
        <v>7</v>
      </c>
      <c r="G4" s="4">
        <f>_xlfn.RANK.AVG(serv_pmi!G4,serv_pmi!$B4:$S4,1)</f>
        <v>14</v>
      </c>
      <c r="H4" s="4">
        <f>_xlfn.RANK.AVG(serv_pmi!H4,serv_pmi!$B4:$S4,1)</f>
        <v>18</v>
      </c>
      <c r="I4" s="4">
        <f>_xlfn.RANK.AVG(serv_pmi!I4,serv_pmi!$B4:$S4,1)</f>
        <v>10</v>
      </c>
      <c r="J4" s="4">
        <f>_xlfn.RANK.AVG(serv_pmi!J4,serv_pmi!$B4:$S4,1)</f>
        <v>12</v>
      </c>
      <c r="K4" s="4">
        <f>_xlfn.RANK.AVG(serv_pmi!K4,serv_pmi!$B4:$S4,1)</f>
        <v>4</v>
      </c>
      <c r="L4" s="4">
        <f>_xlfn.RANK.AVG(serv_pmi!L4,serv_pmi!$B4:$S4,1)</f>
        <v>5</v>
      </c>
      <c r="M4" s="4">
        <f>_xlfn.RANK.AVG(serv_pmi!M4,serv_pmi!$B4:$S4,1)</f>
        <v>3</v>
      </c>
      <c r="N4" s="4">
        <f>_xlfn.RANK.AVG(serv_pmi!N4,serv_pmi!$B4:$S4,1)</f>
        <v>16</v>
      </c>
      <c r="O4" s="4">
        <f>_xlfn.RANK.AVG(serv_pmi!O4,serv_pmi!$B4:$S4,1)</f>
        <v>17</v>
      </c>
      <c r="P4" s="4">
        <f>_xlfn.RANK.AVG(serv_pmi!P4,serv_pmi!$B4:$S4,1)</f>
        <v>6</v>
      </c>
      <c r="Q4" s="4">
        <f>_xlfn.RANK.AVG(serv_pmi!Q4,serv_pmi!$B4:$S4,1)</f>
        <v>2</v>
      </c>
      <c r="R4" s="4">
        <f>_xlfn.RANK.AVG(serv_pmi!R4,serv_pmi!$B4:$S4,1)</f>
        <v>15</v>
      </c>
      <c r="S4" s="4">
        <f>_xlfn.RANK.AVG(serv_pmi!S4,serv_pmi!$B4:$S4,1)</f>
        <v>11</v>
      </c>
      <c r="T4" s="6"/>
    </row>
    <row r="5" spans="1:20" ht="18" customHeight="1" x14ac:dyDescent="0.25">
      <c r="A5" s="5">
        <v>43922</v>
      </c>
      <c r="B5" s="4">
        <f>_xlfn.RANK.AVG(serv_pmi!B5,serv_pmi!$B5:$S5,1)</f>
        <v>11</v>
      </c>
      <c r="C5" s="4">
        <f>_xlfn.RANK.AVG(serv_pmi!C5,serv_pmi!$B5:$S5,1)</f>
        <v>2</v>
      </c>
      <c r="D5" s="4">
        <f>_xlfn.RANK.AVG(serv_pmi!D5,serv_pmi!$B5:$S5,1)</f>
        <v>1</v>
      </c>
      <c r="E5" s="4">
        <f>_xlfn.RANK.AVG(serv_pmi!E5,serv_pmi!$B5:$S5,1)</f>
        <v>6</v>
      </c>
      <c r="F5" s="4">
        <f>_xlfn.RANK.AVG(serv_pmi!F5,serv_pmi!$B5:$S5,1)</f>
        <v>13</v>
      </c>
      <c r="G5" s="4">
        <f>_xlfn.RANK.AVG(serv_pmi!G5,serv_pmi!$B5:$S5,1)</f>
        <v>17</v>
      </c>
      <c r="H5" s="4">
        <f>_xlfn.RANK.AVG(serv_pmi!H5,serv_pmi!$B5:$S5,1)</f>
        <v>16</v>
      </c>
      <c r="I5" s="4">
        <f>_xlfn.RANK.AVG(serv_pmi!I5,serv_pmi!$B5:$S5,1)</f>
        <v>10</v>
      </c>
      <c r="J5" s="4">
        <f>_xlfn.RANK.AVG(serv_pmi!J5,serv_pmi!$B5:$S5,1)</f>
        <v>12</v>
      </c>
      <c r="K5" s="4">
        <f>_xlfn.RANK.AVG(serv_pmi!K5,serv_pmi!$B5:$S5,1)</f>
        <v>8</v>
      </c>
      <c r="L5" s="4">
        <f>_xlfn.RANK.AVG(serv_pmi!L5,serv_pmi!$B5:$S5,1)</f>
        <v>4</v>
      </c>
      <c r="M5" s="4">
        <f>_xlfn.RANK.AVG(serv_pmi!M5,serv_pmi!$B5:$S5,1)</f>
        <v>9</v>
      </c>
      <c r="N5" s="4">
        <f>_xlfn.RANK.AVG(serv_pmi!N5,serv_pmi!$B5:$S5,1)</f>
        <v>18</v>
      </c>
      <c r="O5" s="4">
        <f>_xlfn.RANK.AVG(serv_pmi!O5,serv_pmi!$B5:$S5,1)</f>
        <v>14</v>
      </c>
      <c r="P5" s="4">
        <f>_xlfn.RANK.AVG(serv_pmi!P5,serv_pmi!$B5:$S5,1)</f>
        <v>3</v>
      </c>
      <c r="Q5" s="4">
        <f>_xlfn.RANK.AVG(serv_pmi!Q5,serv_pmi!$B5:$S5,1)</f>
        <v>7</v>
      </c>
      <c r="R5" s="4">
        <f>_xlfn.RANK.AVG(serv_pmi!R5,serv_pmi!$B5:$S5,1)</f>
        <v>15</v>
      </c>
      <c r="S5" s="4">
        <f>_xlfn.RANK.AVG(serv_pmi!S5,serv_pmi!$B5:$S5,1)</f>
        <v>5</v>
      </c>
      <c r="T5" s="6"/>
    </row>
    <row r="6" spans="1:20" ht="18" customHeight="1" x14ac:dyDescent="0.25">
      <c r="A6" s="5">
        <v>43952</v>
      </c>
      <c r="B6" s="4">
        <f>_xlfn.RANK.AVG(serv_pmi!B6,serv_pmi!$B6:$S6,1)</f>
        <v>9</v>
      </c>
      <c r="C6" s="4">
        <f>_xlfn.RANK.AVG(serv_pmi!C6,serv_pmi!$B6:$S6,1)</f>
        <v>18</v>
      </c>
      <c r="D6" s="4">
        <f>_xlfn.RANK.AVG(serv_pmi!D6,serv_pmi!$B6:$S6,1)</f>
        <v>2</v>
      </c>
      <c r="E6" s="4">
        <f>_xlfn.RANK.AVG(serv_pmi!E6,serv_pmi!$B6:$S6,1)</f>
        <v>4</v>
      </c>
      <c r="F6" s="4">
        <f>_xlfn.RANK.AVG(serv_pmi!F6,serv_pmi!$B6:$S6,1)</f>
        <v>5</v>
      </c>
      <c r="G6" s="4">
        <f>_xlfn.RANK.AVG(serv_pmi!G6,serv_pmi!$B6:$S6,1)</f>
        <v>17</v>
      </c>
      <c r="H6" s="4">
        <f>_xlfn.RANK.AVG(serv_pmi!H6,serv_pmi!$B6:$S6,1)</f>
        <v>13</v>
      </c>
      <c r="I6" s="4">
        <f>_xlfn.RANK.AVG(serv_pmi!I6,serv_pmi!$B6:$S6,1)</f>
        <v>15</v>
      </c>
      <c r="J6" s="4">
        <f>_xlfn.RANK.AVG(serv_pmi!J6,serv_pmi!$B6:$S6,1)</f>
        <v>10</v>
      </c>
      <c r="K6" s="4">
        <f>_xlfn.RANK.AVG(serv_pmi!K6,serv_pmi!$B6:$S6,1)</f>
        <v>1</v>
      </c>
      <c r="L6" s="4">
        <f>_xlfn.RANK.AVG(serv_pmi!L6,serv_pmi!$B6:$S6,1)</f>
        <v>3</v>
      </c>
      <c r="M6" s="4">
        <f>_xlfn.RANK.AVG(serv_pmi!M6,serv_pmi!$B6:$S6,1)</f>
        <v>6</v>
      </c>
      <c r="N6" s="4">
        <f>_xlfn.RANK.AVG(serv_pmi!N6,serv_pmi!$B6:$S6,1)</f>
        <v>16</v>
      </c>
      <c r="O6" s="4">
        <f>_xlfn.RANK.AVG(serv_pmi!O6,serv_pmi!$B6:$S6,1)</f>
        <v>11</v>
      </c>
      <c r="P6" s="4">
        <f>_xlfn.RANK.AVG(serv_pmi!P6,serv_pmi!$B6:$S6,1)</f>
        <v>14</v>
      </c>
      <c r="Q6" s="4">
        <f>_xlfn.RANK.AVG(serv_pmi!Q6,serv_pmi!$B6:$S6,1)</f>
        <v>12</v>
      </c>
      <c r="R6" s="4">
        <f>_xlfn.RANK.AVG(serv_pmi!R6,serv_pmi!$B6:$S6,1)</f>
        <v>7</v>
      </c>
      <c r="S6" s="4">
        <f>_xlfn.RANK.AVG(serv_pmi!S6,serv_pmi!$B6:$S6,1)</f>
        <v>8</v>
      </c>
      <c r="T6" s="6"/>
    </row>
    <row r="7" spans="1:20" ht="18" customHeight="1" x14ac:dyDescent="0.25">
      <c r="A7" s="5">
        <v>43983</v>
      </c>
      <c r="B7" s="4">
        <f>_xlfn.RANK.AVG(serv_pmi!B7,serv_pmi!$B7:$S7,1)</f>
        <v>17</v>
      </c>
      <c r="C7" s="4">
        <f>_xlfn.RANK.AVG(serv_pmi!C7,serv_pmi!$B7:$S7,1)</f>
        <v>18</v>
      </c>
      <c r="D7" s="4">
        <f>_xlfn.RANK.AVG(serv_pmi!D7,serv_pmi!$B7:$S7,1)</f>
        <v>9</v>
      </c>
      <c r="E7" s="4">
        <f>_xlfn.RANK.AVG(serv_pmi!E7,serv_pmi!$B7:$S7,1)</f>
        <v>13</v>
      </c>
      <c r="F7" s="4">
        <f>_xlfn.RANK.AVG(serv_pmi!F7,serv_pmi!$B7:$S7,1)</f>
        <v>4</v>
      </c>
      <c r="G7" s="4">
        <f>_xlfn.RANK.AVG(serv_pmi!G7,serv_pmi!$B7:$S7,1)</f>
        <v>7</v>
      </c>
      <c r="H7" s="4">
        <f>_xlfn.RANK.AVG(serv_pmi!H7,serv_pmi!$B7:$S7,1)</f>
        <v>14</v>
      </c>
      <c r="I7" s="4">
        <f>_xlfn.RANK.AVG(serv_pmi!I7,serv_pmi!$B7:$S7,1)</f>
        <v>8</v>
      </c>
      <c r="J7" s="4">
        <f>_xlfn.RANK.AVG(serv_pmi!J7,serv_pmi!$B7:$S7,1)</f>
        <v>3</v>
      </c>
      <c r="K7" s="4">
        <f>_xlfn.RANK.AVG(serv_pmi!K7,serv_pmi!$B7:$S7,1)</f>
        <v>1</v>
      </c>
      <c r="L7" s="4">
        <f>_xlfn.RANK.AVG(serv_pmi!L7,serv_pmi!$B7:$S7,1)</f>
        <v>2</v>
      </c>
      <c r="M7" s="4">
        <f>_xlfn.RANK.AVG(serv_pmi!M7,serv_pmi!$B7:$S7,1)</f>
        <v>5</v>
      </c>
      <c r="N7" s="4">
        <f>_xlfn.RANK.AVG(serv_pmi!N7,serv_pmi!$B7:$S7,1)</f>
        <v>6</v>
      </c>
      <c r="O7" s="4">
        <f>_xlfn.RANK.AVG(serv_pmi!O7,serv_pmi!$B7:$S7,1)</f>
        <v>15</v>
      </c>
      <c r="P7" s="4">
        <f>_xlfn.RANK.AVG(serv_pmi!P7,serv_pmi!$B7:$S7,1)</f>
        <v>12</v>
      </c>
      <c r="Q7" s="4">
        <f>_xlfn.RANK.AVG(serv_pmi!Q7,serv_pmi!$B7:$S7,1)</f>
        <v>10</v>
      </c>
      <c r="R7" s="4">
        <f>_xlfn.RANK.AVG(serv_pmi!R7,serv_pmi!$B7:$S7,1)</f>
        <v>11</v>
      </c>
      <c r="S7" s="4">
        <f>_xlfn.RANK.AVG(serv_pmi!S7,serv_pmi!$B7:$S7,1)</f>
        <v>16</v>
      </c>
      <c r="T7" s="6"/>
    </row>
    <row r="8" spans="1:20" ht="18" customHeight="1" x14ac:dyDescent="0.25">
      <c r="A8" s="5">
        <v>44013</v>
      </c>
      <c r="B8" s="4">
        <f>_xlfn.RANK.AVG(serv_pmi!B8,serv_pmi!$B8:$S8,1)</f>
        <v>5</v>
      </c>
      <c r="C8" s="4">
        <f>_xlfn.RANK.AVG(serv_pmi!C8,serv_pmi!$B8:$S8,1)</f>
        <v>6</v>
      </c>
      <c r="D8" s="4">
        <f>_xlfn.RANK.AVG(serv_pmi!D8,serv_pmi!$B8:$S8,1)</f>
        <v>18</v>
      </c>
      <c r="E8" s="4">
        <f>_xlfn.RANK.AVG(serv_pmi!E8,serv_pmi!$B8:$S8,1)</f>
        <v>12</v>
      </c>
      <c r="F8" s="4">
        <f>_xlfn.RANK.AVG(serv_pmi!F8,serv_pmi!$B8:$S8,1)</f>
        <v>13</v>
      </c>
      <c r="G8" s="4">
        <f>_xlfn.RANK.AVG(serv_pmi!G8,serv_pmi!$B8:$S8,1)</f>
        <v>9</v>
      </c>
      <c r="H8" s="4">
        <f>_xlfn.RANK.AVG(serv_pmi!H8,serv_pmi!$B8:$S8,1)</f>
        <v>17</v>
      </c>
      <c r="I8" s="4">
        <f>_xlfn.RANK.AVG(serv_pmi!I8,serv_pmi!$B8:$S8,1)</f>
        <v>4</v>
      </c>
      <c r="J8" s="4">
        <f>_xlfn.RANK.AVG(serv_pmi!J8,serv_pmi!$B8:$S8,1)</f>
        <v>8</v>
      </c>
      <c r="K8" s="4">
        <f>_xlfn.RANK.AVG(serv_pmi!K8,serv_pmi!$B8:$S8,1)</f>
        <v>2</v>
      </c>
      <c r="L8" s="4">
        <f>_xlfn.RANK.AVG(serv_pmi!L8,serv_pmi!$B8:$S8,1)</f>
        <v>1</v>
      </c>
      <c r="M8" s="4">
        <f>_xlfn.RANK.AVG(serv_pmi!M8,serv_pmi!$B8:$S8,1)</f>
        <v>3</v>
      </c>
      <c r="N8" s="4">
        <f>_xlfn.RANK.AVG(serv_pmi!N8,serv_pmi!$B8:$S8,1)</f>
        <v>10</v>
      </c>
      <c r="O8" s="4">
        <f>_xlfn.RANK.AVG(serv_pmi!O8,serv_pmi!$B8:$S8,1)</f>
        <v>7</v>
      </c>
      <c r="P8" s="4">
        <f>_xlfn.RANK.AVG(serv_pmi!P8,serv_pmi!$B8:$S8,1)</f>
        <v>16</v>
      </c>
      <c r="Q8" s="4">
        <f>_xlfn.RANK.AVG(serv_pmi!Q8,serv_pmi!$B8:$S8,1)</f>
        <v>15</v>
      </c>
      <c r="R8" s="4">
        <f>_xlfn.RANK.AVG(serv_pmi!R8,serv_pmi!$B8:$S8,1)</f>
        <v>11</v>
      </c>
      <c r="S8" s="4">
        <f>_xlfn.RANK.AVG(serv_pmi!S8,serv_pmi!$B8:$S8,1)</f>
        <v>14</v>
      </c>
      <c r="T8" s="6"/>
    </row>
    <row r="9" spans="1:20" ht="18" customHeight="1" x14ac:dyDescent="0.25">
      <c r="A9" s="5">
        <v>44044</v>
      </c>
      <c r="B9" s="4">
        <f>_xlfn.RANK.AVG(serv_pmi!B9,serv_pmi!$B9:$S9,1)</f>
        <v>15</v>
      </c>
      <c r="C9" s="4">
        <f>_xlfn.RANK.AVG(serv_pmi!C9,serv_pmi!$B9:$S9,1)</f>
        <v>6</v>
      </c>
      <c r="D9" s="4">
        <f>_xlfn.RANK.AVG(serv_pmi!D9,serv_pmi!$B9:$S9,1)</f>
        <v>18</v>
      </c>
      <c r="E9" s="4">
        <f>_xlfn.RANK.AVG(serv_pmi!E9,serv_pmi!$B9:$S9,1)</f>
        <v>12</v>
      </c>
      <c r="F9" s="4">
        <f>_xlfn.RANK.AVG(serv_pmi!F9,serv_pmi!$B9:$S9,1)</f>
        <v>7</v>
      </c>
      <c r="G9" s="4">
        <f>_xlfn.RANK.AVG(serv_pmi!G9,serv_pmi!$B9:$S9,1)</f>
        <v>8</v>
      </c>
      <c r="H9" s="4">
        <f>_xlfn.RANK.AVG(serv_pmi!H9,serv_pmi!$B9:$S9,1)</f>
        <v>17</v>
      </c>
      <c r="I9" s="4">
        <f>_xlfn.RANK.AVG(serv_pmi!I9,serv_pmi!$B9:$S9,1)</f>
        <v>2</v>
      </c>
      <c r="J9" s="4">
        <f>_xlfn.RANK.AVG(serv_pmi!J9,serv_pmi!$B9:$S9,1)</f>
        <v>10</v>
      </c>
      <c r="K9" s="4">
        <f>_xlfn.RANK.AVG(serv_pmi!K9,serv_pmi!$B9:$S9,1)</f>
        <v>1</v>
      </c>
      <c r="L9" s="4">
        <f>_xlfn.RANK.AVG(serv_pmi!L9,serv_pmi!$B9:$S9,1)</f>
        <v>3</v>
      </c>
      <c r="M9" s="4">
        <f>_xlfn.RANK.AVG(serv_pmi!M9,serv_pmi!$B9:$S9,1)</f>
        <v>4</v>
      </c>
      <c r="N9" s="4">
        <f>_xlfn.RANK.AVG(serv_pmi!N9,serv_pmi!$B9:$S9,1)</f>
        <v>9</v>
      </c>
      <c r="O9" s="4">
        <f>_xlfn.RANK.AVG(serv_pmi!O9,serv_pmi!$B9:$S9,1)</f>
        <v>5</v>
      </c>
      <c r="P9" s="4">
        <f>_xlfn.RANK.AVG(serv_pmi!P9,serv_pmi!$B9:$S9,1)</f>
        <v>11</v>
      </c>
      <c r="Q9" s="4">
        <f>_xlfn.RANK.AVG(serv_pmi!Q9,serv_pmi!$B9:$S9,1)</f>
        <v>14</v>
      </c>
      <c r="R9" s="4">
        <f>_xlfn.RANK.AVG(serv_pmi!R9,serv_pmi!$B9:$S9,1)</f>
        <v>16</v>
      </c>
      <c r="S9" s="4">
        <f>_xlfn.RANK.AVG(serv_pmi!S9,serv_pmi!$B9:$S9,1)</f>
        <v>13</v>
      </c>
      <c r="T9" s="6"/>
    </row>
    <row r="10" spans="1:20" ht="18" customHeight="1" x14ac:dyDescent="0.25">
      <c r="A10" s="5">
        <v>44094</v>
      </c>
      <c r="B10" s="4">
        <f>_xlfn.RANK.AVG(serv_pmi!B10,serv_pmi!$B10:$S10,1)</f>
        <v>11</v>
      </c>
      <c r="C10" s="4">
        <f>_xlfn.RANK.AVG(serv_pmi!C10,serv_pmi!$B10:$S10,1)</f>
        <v>7</v>
      </c>
      <c r="D10" s="4">
        <f>_xlfn.RANK.AVG(serv_pmi!D10,serv_pmi!$B10:$S10,1)</f>
        <v>18</v>
      </c>
      <c r="E10" s="4">
        <f>_xlfn.RANK.AVG(serv_pmi!E10,serv_pmi!$B10:$S10,1)</f>
        <v>10</v>
      </c>
      <c r="F10" s="4">
        <f>_xlfn.RANK.AVG(serv_pmi!F10,serv_pmi!$B10:$S10,1)</f>
        <v>8</v>
      </c>
      <c r="G10" s="4">
        <f>_xlfn.RANK.AVG(serv_pmi!G10,serv_pmi!$B10:$S10,1)</f>
        <v>6</v>
      </c>
      <c r="H10" s="4">
        <f>_xlfn.RANK.AVG(serv_pmi!H10,serv_pmi!$B10:$S10,1)</f>
        <v>14</v>
      </c>
      <c r="I10" s="4">
        <f>_xlfn.RANK.AVG(serv_pmi!I10,serv_pmi!$B10:$S10,1)</f>
        <v>4</v>
      </c>
      <c r="J10" s="4">
        <f>_xlfn.RANK.AVG(serv_pmi!J10,serv_pmi!$B10:$S10,1)</f>
        <v>16</v>
      </c>
      <c r="K10" s="4">
        <f>_xlfn.RANK.AVG(serv_pmi!K10,serv_pmi!$B10:$S10,1)</f>
        <v>2</v>
      </c>
      <c r="L10" s="4">
        <f>_xlfn.RANK.AVG(serv_pmi!L10,serv_pmi!$B10:$S10,1)</f>
        <v>3</v>
      </c>
      <c r="M10" s="4">
        <f>_xlfn.RANK.AVG(serv_pmi!M10,serv_pmi!$B10:$S10,1)</f>
        <v>1</v>
      </c>
      <c r="N10" s="4">
        <f>_xlfn.RANK.AVG(serv_pmi!N10,serv_pmi!$B10:$S10,1)</f>
        <v>9</v>
      </c>
      <c r="O10" s="4">
        <f>_xlfn.RANK.AVG(serv_pmi!O10,serv_pmi!$B10:$S10,1)</f>
        <v>12</v>
      </c>
      <c r="P10" s="4">
        <f>_xlfn.RANK.AVG(serv_pmi!P10,serv_pmi!$B10:$S10,1)</f>
        <v>5</v>
      </c>
      <c r="Q10" s="4">
        <f>_xlfn.RANK.AVG(serv_pmi!Q10,serv_pmi!$B10:$S10,1)</f>
        <v>15</v>
      </c>
      <c r="R10" s="4">
        <f>_xlfn.RANK.AVG(serv_pmi!R10,serv_pmi!$B10:$S10,1)</f>
        <v>17</v>
      </c>
      <c r="S10" s="4">
        <f>_xlfn.RANK.AVG(serv_pmi!S10,serv_pmi!$B10:$S10,1)</f>
        <v>13</v>
      </c>
      <c r="T10" s="6"/>
    </row>
    <row r="11" spans="1:20" ht="18" customHeight="1" x14ac:dyDescent="0.25">
      <c r="A11" s="5">
        <v>44105</v>
      </c>
      <c r="B11" s="4">
        <f>_xlfn.RANK.AVG(serv_pmi!B11,serv_pmi!$B11:$S11,1)</f>
        <v>16</v>
      </c>
      <c r="C11" s="4">
        <f>_xlfn.RANK.AVG(serv_pmi!C11,serv_pmi!$B11:$S11,1)</f>
        <v>14</v>
      </c>
      <c r="D11" s="4">
        <f>_xlfn.RANK.AVG(serv_pmi!D11,serv_pmi!$B11:$S11,1)</f>
        <v>1</v>
      </c>
      <c r="E11" s="4">
        <f>_xlfn.RANK.AVG(serv_pmi!E11,serv_pmi!$B11:$S11,1)</f>
        <v>17</v>
      </c>
      <c r="F11" s="4">
        <f>_xlfn.RANK.AVG(serv_pmi!F11,serv_pmi!$B11:$S11,1)</f>
        <v>13</v>
      </c>
      <c r="G11" s="4">
        <f>_xlfn.RANK.AVG(serv_pmi!G11,serv_pmi!$B11:$S11,1)</f>
        <v>12</v>
      </c>
      <c r="H11" s="4">
        <f>_xlfn.RANK.AVG(serv_pmi!H11,serv_pmi!$B11:$S11,1)</f>
        <v>15</v>
      </c>
      <c r="I11" s="4">
        <f>_xlfn.RANK.AVG(serv_pmi!I11,serv_pmi!$B11:$S11,1)</f>
        <v>4</v>
      </c>
      <c r="J11" s="4">
        <f>_xlfn.RANK.AVG(serv_pmi!J11,serv_pmi!$B11:$S11,1)</f>
        <v>11</v>
      </c>
      <c r="K11" s="4">
        <f>_xlfn.RANK.AVG(serv_pmi!K11,serv_pmi!$B11:$S11,1)</f>
        <v>9</v>
      </c>
      <c r="L11" s="4">
        <f>_xlfn.RANK.AVG(serv_pmi!L11,serv_pmi!$B11:$S11,1)</f>
        <v>3</v>
      </c>
      <c r="M11" s="4">
        <f>_xlfn.RANK.AVG(serv_pmi!M11,serv_pmi!$B11:$S11,1)</f>
        <v>8</v>
      </c>
      <c r="N11" s="4">
        <f>_xlfn.RANK.AVG(serv_pmi!N11,serv_pmi!$B11:$S11,1)</f>
        <v>2</v>
      </c>
      <c r="O11" s="4">
        <f>_xlfn.RANK.AVG(serv_pmi!O11,serv_pmi!$B11:$S11,1)</f>
        <v>5</v>
      </c>
      <c r="P11" s="4">
        <f>_xlfn.RANK.AVG(serv_pmi!P11,serv_pmi!$B11:$S11,1)</f>
        <v>6</v>
      </c>
      <c r="Q11" s="4">
        <f>_xlfn.RANK.AVG(serv_pmi!Q11,serv_pmi!$B11:$S11,1)</f>
        <v>18</v>
      </c>
      <c r="R11" s="4">
        <f>_xlfn.RANK.AVG(serv_pmi!R11,serv_pmi!$B11:$S11,1)</f>
        <v>7</v>
      </c>
      <c r="S11" s="4">
        <f>_xlfn.RANK.AVG(serv_pmi!S11,serv_pmi!$B11:$S11,1)</f>
        <v>10</v>
      </c>
      <c r="T11" s="6"/>
    </row>
    <row r="12" spans="1:20" ht="18" customHeight="1" x14ac:dyDescent="0.25">
      <c r="A12" s="5">
        <v>44136</v>
      </c>
      <c r="B12" s="4">
        <f>_xlfn.RANK.AVG(serv_pmi!B12,serv_pmi!$B12:$S12,1)</f>
        <v>14</v>
      </c>
      <c r="C12" s="4">
        <f>_xlfn.RANK.AVG(serv_pmi!C12,serv_pmi!$B12:$S12,1)</f>
        <v>8</v>
      </c>
      <c r="D12" s="4">
        <f>_xlfn.RANK.AVG(serv_pmi!D12,serv_pmi!$B12:$S12,1)</f>
        <v>1</v>
      </c>
      <c r="E12" s="4">
        <f>_xlfn.RANK.AVG(serv_pmi!E12,serv_pmi!$B12:$S12,1)</f>
        <v>13</v>
      </c>
      <c r="F12" s="4">
        <f>_xlfn.RANK.AVG(serv_pmi!F12,serv_pmi!$B12:$S12,1)</f>
        <v>4</v>
      </c>
      <c r="G12" s="4">
        <f>_xlfn.RANK.AVG(serv_pmi!G12,serv_pmi!$B12:$S12,1)</f>
        <v>9</v>
      </c>
      <c r="H12" s="4">
        <f>_xlfn.RANK.AVG(serv_pmi!H12,serv_pmi!$B12:$S12,1)</f>
        <v>16</v>
      </c>
      <c r="I12" s="4">
        <f>_xlfn.RANK.AVG(serv_pmi!I12,serv_pmi!$B12:$S12,1)</f>
        <v>5</v>
      </c>
      <c r="J12" s="4">
        <f>_xlfn.RANK.AVG(serv_pmi!J12,serv_pmi!$B12:$S12,1)</f>
        <v>17</v>
      </c>
      <c r="K12" s="4">
        <f>_xlfn.RANK.AVG(serv_pmi!K12,serv_pmi!$B12:$S12,1)</f>
        <v>7</v>
      </c>
      <c r="L12" s="4">
        <f>_xlfn.RANK.AVG(serv_pmi!L12,serv_pmi!$B12:$S12,1)</f>
        <v>2</v>
      </c>
      <c r="M12" s="4">
        <f>_xlfn.RANK.AVG(serv_pmi!M12,serv_pmi!$B12:$S12,1)</f>
        <v>10</v>
      </c>
      <c r="N12" s="4">
        <f>_xlfn.RANK.AVG(serv_pmi!N12,serv_pmi!$B12:$S12,1)</f>
        <v>6</v>
      </c>
      <c r="O12" s="4">
        <f>_xlfn.RANK.AVG(serv_pmi!O12,serv_pmi!$B12:$S12,1)</f>
        <v>3</v>
      </c>
      <c r="P12" s="4">
        <f>_xlfn.RANK.AVG(serv_pmi!P12,serv_pmi!$B12:$S12,1)</f>
        <v>12</v>
      </c>
      <c r="Q12" s="4">
        <f>_xlfn.RANK.AVG(serv_pmi!Q12,serv_pmi!$B12:$S12,1)</f>
        <v>18</v>
      </c>
      <c r="R12" s="4">
        <f>_xlfn.RANK.AVG(serv_pmi!R12,serv_pmi!$B12:$S12,1)</f>
        <v>15</v>
      </c>
      <c r="S12" s="4">
        <f>_xlfn.RANK.AVG(serv_pmi!S12,serv_pmi!$B12:$S12,1)</f>
        <v>11</v>
      </c>
      <c r="T12" s="6"/>
    </row>
    <row r="13" spans="1:20" ht="18" customHeight="1" x14ac:dyDescent="0.25">
      <c r="A13" s="5">
        <v>44166</v>
      </c>
      <c r="B13" s="4">
        <f>_xlfn.RANK.AVG(serv_pmi!B13,serv_pmi!$B13:$S13,1)</f>
        <v>2</v>
      </c>
      <c r="C13" s="4">
        <f>_xlfn.RANK.AVG(serv_pmi!C13,serv_pmi!$B13:$S13,1)</f>
        <v>11</v>
      </c>
      <c r="D13" s="4">
        <f>_xlfn.RANK.AVG(serv_pmi!D13,serv_pmi!$B13:$S13,1)</f>
        <v>1</v>
      </c>
      <c r="E13" s="4">
        <f>_xlfn.RANK.AVG(serv_pmi!E13,serv_pmi!$B13:$S13,1)</f>
        <v>6</v>
      </c>
      <c r="F13" s="4">
        <f>_xlfn.RANK.AVG(serv_pmi!F13,serv_pmi!$B13:$S13,1)</f>
        <v>5</v>
      </c>
      <c r="G13" s="4">
        <f>_xlfn.RANK.AVG(serv_pmi!G13,serv_pmi!$B13:$S13,1)</f>
        <v>13</v>
      </c>
      <c r="H13" s="4">
        <f>_xlfn.RANK.AVG(serv_pmi!H13,serv_pmi!$B13:$S13,1)</f>
        <v>15</v>
      </c>
      <c r="I13" s="4">
        <f>_xlfn.RANK.AVG(serv_pmi!I13,serv_pmi!$B13:$S13,1)</f>
        <v>10</v>
      </c>
      <c r="J13" s="4">
        <f>_xlfn.RANK.AVG(serv_pmi!J13,serv_pmi!$B13:$S13,1)</f>
        <v>18</v>
      </c>
      <c r="K13" s="4">
        <f>_xlfn.RANK.AVG(serv_pmi!K13,serv_pmi!$B13:$S13,1)</f>
        <v>8</v>
      </c>
      <c r="L13" s="4">
        <f>_xlfn.RANK.AVG(serv_pmi!L13,serv_pmi!$B13:$S13,1)</f>
        <v>3</v>
      </c>
      <c r="M13" s="4">
        <f>_xlfn.RANK.AVG(serv_pmi!M13,serv_pmi!$B13:$S13,1)</f>
        <v>9</v>
      </c>
      <c r="N13" s="4">
        <f>_xlfn.RANK.AVG(serv_pmi!N13,serv_pmi!$B13:$S13,1)</f>
        <v>7</v>
      </c>
      <c r="O13" s="4">
        <f>_xlfn.RANK.AVG(serv_pmi!O13,serv_pmi!$B13:$S13,1)</f>
        <v>4</v>
      </c>
      <c r="P13" s="4">
        <f>_xlfn.RANK.AVG(serv_pmi!P13,serv_pmi!$B13:$S13,1)</f>
        <v>16</v>
      </c>
      <c r="Q13" s="4">
        <f>_xlfn.RANK.AVG(serv_pmi!Q13,serv_pmi!$B13:$S13,1)</f>
        <v>14</v>
      </c>
      <c r="R13" s="4">
        <f>_xlfn.RANK.AVG(serv_pmi!R13,serv_pmi!$B13:$S13,1)</f>
        <v>12</v>
      </c>
      <c r="S13" s="4">
        <f>_xlfn.RANK.AVG(serv_pmi!S13,serv_pmi!$B13:$S13,1)</f>
        <v>17</v>
      </c>
      <c r="T13" s="6"/>
    </row>
    <row r="14" spans="1:20" ht="18" customHeight="1" x14ac:dyDescent="0.25">
      <c r="A14" s="5">
        <v>44197</v>
      </c>
      <c r="B14" s="4">
        <f>_xlfn.RANK.AVG(serv_pmi!B14,serv_pmi!$B14:$S14,1)</f>
        <v>10</v>
      </c>
      <c r="C14" s="4">
        <f>_xlfn.RANK.AVG(serv_pmi!C14,serv_pmi!$B14:$S14,1)</f>
        <v>11</v>
      </c>
      <c r="D14" s="4">
        <f>_xlfn.RANK.AVG(serv_pmi!D14,serv_pmi!$B14:$S14,1)</f>
        <v>1</v>
      </c>
      <c r="E14" s="4">
        <f>_xlfn.RANK.AVG(serv_pmi!E14,serv_pmi!$B14:$S14,1)</f>
        <v>17</v>
      </c>
      <c r="F14" s="4">
        <f>_xlfn.RANK.AVG(serv_pmi!F14,serv_pmi!$B14:$S14,1)</f>
        <v>2</v>
      </c>
      <c r="G14" s="4">
        <f>_xlfn.RANK.AVG(serv_pmi!G14,serv_pmi!$B14:$S14,1)</f>
        <v>15</v>
      </c>
      <c r="H14" s="4">
        <f>_xlfn.RANK.AVG(serv_pmi!H14,serv_pmi!$B14:$S14,1)</f>
        <v>13</v>
      </c>
      <c r="I14" s="4">
        <f>_xlfn.RANK.AVG(serv_pmi!I14,serv_pmi!$B14:$S14,1)</f>
        <v>5</v>
      </c>
      <c r="J14" s="4">
        <f>_xlfn.RANK.AVG(serv_pmi!J14,serv_pmi!$B14:$S14,1)</f>
        <v>12</v>
      </c>
      <c r="K14" s="4">
        <f>_xlfn.RANK.AVG(serv_pmi!K14,serv_pmi!$B14:$S14,1)</f>
        <v>8</v>
      </c>
      <c r="L14" s="4">
        <f>_xlfn.RANK.AVG(serv_pmi!L14,serv_pmi!$B14:$S14,1)</f>
        <v>9</v>
      </c>
      <c r="M14" s="4">
        <f>_xlfn.RANK.AVG(serv_pmi!M14,serv_pmi!$B14:$S14,1)</f>
        <v>7</v>
      </c>
      <c r="N14" s="4">
        <f>_xlfn.RANK.AVG(serv_pmi!N14,serv_pmi!$B14:$S14,1)</f>
        <v>6</v>
      </c>
      <c r="O14" s="4">
        <f>_xlfn.RANK.AVG(serv_pmi!O14,serv_pmi!$B14:$S14,1)</f>
        <v>18</v>
      </c>
      <c r="P14" s="4">
        <f>_xlfn.RANK.AVG(serv_pmi!P14,serv_pmi!$B14:$S14,1)</f>
        <v>3</v>
      </c>
      <c r="Q14" s="4">
        <f>_xlfn.RANK.AVG(serv_pmi!Q14,serv_pmi!$B14:$S14,1)</f>
        <v>14</v>
      </c>
      <c r="R14" s="4">
        <f>_xlfn.RANK.AVG(serv_pmi!R14,serv_pmi!$B14:$S14,1)</f>
        <v>4</v>
      </c>
      <c r="S14" s="4">
        <f>_xlfn.RANK.AVG(serv_pmi!S14,serv_pmi!$B14:$S14,1)</f>
        <v>16</v>
      </c>
      <c r="T14" s="6"/>
    </row>
    <row r="15" spans="1:20" ht="18" customHeight="1" x14ac:dyDescent="0.25">
      <c r="A15" s="5">
        <v>44228</v>
      </c>
      <c r="B15" s="4">
        <f>_xlfn.RANK.AVG(serv_pmi!B15,serv_pmi!$B15:$S15,1)</f>
        <v>18</v>
      </c>
      <c r="C15" s="4">
        <f>_xlfn.RANK.AVG(serv_pmi!C15,serv_pmi!$B15:$S15,1)</f>
        <v>5</v>
      </c>
      <c r="D15" s="4">
        <f>_xlfn.RANK.AVG(serv_pmi!D15,serv_pmi!$B15:$S15,1)</f>
        <v>14</v>
      </c>
      <c r="E15" s="4">
        <f>_xlfn.RANK.AVG(serv_pmi!E15,serv_pmi!$B15:$S15,1)</f>
        <v>15</v>
      </c>
      <c r="F15" s="4">
        <f>_xlfn.RANK.AVG(serv_pmi!F15,serv_pmi!$B15:$S15,1)</f>
        <v>4</v>
      </c>
      <c r="G15" s="4">
        <f>_xlfn.RANK.AVG(serv_pmi!G15,serv_pmi!$B15:$S15,1)</f>
        <v>8</v>
      </c>
      <c r="H15" s="4">
        <f>_xlfn.RANK.AVG(serv_pmi!H15,serv_pmi!$B15:$S15,1)</f>
        <v>11</v>
      </c>
      <c r="I15" s="4">
        <f>_xlfn.RANK.AVG(serv_pmi!I15,serv_pmi!$B15:$S15,1)</f>
        <v>6</v>
      </c>
      <c r="J15" s="4">
        <f>_xlfn.RANK.AVG(serv_pmi!J15,serv_pmi!$B15:$S15,1)</f>
        <v>7</v>
      </c>
      <c r="K15" s="4">
        <f>_xlfn.RANK.AVG(serv_pmi!K15,serv_pmi!$B15:$S15,1)</f>
        <v>2</v>
      </c>
      <c r="L15" s="4">
        <f>_xlfn.RANK.AVG(serv_pmi!L15,serv_pmi!$B15:$S15,1)</f>
        <v>3</v>
      </c>
      <c r="M15" s="4">
        <f>_xlfn.RANK.AVG(serv_pmi!M15,serv_pmi!$B15:$S15,1)</f>
        <v>9</v>
      </c>
      <c r="N15" s="4">
        <f>_xlfn.RANK.AVG(serv_pmi!N15,serv_pmi!$B15:$S15,1)</f>
        <v>13</v>
      </c>
      <c r="O15" s="4">
        <f>_xlfn.RANK.AVG(serv_pmi!O15,serv_pmi!$B15:$S15,1)</f>
        <v>1</v>
      </c>
      <c r="P15" s="4">
        <f>_xlfn.RANK.AVG(serv_pmi!P15,serv_pmi!$B15:$S15,1)</f>
        <v>10</v>
      </c>
      <c r="Q15" s="4">
        <f>_xlfn.RANK.AVG(serv_pmi!Q15,serv_pmi!$B15:$S15,1)</f>
        <v>16</v>
      </c>
      <c r="R15" s="4">
        <f>_xlfn.RANK.AVG(serv_pmi!R15,serv_pmi!$B15:$S15,1)</f>
        <v>12</v>
      </c>
      <c r="S15" s="4">
        <f>_xlfn.RANK.AVG(serv_pmi!S15,serv_pmi!$B15:$S15,1)</f>
        <v>17</v>
      </c>
      <c r="T15" s="6"/>
    </row>
    <row r="16" spans="1:20" ht="18" customHeight="1" x14ac:dyDescent="0.25">
      <c r="A16" s="5">
        <v>44256</v>
      </c>
      <c r="B16" s="4">
        <f>_xlfn.RANK.AVG(serv_pmi!B16,serv_pmi!$B16:$S16,1)</f>
        <v>12</v>
      </c>
      <c r="C16" s="4">
        <f>_xlfn.RANK.AVG(serv_pmi!C16,serv_pmi!$B16:$S16,1)</f>
        <v>13</v>
      </c>
      <c r="D16" s="4">
        <f>_xlfn.RANK.AVG(serv_pmi!D16,serv_pmi!$B16:$S16,1)</f>
        <v>18</v>
      </c>
      <c r="E16" s="4">
        <f>_xlfn.RANK.AVG(serv_pmi!E16,serv_pmi!$B16:$S16,1)</f>
        <v>14</v>
      </c>
      <c r="F16" s="4">
        <f>_xlfn.RANK.AVG(serv_pmi!F16,serv_pmi!$B16:$S16,1)</f>
        <v>2</v>
      </c>
      <c r="G16" s="4">
        <f>_xlfn.RANK.AVG(serv_pmi!G16,serv_pmi!$B16:$S16,1)</f>
        <v>8</v>
      </c>
      <c r="H16" s="4">
        <f>_xlfn.RANK.AVG(serv_pmi!H16,serv_pmi!$B16:$S16,1)</f>
        <v>6</v>
      </c>
      <c r="I16" s="4">
        <f>_xlfn.RANK.AVG(serv_pmi!I16,serv_pmi!$B16:$S16,1)</f>
        <v>4</v>
      </c>
      <c r="J16" s="4">
        <f>_xlfn.RANK.AVG(serv_pmi!J16,serv_pmi!$B16:$S16,1)</f>
        <v>15</v>
      </c>
      <c r="K16" s="4">
        <f>_xlfn.RANK.AVG(serv_pmi!K16,serv_pmi!$B16:$S16,1)</f>
        <v>16</v>
      </c>
      <c r="L16" s="4">
        <f>_xlfn.RANK.AVG(serv_pmi!L16,serv_pmi!$B16:$S16,1)</f>
        <v>1</v>
      </c>
      <c r="M16" s="4">
        <f>_xlfn.RANK.AVG(serv_pmi!M16,serv_pmi!$B16:$S16,1)</f>
        <v>5</v>
      </c>
      <c r="N16" s="4">
        <f>_xlfn.RANK.AVG(serv_pmi!N16,serv_pmi!$B16:$S16,1)</f>
        <v>9</v>
      </c>
      <c r="O16" s="4">
        <f>_xlfn.RANK.AVG(serv_pmi!O16,serv_pmi!$B16:$S16,1)</f>
        <v>11</v>
      </c>
      <c r="P16" s="4">
        <f>_xlfn.RANK.AVG(serv_pmi!P16,serv_pmi!$B16:$S16,1)</f>
        <v>3</v>
      </c>
      <c r="Q16" s="4">
        <f>_xlfn.RANK.AVG(serv_pmi!Q16,serv_pmi!$B16:$S16,1)</f>
        <v>10</v>
      </c>
      <c r="R16" s="4">
        <f>_xlfn.RANK.AVG(serv_pmi!R16,serv_pmi!$B16:$S16,1)</f>
        <v>7</v>
      </c>
      <c r="S16" s="4">
        <f>_xlfn.RANK.AVG(serv_pmi!S16,serv_pmi!$B16:$S16,1)</f>
        <v>17</v>
      </c>
      <c r="T16" s="6"/>
    </row>
    <row r="17" spans="1:20" ht="18" customHeight="1" x14ac:dyDescent="0.25">
      <c r="A17" s="5">
        <v>44287</v>
      </c>
      <c r="B17" s="4">
        <f>_xlfn.RANK.AVG(serv_pmi!B17,serv_pmi!$B17:$S17,1)</f>
        <v>2</v>
      </c>
      <c r="C17" s="4">
        <f>_xlfn.RANK.AVG(serv_pmi!C17,serv_pmi!$B17:$S17,1)</f>
        <v>1</v>
      </c>
      <c r="D17" s="4">
        <f>_xlfn.RANK.AVG(serv_pmi!D17,serv_pmi!$B17:$S17,1)</f>
        <v>18</v>
      </c>
      <c r="E17" s="4">
        <f>_xlfn.RANK.AVG(serv_pmi!E17,serv_pmi!$B17:$S17,1)</f>
        <v>15</v>
      </c>
      <c r="F17" s="4">
        <f>_xlfn.RANK.AVG(serv_pmi!F17,serv_pmi!$B17:$S17,1)</f>
        <v>4</v>
      </c>
      <c r="G17" s="4">
        <f>_xlfn.RANK.AVG(serv_pmi!G17,serv_pmi!$B17:$S17,1)</f>
        <v>8</v>
      </c>
      <c r="H17" s="4">
        <f>_xlfn.RANK.AVG(serv_pmi!H17,serv_pmi!$B17:$S17,1)</f>
        <v>6</v>
      </c>
      <c r="I17" s="4">
        <f>_xlfn.RANK.AVG(serv_pmi!I17,serv_pmi!$B17:$S17,1)</f>
        <v>3</v>
      </c>
      <c r="J17" s="4">
        <f>_xlfn.RANK.AVG(serv_pmi!J17,serv_pmi!$B17:$S17,1)</f>
        <v>16</v>
      </c>
      <c r="K17" s="4">
        <f>_xlfn.RANK.AVG(serv_pmi!K17,serv_pmi!$B17:$S17,1)</f>
        <v>7</v>
      </c>
      <c r="L17" s="4">
        <f>_xlfn.RANK.AVG(serv_pmi!L17,serv_pmi!$B17:$S17,1)</f>
        <v>9</v>
      </c>
      <c r="M17" s="4">
        <f>_xlfn.RANK.AVG(serv_pmi!M17,serv_pmi!$B17:$S17,1)</f>
        <v>5</v>
      </c>
      <c r="N17" s="4">
        <f>_xlfn.RANK.AVG(serv_pmi!N17,serv_pmi!$B17:$S17,1)</f>
        <v>12</v>
      </c>
      <c r="O17" s="4">
        <f>_xlfn.RANK.AVG(serv_pmi!O17,serv_pmi!$B17:$S17,1)</f>
        <v>14</v>
      </c>
      <c r="P17" s="4">
        <f>_xlfn.RANK.AVG(serv_pmi!P17,serv_pmi!$B17:$S17,1)</f>
        <v>10</v>
      </c>
      <c r="Q17" s="4">
        <f>_xlfn.RANK.AVG(serv_pmi!Q17,serv_pmi!$B17:$S17,1)</f>
        <v>11</v>
      </c>
      <c r="R17" s="4">
        <f>_xlfn.RANK.AVG(serv_pmi!R17,serv_pmi!$B17:$S17,1)</f>
        <v>13</v>
      </c>
      <c r="S17" s="4">
        <f>_xlfn.RANK.AVG(serv_pmi!S17,serv_pmi!$B17:$S17,1)</f>
        <v>17</v>
      </c>
      <c r="T17" s="6"/>
    </row>
    <row r="18" spans="1:20" ht="18" customHeight="1" x14ac:dyDescent="0.25">
      <c r="A18" s="5">
        <v>44317</v>
      </c>
      <c r="B18" s="4">
        <f>_xlfn.RANK.AVG(serv_pmi!B18,serv_pmi!$B18:$S18,1)</f>
        <v>6</v>
      </c>
      <c r="C18" s="4">
        <f>_xlfn.RANK.AVG(serv_pmi!C18,serv_pmi!$B18:$S18,1)</f>
        <v>4</v>
      </c>
      <c r="D18" s="4">
        <f>_xlfn.RANK.AVG(serv_pmi!D18,serv_pmi!$B18:$S18,1)</f>
        <v>15</v>
      </c>
      <c r="E18" s="4">
        <f>_xlfn.RANK.AVG(serv_pmi!E18,serv_pmi!$B18:$S18,1)</f>
        <v>16</v>
      </c>
      <c r="F18" s="4">
        <f>_xlfn.RANK.AVG(serv_pmi!F18,serv_pmi!$B18:$S18,1)</f>
        <v>1</v>
      </c>
      <c r="G18" s="4">
        <f>_xlfn.RANK.AVG(serv_pmi!G18,serv_pmi!$B18:$S18,1)</f>
        <v>11</v>
      </c>
      <c r="H18" s="4">
        <f>_xlfn.RANK.AVG(serv_pmi!H18,serv_pmi!$B18:$S18,1)</f>
        <v>5</v>
      </c>
      <c r="I18" s="4">
        <f>_xlfn.RANK.AVG(serv_pmi!I18,serv_pmi!$B18:$S18,1)</f>
        <v>7</v>
      </c>
      <c r="J18" s="4">
        <f>_xlfn.RANK.AVG(serv_pmi!J18,serv_pmi!$B18:$S18,1)</f>
        <v>10</v>
      </c>
      <c r="K18" s="4">
        <f>_xlfn.RANK.AVG(serv_pmi!K18,serv_pmi!$B18:$S18,1)</f>
        <v>12</v>
      </c>
      <c r="L18" s="4">
        <f>_xlfn.RANK.AVG(serv_pmi!L18,serv_pmi!$B18:$S18,1)</f>
        <v>8</v>
      </c>
      <c r="M18" s="4">
        <f>_xlfn.RANK.AVG(serv_pmi!M18,serv_pmi!$B18:$S18,1)</f>
        <v>2</v>
      </c>
      <c r="N18" s="4">
        <f>_xlfn.RANK.AVG(serv_pmi!N18,serv_pmi!$B18:$S18,1)</f>
        <v>3</v>
      </c>
      <c r="O18" s="4">
        <f>_xlfn.RANK.AVG(serv_pmi!O18,serv_pmi!$B18:$S18,1)</f>
        <v>13</v>
      </c>
      <c r="P18" s="4">
        <f>_xlfn.RANK.AVG(serv_pmi!P18,serv_pmi!$B18:$S18,1)</f>
        <v>18</v>
      </c>
      <c r="Q18" s="4">
        <f>_xlfn.RANK.AVG(serv_pmi!Q18,serv_pmi!$B18:$S18,1)</f>
        <v>14</v>
      </c>
      <c r="R18" s="4">
        <f>_xlfn.RANK.AVG(serv_pmi!R18,serv_pmi!$B18:$S18,1)</f>
        <v>9</v>
      </c>
      <c r="S18" s="4">
        <f>_xlfn.RANK.AVG(serv_pmi!S18,serv_pmi!$B18:$S18,1)</f>
        <v>17</v>
      </c>
      <c r="T18" s="6"/>
    </row>
    <row r="19" spans="1:20" ht="18" customHeight="1" x14ac:dyDescent="0.25">
      <c r="A19" s="5">
        <v>44348</v>
      </c>
      <c r="B19" s="4">
        <f>_xlfn.RANK.AVG(serv_pmi!B19,serv_pmi!$B19:$S19,1)</f>
        <v>12</v>
      </c>
      <c r="C19" s="4">
        <f>_xlfn.RANK.AVG(serv_pmi!C19,serv_pmi!$B19:$S19,1)</f>
        <v>2</v>
      </c>
      <c r="D19" s="4">
        <f>_xlfn.RANK.AVG(serv_pmi!D19,serv_pmi!$B19:$S19,1)</f>
        <v>18</v>
      </c>
      <c r="E19" s="4">
        <f>_xlfn.RANK.AVG(serv_pmi!E19,serv_pmi!$B19:$S19,1)</f>
        <v>9</v>
      </c>
      <c r="F19" s="4">
        <f>_xlfn.RANK.AVG(serv_pmi!F19,serv_pmi!$B19:$S19,1)</f>
        <v>4</v>
      </c>
      <c r="G19" s="4">
        <f>_xlfn.RANK.AVG(serv_pmi!G19,serv_pmi!$B19:$S19,1)</f>
        <v>5</v>
      </c>
      <c r="H19" s="4">
        <f>_xlfn.RANK.AVG(serv_pmi!H19,serv_pmi!$B19:$S19,1)</f>
        <v>8</v>
      </c>
      <c r="I19" s="4">
        <f>_xlfn.RANK.AVG(serv_pmi!I19,serv_pmi!$B19:$S19,1)</f>
        <v>6</v>
      </c>
      <c r="J19" s="4">
        <f>_xlfn.RANK.AVG(serv_pmi!J19,serv_pmi!$B19:$S19,1)</f>
        <v>13</v>
      </c>
      <c r="K19" s="4">
        <f>_xlfn.RANK.AVG(serv_pmi!K19,serv_pmi!$B19:$S19,1)</f>
        <v>10</v>
      </c>
      <c r="L19" s="4">
        <f>_xlfn.RANK.AVG(serv_pmi!L19,serv_pmi!$B19:$S19,1)</f>
        <v>17</v>
      </c>
      <c r="M19" s="4">
        <f>_xlfn.RANK.AVG(serv_pmi!M19,serv_pmi!$B19:$S19,1)</f>
        <v>3</v>
      </c>
      <c r="N19" s="4">
        <f>_xlfn.RANK.AVG(serv_pmi!N19,serv_pmi!$B19:$S19,1)</f>
        <v>7</v>
      </c>
      <c r="O19" s="4">
        <f>_xlfn.RANK.AVG(serv_pmi!O19,serv_pmi!$B19:$S19,1)</f>
        <v>1</v>
      </c>
      <c r="P19" s="4">
        <f>_xlfn.RANK.AVG(serv_pmi!P19,serv_pmi!$B19:$S19,1)</f>
        <v>14</v>
      </c>
      <c r="Q19" s="4">
        <f>_xlfn.RANK.AVG(serv_pmi!Q19,serv_pmi!$B19:$S19,1)</f>
        <v>16</v>
      </c>
      <c r="R19" s="4">
        <f>_xlfn.RANK.AVG(serv_pmi!R19,serv_pmi!$B19:$S19,1)</f>
        <v>11</v>
      </c>
      <c r="S19" s="4">
        <f>_xlfn.RANK.AVG(serv_pmi!S19,serv_pmi!$B19:$S19,1)</f>
        <v>15</v>
      </c>
      <c r="T19" s="6"/>
    </row>
    <row r="20" spans="1:20" ht="18" customHeight="1" x14ac:dyDescent="0.25">
      <c r="A20" s="5">
        <v>44378</v>
      </c>
      <c r="B20" s="4">
        <f>_xlfn.RANK.AVG(serv_pmi!B20,serv_pmi!$B20:$S20,1)</f>
        <v>16</v>
      </c>
      <c r="C20" s="4">
        <f>_xlfn.RANK.AVG(serv_pmi!C20,serv_pmi!$B20:$S20,1)</f>
        <v>1</v>
      </c>
      <c r="D20" s="4">
        <f>_xlfn.RANK.AVG(serv_pmi!D20,serv_pmi!$B20:$S20,1)</f>
        <v>18</v>
      </c>
      <c r="E20" s="4">
        <f>_xlfn.RANK.AVG(serv_pmi!E20,serv_pmi!$B20:$S20,1)</f>
        <v>8</v>
      </c>
      <c r="F20" s="4">
        <f>_xlfn.RANK.AVG(serv_pmi!F20,serv_pmi!$B20:$S20,1)</f>
        <v>4</v>
      </c>
      <c r="G20" s="4">
        <f>_xlfn.RANK.AVG(serv_pmi!G20,serv_pmi!$B20:$S20,1)</f>
        <v>3</v>
      </c>
      <c r="H20" s="4">
        <f>_xlfn.RANK.AVG(serv_pmi!H20,serv_pmi!$B20:$S20,1)</f>
        <v>7</v>
      </c>
      <c r="I20" s="4">
        <f>_xlfn.RANK.AVG(serv_pmi!I20,serv_pmi!$B20:$S20,1)</f>
        <v>11</v>
      </c>
      <c r="J20" s="4">
        <f>_xlfn.RANK.AVG(serv_pmi!J20,serv_pmi!$B20:$S20,1)</f>
        <v>15</v>
      </c>
      <c r="K20" s="4">
        <f>_xlfn.RANK.AVG(serv_pmi!K20,serv_pmi!$B20:$S20,1)</f>
        <v>2</v>
      </c>
      <c r="L20" s="4">
        <f>_xlfn.RANK.AVG(serv_pmi!L20,serv_pmi!$B20:$S20,1)</f>
        <v>10</v>
      </c>
      <c r="M20" s="4">
        <f>_xlfn.RANK.AVG(serv_pmi!M20,serv_pmi!$B20:$S20,1)</f>
        <v>5</v>
      </c>
      <c r="N20" s="4">
        <f>_xlfn.RANK.AVG(serv_pmi!N20,serv_pmi!$B20:$S20,1)</f>
        <v>9</v>
      </c>
      <c r="O20" s="4">
        <f>_xlfn.RANK.AVG(serv_pmi!O20,serv_pmi!$B20:$S20,1)</f>
        <v>13</v>
      </c>
      <c r="P20" s="4">
        <f>_xlfn.RANK.AVG(serv_pmi!P20,serv_pmi!$B20:$S20,1)</f>
        <v>14</v>
      </c>
      <c r="Q20" s="4">
        <f>_xlfn.RANK.AVG(serv_pmi!Q20,serv_pmi!$B20:$S20,1)</f>
        <v>12</v>
      </c>
      <c r="R20" s="4">
        <f>_xlfn.RANK.AVG(serv_pmi!R20,serv_pmi!$B20:$S20,1)</f>
        <v>6</v>
      </c>
      <c r="S20" s="4">
        <f>_xlfn.RANK.AVG(serv_pmi!S20,serv_pmi!$B20:$S20,1)</f>
        <v>17</v>
      </c>
      <c r="T20" s="6"/>
    </row>
    <row r="21" spans="1:20" ht="18" customHeight="1" x14ac:dyDescent="0.25">
      <c r="A21" s="5">
        <v>44409</v>
      </c>
      <c r="B21" s="4">
        <f>_xlfn.RANK.AVG(serv_pmi!B21,serv_pmi!$B21:$S21,1)</f>
        <v>18</v>
      </c>
      <c r="C21" s="4">
        <f>_xlfn.RANK.AVG(serv_pmi!C21,serv_pmi!$B21:$S21,1)</f>
        <v>5</v>
      </c>
      <c r="D21" s="4">
        <f>_xlfn.RANK.AVG(serv_pmi!D21,serv_pmi!$B21:$S21,1)</f>
        <v>1</v>
      </c>
      <c r="E21" s="4">
        <f>_xlfn.RANK.AVG(serv_pmi!E21,serv_pmi!$B21:$S21,1)</f>
        <v>16</v>
      </c>
      <c r="F21" s="4">
        <f>_xlfn.RANK.AVG(serv_pmi!F21,serv_pmi!$B21:$S21,1)</f>
        <v>15</v>
      </c>
      <c r="G21" s="4">
        <f>_xlfn.RANK.AVG(serv_pmi!G21,serv_pmi!$B21:$S21,1)</f>
        <v>4</v>
      </c>
      <c r="H21" s="4">
        <f>_xlfn.RANK.AVG(serv_pmi!H21,serv_pmi!$B21:$S21,1)</f>
        <v>8</v>
      </c>
      <c r="I21" s="4">
        <f>_xlfn.RANK.AVG(serv_pmi!I21,serv_pmi!$B21:$S21,1)</f>
        <v>14</v>
      </c>
      <c r="J21" s="4">
        <f>_xlfn.RANK.AVG(serv_pmi!J21,serv_pmi!$B21:$S21,1)</f>
        <v>6</v>
      </c>
      <c r="K21" s="4">
        <f>_xlfn.RANK.AVG(serv_pmi!K21,serv_pmi!$B21:$S21,1)</f>
        <v>13</v>
      </c>
      <c r="L21" s="4">
        <f>_xlfn.RANK.AVG(serv_pmi!L21,serv_pmi!$B21:$S21,1)</f>
        <v>12</v>
      </c>
      <c r="M21" s="4">
        <f>_xlfn.RANK.AVG(serv_pmi!M21,serv_pmi!$B21:$S21,1)</f>
        <v>2</v>
      </c>
      <c r="N21" s="4">
        <f>_xlfn.RANK.AVG(serv_pmi!N21,serv_pmi!$B21:$S21,1)</f>
        <v>10</v>
      </c>
      <c r="O21" s="4">
        <f>_xlfn.RANK.AVG(serv_pmi!O21,serv_pmi!$B21:$S21,1)</f>
        <v>3</v>
      </c>
      <c r="P21" s="4">
        <f>_xlfn.RANK.AVG(serv_pmi!P21,serv_pmi!$B21:$S21,1)</f>
        <v>17</v>
      </c>
      <c r="Q21" s="4">
        <f>_xlfn.RANK.AVG(serv_pmi!Q21,serv_pmi!$B21:$S21,1)</f>
        <v>9</v>
      </c>
      <c r="R21" s="4">
        <f>_xlfn.RANK.AVG(serv_pmi!R21,serv_pmi!$B21:$S21,1)</f>
        <v>11</v>
      </c>
      <c r="S21" s="4">
        <f>_xlfn.RANK.AVG(serv_pmi!S21,serv_pmi!$B21:$S21,1)</f>
        <v>7</v>
      </c>
      <c r="T21" s="6"/>
    </row>
    <row r="22" spans="1:20" ht="18" customHeight="1" x14ac:dyDescent="0.25">
      <c r="A22" s="5">
        <v>44440</v>
      </c>
      <c r="B22" s="4">
        <f>_xlfn.RANK.AVG(serv_pmi!B22,serv_pmi!$B22:$S22,1)</f>
        <v>12</v>
      </c>
      <c r="C22" s="4">
        <f>_xlfn.RANK.AVG(serv_pmi!C22,serv_pmi!$B22:$S22,1)</f>
        <v>1</v>
      </c>
      <c r="D22" s="4">
        <f>_xlfn.RANK.AVG(serv_pmi!D22,serv_pmi!$B22:$S22,1)</f>
        <v>17</v>
      </c>
      <c r="E22" s="4">
        <f>_xlfn.RANK.AVG(serv_pmi!E22,serv_pmi!$B22:$S22,1)</f>
        <v>11</v>
      </c>
      <c r="F22" s="4">
        <f>_xlfn.RANK.AVG(serv_pmi!F22,serv_pmi!$B22:$S22,1)</f>
        <v>15</v>
      </c>
      <c r="G22" s="4">
        <f>_xlfn.RANK.AVG(serv_pmi!G22,serv_pmi!$B22:$S22,1)</f>
        <v>2</v>
      </c>
      <c r="H22" s="4">
        <f>_xlfn.RANK.AVG(serv_pmi!H22,serv_pmi!$B22:$S22,1)</f>
        <v>6</v>
      </c>
      <c r="I22" s="4">
        <f>_xlfn.RANK.AVG(serv_pmi!I22,serv_pmi!$B22:$S22,1)</f>
        <v>7</v>
      </c>
      <c r="J22" s="4">
        <f>_xlfn.RANK.AVG(serv_pmi!J22,serv_pmi!$B22:$S22,1)</f>
        <v>16</v>
      </c>
      <c r="K22" s="4">
        <f>_xlfn.RANK.AVG(serv_pmi!K22,serv_pmi!$B22:$S22,1)</f>
        <v>10</v>
      </c>
      <c r="L22" s="4">
        <f>_xlfn.RANK.AVG(serv_pmi!L22,serv_pmi!$B22:$S22,1)</f>
        <v>8</v>
      </c>
      <c r="M22" s="4">
        <f>_xlfn.RANK.AVG(serv_pmi!M22,serv_pmi!$B22:$S22,1)</f>
        <v>9</v>
      </c>
      <c r="N22" s="4">
        <f>_xlfn.RANK.AVG(serv_pmi!N22,serv_pmi!$B22:$S22,1)</f>
        <v>4</v>
      </c>
      <c r="O22" s="4">
        <f>_xlfn.RANK.AVG(serv_pmi!O22,serv_pmi!$B22:$S22,1)</f>
        <v>13</v>
      </c>
      <c r="P22" s="4">
        <f>_xlfn.RANK.AVG(serv_pmi!P22,serv_pmi!$B22:$S22,1)</f>
        <v>18</v>
      </c>
      <c r="Q22" s="4">
        <f>_xlfn.RANK.AVG(serv_pmi!Q22,serv_pmi!$B22:$S22,1)</f>
        <v>14</v>
      </c>
      <c r="R22" s="4">
        <f>_xlfn.RANK.AVG(serv_pmi!R22,serv_pmi!$B22:$S22,1)</f>
        <v>5</v>
      </c>
      <c r="S22" s="4">
        <f>_xlfn.RANK.AVG(serv_pmi!S22,serv_pmi!$B22:$S22,1)</f>
        <v>3</v>
      </c>
      <c r="T22" s="6"/>
    </row>
    <row r="23" spans="1:20" ht="18" customHeight="1" x14ac:dyDescent="0.25">
      <c r="A23" s="5">
        <v>44470</v>
      </c>
      <c r="B23" s="4">
        <f>_xlfn.RANK.AVG(serv_pmi!B23,serv_pmi!$B23:$S23,1)</f>
        <v>8</v>
      </c>
      <c r="C23" s="4">
        <f>_xlfn.RANK.AVG(serv_pmi!C23,serv_pmi!$B23:$S23,1)</f>
        <v>6</v>
      </c>
      <c r="D23" s="4">
        <f>_xlfn.RANK.AVG(serv_pmi!D23,serv_pmi!$B23:$S23,1)</f>
        <v>15</v>
      </c>
      <c r="E23" s="4">
        <f>_xlfn.RANK.AVG(serv_pmi!E23,serv_pmi!$B23:$S23,1)</f>
        <v>12</v>
      </c>
      <c r="F23" s="4">
        <f>_xlfn.RANK.AVG(serv_pmi!F23,serv_pmi!$B23:$S23,1)</f>
        <v>10</v>
      </c>
      <c r="G23" s="4">
        <f>_xlfn.RANK.AVG(serv_pmi!G23,serv_pmi!$B23:$S23,1)</f>
        <v>4</v>
      </c>
      <c r="H23" s="4">
        <f>_xlfn.RANK.AVG(serv_pmi!H23,serv_pmi!$B23:$S23,1)</f>
        <v>7</v>
      </c>
      <c r="I23" s="4">
        <f>_xlfn.RANK.AVG(serv_pmi!I23,serv_pmi!$B23:$S23,1)</f>
        <v>11</v>
      </c>
      <c r="J23" s="4">
        <f>_xlfn.RANK.AVG(serv_pmi!J23,serv_pmi!$B23:$S23,1)</f>
        <v>5</v>
      </c>
      <c r="K23" s="4">
        <f>_xlfn.RANK.AVG(serv_pmi!K23,serv_pmi!$B23:$S23,1)</f>
        <v>1</v>
      </c>
      <c r="L23" s="4">
        <f>_xlfn.RANK.AVG(serv_pmi!L23,serv_pmi!$B23:$S23,1)</f>
        <v>14</v>
      </c>
      <c r="M23" s="4">
        <f>_xlfn.RANK.AVG(serv_pmi!M23,serv_pmi!$B23:$S23,1)</f>
        <v>3</v>
      </c>
      <c r="N23" s="4">
        <f>_xlfn.RANK.AVG(serv_pmi!N23,serv_pmi!$B23:$S23,1)</f>
        <v>2</v>
      </c>
      <c r="O23" s="4">
        <f>_xlfn.RANK.AVG(serv_pmi!O23,serv_pmi!$B23:$S23,1)</f>
        <v>16</v>
      </c>
      <c r="P23" s="4">
        <f>_xlfn.RANK.AVG(serv_pmi!P23,serv_pmi!$B23:$S23,1)</f>
        <v>18</v>
      </c>
      <c r="Q23" s="4">
        <f>_xlfn.RANK.AVG(serv_pmi!Q23,serv_pmi!$B23:$S23,1)</f>
        <v>17</v>
      </c>
      <c r="R23" s="4">
        <f>_xlfn.RANK.AVG(serv_pmi!R23,serv_pmi!$B23:$S23,1)</f>
        <v>13</v>
      </c>
      <c r="S23" s="4">
        <f>_xlfn.RANK.AVG(serv_pmi!S23,serv_pmi!$B23:$S23,1)</f>
        <v>9</v>
      </c>
      <c r="T23" s="6"/>
    </row>
    <row r="24" spans="1:20" ht="18" customHeight="1" x14ac:dyDescent="0.25">
      <c r="A24" s="5">
        <v>44501</v>
      </c>
      <c r="B24" s="4">
        <f>_xlfn.RANK.AVG(serv_pmi!B24,serv_pmi!$B24:$S24,1)</f>
        <v>1</v>
      </c>
      <c r="C24" s="4">
        <f>_xlfn.RANK.AVG(serv_pmi!C24,serv_pmi!$B24:$S24,1)</f>
        <v>15</v>
      </c>
      <c r="D24" s="4">
        <f>_xlfn.RANK.AVG(serv_pmi!D24,serv_pmi!$B24:$S24,1)</f>
        <v>7</v>
      </c>
      <c r="E24" s="4">
        <f>_xlfn.RANK.AVG(serv_pmi!E24,serv_pmi!$B24:$S24,1)</f>
        <v>9</v>
      </c>
      <c r="F24" s="4">
        <f>_xlfn.RANK.AVG(serv_pmi!F24,serv_pmi!$B24:$S24,1)</f>
        <v>2</v>
      </c>
      <c r="G24" s="4">
        <f>_xlfn.RANK.AVG(serv_pmi!G24,serv_pmi!$B24:$S24,1)</f>
        <v>4</v>
      </c>
      <c r="H24" s="4">
        <f>_xlfn.RANK.AVG(serv_pmi!H24,serv_pmi!$B24:$S24,1)</f>
        <v>8</v>
      </c>
      <c r="I24" s="4">
        <f>_xlfn.RANK.AVG(serv_pmi!I24,serv_pmi!$B24:$S24,1)</f>
        <v>3</v>
      </c>
      <c r="J24" s="4">
        <f>_xlfn.RANK.AVG(serv_pmi!J24,serv_pmi!$B24:$S24,1)</f>
        <v>14</v>
      </c>
      <c r="K24" s="4">
        <f>_xlfn.RANK.AVG(serv_pmi!K24,serv_pmi!$B24:$S24,1)</f>
        <v>11</v>
      </c>
      <c r="L24" s="4">
        <f>_xlfn.RANK.AVG(serv_pmi!L24,serv_pmi!$B24:$S24,1)</f>
        <v>6</v>
      </c>
      <c r="M24" s="4">
        <f>_xlfn.RANK.AVG(serv_pmi!M24,serv_pmi!$B24:$S24,1)</f>
        <v>5</v>
      </c>
      <c r="N24" s="4">
        <f>_xlfn.RANK.AVG(serv_pmi!N24,serv_pmi!$B24:$S24,1)</f>
        <v>10</v>
      </c>
      <c r="O24" s="4">
        <f>_xlfn.RANK.AVG(serv_pmi!O24,serv_pmi!$B24:$S24,1)</f>
        <v>18</v>
      </c>
      <c r="P24" s="4">
        <f>_xlfn.RANK.AVG(serv_pmi!P24,serv_pmi!$B24:$S24,1)</f>
        <v>16</v>
      </c>
      <c r="Q24" s="4">
        <f>_xlfn.RANK.AVG(serv_pmi!Q24,serv_pmi!$B24:$S24,1)</f>
        <v>17</v>
      </c>
      <c r="R24" s="4">
        <f>_xlfn.RANK.AVG(serv_pmi!R24,serv_pmi!$B24:$S24,1)</f>
        <v>13</v>
      </c>
      <c r="S24" s="4">
        <f>_xlfn.RANK.AVG(serv_pmi!S24,serv_pmi!$B24:$S24,1)</f>
        <v>12</v>
      </c>
      <c r="T24" s="6"/>
    </row>
    <row r="25" spans="1:20" ht="18" customHeight="1" x14ac:dyDescent="0.25">
      <c r="A25" s="5">
        <v>44531</v>
      </c>
      <c r="B25" s="4">
        <f>_xlfn.RANK.AVG(serv_pmi!B25,serv_pmi!$B25:$S25,1)</f>
        <v>18</v>
      </c>
      <c r="C25" s="4">
        <f>_xlfn.RANK.AVG(serv_pmi!C25,serv_pmi!$B25:$S25,1)</f>
        <v>2</v>
      </c>
      <c r="D25" s="4">
        <f>_xlfn.RANK.AVG(serv_pmi!D25,serv_pmi!$B25:$S25,1)</f>
        <v>10</v>
      </c>
      <c r="E25" s="4">
        <f>_xlfn.RANK.AVG(serv_pmi!E25,serv_pmi!$B25:$S25,1)</f>
        <v>16</v>
      </c>
      <c r="F25" s="4">
        <f>_xlfn.RANK.AVG(serv_pmi!F25,serv_pmi!$B25:$S25,1)</f>
        <v>3</v>
      </c>
      <c r="G25" s="4">
        <f>_xlfn.RANK.AVG(serv_pmi!G25,serv_pmi!$B25:$S25,1)</f>
        <v>6</v>
      </c>
      <c r="H25" s="4">
        <f>_xlfn.RANK.AVG(serv_pmi!H25,serv_pmi!$B25:$S25,1)</f>
        <v>11</v>
      </c>
      <c r="I25" s="4">
        <f>_xlfn.RANK.AVG(serv_pmi!I25,serv_pmi!$B25:$S25,1)</f>
        <v>5</v>
      </c>
      <c r="J25" s="4">
        <f>_xlfn.RANK.AVG(serv_pmi!J25,serv_pmi!$B25:$S25,1)</f>
        <v>14</v>
      </c>
      <c r="K25" s="4">
        <f>_xlfn.RANK.AVG(serv_pmi!K25,serv_pmi!$B25:$S25,1)</f>
        <v>1</v>
      </c>
      <c r="L25" s="4">
        <f>_xlfn.RANK.AVG(serv_pmi!L25,serv_pmi!$B25:$S25,1)</f>
        <v>12</v>
      </c>
      <c r="M25" s="4">
        <f>_xlfn.RANK.AVG(serv_pmi!M25,serv_pmi!$B25:$S25,1)</f>
        <v>8</v>
      </c>
      <c r="N25" s="4">
        <f>_xlfn.RANK.AVG(serv_pmi!N25,serv_pmi!$B25:$S25,1)</f>
        <v>7</v>
      </c>
      <c r="O25" s="4">
        <f>_xlfn.RANK.AVG(serv_pmi!O25,serv_pmi!$B25:$S25,1)</f>
        <v>4</v>
      </c>
      <c r="P25" s="4">
        <f>_xlfn.RANK.AVG(serv_pmi!P25,serv_pmi!$B25:$S25,1)</f>
        <v>13</v>
      </c>
      <c r="Q25" s="4">
        <f>_xlfn.RANK.AVG(serv_pmi!Q25,serv_pmi!$B25:$S25,1)</f>
        <v>15</v>
      </c>
      <c r="R25" s="4">
        <f>_xlfn.RANK.AVG(serv_pmi!R25,serv_pmi!$B25:$S25,1)</f>
        <v>9</v>
      </c>
      <c r="S25" s="4">
        <f>_xlfn.RANK.AVG(serv_pmi!S25,serv_pmi!$B25:$S25,1)</f>
        <v>17</v>
      </c>
      <c r="T25" s="6"/>
    </row>
    <row r="26" spans="1:20" ht="18" customHeight="1" x14ac:dyDescent="0.25">
      <c r="A26" s="5">
        <v>44562</v>
      </c>
      <c r="B26" s="4">
        <f>_xlfn.RANK.AVG(serv_pmi!B26,serv_pmi!$B26:$S26,1)</f>
        <v>4</v>
      </c>
      <c r="C26" s="4">
        <f>_xlfn.RANK.AVG(serv_pmi!C26,serv_pmi!$B26:$S26,1)</f>
        <v>1</v>
      </c>
      <c r="D26" s="4">
        <f>_xlfn.RANK.AVG(serv_pmi!D26,serv_pmi!$B26:$S26,1)</f>
        <v>2</v>
      </c>
      <c r="E26" s="4">
        <f>_xlfn.RANK.AVG(serv_pmi!E26,serv_pmi!$B26:$S26,1)</f>
        <v>18</v>
      </c>
      <c r="F26" s="4">
        <f>_xlfn.RANK.AVG(serv_pmi!F26,serv_pmi!$B26:$S26,1)</f>
        <v>10</v>
      </c>
      <c r="G26" s="4">
        <f>_xlfn.RANK.AVG(serv_pmi!G26,serv_pmi!$B26:$S26,1)</f>
        <v>9</v>
      </c>
      <c r="H26" s="4">
        <f>_xlfn.RANK.AVG(serv_pmi!H26,serv_pmi!$B26:$S26,1)</f>
        <v>16</v>
      </c>
      <c r="I26" s="4">
        <f>_xlfn.RANK.AVG(serv_pmi!I26,serv_pmi!$B26:$S26,1)</f>
        <v>3</v>
      </c>
      <c r="J26" s="4">
        <f>_xlfn.RANK.AVG(serv_pmi!J26,serv_pmi!$B26:$S26,1)</f>
        <v>7</v>
      </c>
      <c r="K26" s="4">
        <f>_xlfn.RANK.AVG(serv_pmi!K26,serv_pmi!$B26:$S26,1)</f>
        <v>8</v>
      </c>
      <c r="L26" s="4">
        <f>_xlfn.RANK.AVG(serv_pmi!L26,serv_pmi!$B26:$S26,1)</f>
        <v>11</v>
      </c>
      <c r="M26" s="4">
        <f>_xlfn.RANK.AVG(serv_pmi!M26,serv_pmi!$B26:$S26,1)</f>
        <v>12</v>
      </c>
      <c r="N26" s="4">
        <f>_xlfn.RANK.AVG(serv_pmi!N26,serv_pmi!$B26:$S26,1)</f>
        <v>15</v>
      </c>
      <c r="O26" s="4">
        <f>_xlfn.RANK.AVG(serv_pmi!O26,serv_pmi!$B26:$S26,1)</f>
        <v>14</v>
      </c>
      <c r="P26" s="4">
        <f>_xlfn.RANK.AVG(serv_pmi!P26,serv_pmi!$B26:$S26,1)</f>
        <v>17</v>
      </c>
      <c r="Q26" s="4">
        <f>_xlfn.RANK.AVG(serv_pmi!Q26,serv_pmi!$B26:$S26,1)</f>
        <v>6</v>
      </c>
      <c r="R26" s="4">
        <f>_xlfn.RANK.AVG(serv_pmi!R26,serv_pmi!$B26:$S26,1)</f>
        <v>13</v>
      </c>
      <c r="S26" s="4">
        <f>_xlfn.RANK.AVG(serv_pmi!S26,serv_pmi!$B26:$S26,1)</f>
        <v>5</v>
      </c>
      <c r="T26" s="6"/>
    </row>
    <row r="27" spans="1:20" ht="18" customHeight="1" x14ac:dyDescent="0.25">
      <c r="A27" s="5">
        <v>44593</v>
      </c>
      <c r="B27" s="4">
        <f>_xlfn.RANK.AVG(serv_pmi!B27,serv_pmi!$B27:$S27,1)</f>
        <v>4</v>
      </c>
      <c r="C27" s="4">
        <f>_xlfn.RANK.AVG(serv_pmi!C27,serv_pmi!$B27:$S27,1)</f>
        <v>3</v>
      </c>
      <c r="D27" s="4">
        <f>_xlfn.RANK.AVG(serv_pmi!D27,serv_pmi!$B27:$S27,1)</f>
        <v>2</v>
      </c>
      <c r="E27" s="4">
        <f>_xlfn.RANK.AVG(serv_pmi!E27,serv_pmi!$B27:$S27,1)</f>
        <v>18</v>
      </c>
      <c r="F27" s="4">
        <f>_xlfn.RANK.AVG(serv_pmi!F27,serv_pmi!$B27:$S27,1)</f>
        <v>16</v>
      </c>
      <c r="G27" s="4">
        <f>_xlfn.RANK.AVG(serv_pmi!G27,serv_pmi!$B27:$S27,1)</f>
        <v>10</v>
      </c>
      <c r="H27" s="4">
        <f>_xlfn.RANK.AVG(serv_pmi!H27,serv_pmi!$B27:$S27,1)</f>
        <v>11</v>
      </c>
      <c r="I27" s="4">
        <f>_xlfn.RANK.AVG(serv_pmi!I27,serv_pmi!$B27:$S27,1)</f>
        <v>6</v>
      </c>
      <c r="J27" s="4">
        <f>_xlfn.RANK.AVG(serv_pmi!J27,serv_pmi!$B27:$S27,1)</f>
        <v>15</v>
      </c>
      <c r="K27" s="4">
        <f>_xlfn.RANK.AVG(serv_pmi!K27,serv_pmi!$B27:$S27,1)</f>
        <v>13</v>
      </c>
      <c r="L27" s="4">
        <f>_xlfn.RANK.AVG(serv_pmi!L27,serv_pmi!$B27:$S27,1)</f>
        <v>5</v>
      </c>
      <c r="M27" s="4">
        <f>_xlfn.RANK.AVG(serv_pmi!M27,serv_pmi!$B27:$S27,1)</f>
        <v>9</v>
      </c>
      <c r="N27" s="4">
        <f>_xlfn.RANK.AVG(serv_pmi!N27,serv_pmi!$B27:$S27,1)</f>
        <v>8</v>
      </c>
      <c r="O27" s="4">
        <f>_xlfn.RANK.AVG(serv_pmi!O27,serv_pmi!$B27:$S27,1)</f>
        <v>1</v>
      </c>
      <c r="P27" s="4">
        <f>_xlfn.RANK.AVG(serv_pmi!P27,serv_pmi!$B27:$S27,1)</f>
        <v>7</v>
      </c>
      <c r="Q27" s="4">
        <f>_xlfn.RANK.AVG(serv_pmi!Q27,serv_pmi!$B27:$S27,1)</f>
        <v>17</v>
      </c>
      <c r="R27" s="4">
        <f>_xlfn.RANK.AVG(serv_pmi!R27,serv_pmi!$B27:$S27,1)</f>
        <v>12</v>
      </c>
      <c r="S27" s="4">
        <f>_xlfn.RANK.AVG(serv_pmi!S27,serv_pmi!$B27:$S27,1)</f>
        <v>14</v>
      </c>
      <c r="T27" s="6"/>
    </row>
    <row r="28" spans="1:20" ht="18" customHeight="1" x14ac:dyDescent="0.25">
      <c r="A28" s="5">
        <v>44621</v>
      </c>
      <c r="B28" s="4">
        <f>_xlfn.RANK.AVG(serv_pmi!B28,serv_pmi!$B28:$S28,1)</f>
        <v>13</v>
      </c>
      <c r="C28" s="4">
        <f>_xlfn.RANK.AVG(serv_pmi!C28,serv_pmi!$B28:$S28,1)</f>
        <v>1</v>
      </c>
      <c r="D28" s="4">
        <f>_xlfn.RANK.AVG(serv_pmi!D28,serv_pmi!$B28:$S28,1)</f>
        <v>17</v>
      </c>
      <c r="E28" s="4">
        <f>_xlfn.RANK.AVG(serv_pmi!E28,serv_pmi!$B28:$S28,1)</f>
        <v>15</v>
      </c>
      <c r="F28" s="4">
        <f>_xlfn.RANK.AVG(serv_pmi!F28,serv_pmi!$B28:$S28,1)</f>
        <v>18</v>
      </c>
      <c r="G28" s="4">
        <f>_xlfn.RANK.AVG(serv_pmi!G28,serv_pmi!$B28:$S28,1)</f>
        <v>5</v>
      </c>
      <c r="H28" s="4">
        <f>_xlfn.RANK.AVG(serv_pmi!H28,serv_pmi!$B28:$S28,1)</f>
        <v>2</v>
      </c>
      <c r="I28" s="4">
        <f>_xlfn.RANK.AVG(serv_pmi!I28,serv_pmi!$B28:$S28,1)</f>
        <v>10</v>
      </c>
      <c r="J28" s="4">
        <f>_xlfn.RANK.AVG(serv_pmi!J28,serv_pmi!$B28:$S28,1)</f>
        <v>6</v>
      </c>
      <c r="K28" s="4">
        <f>_xlfn.RANK.AVG(serv_pmi!K28,serv_pmi!$B28:$S28,1)</f>
        <v>3</v>
      </c>
      <c r="L28" s="4">
        <f>_xlfn.RANK.AVG(serv_pmi!L28,serv_pmi!$B28:$S28,1)</f>
        <v>12</v>
      </c>
      <c r="M28" s="4">
        <f>_xlfn.RANK.AVG(serv_pmi!M28,serv_pmi!$B28:$S28,1)</f>
        <v>4</v>
      </c>
      <c r="N28" s="4">
        <f>_xlfn.RANK.AVG(serv_pmi!N28,serv_pmi!$B28:$S28,1)</f>
        <v>8</v>
      </c>
      <c r="O28" s="4">
        <f>_xlfn.RANK.AVG(serv_pmi!O28,serv_pmi!$B28:$S28,1)</f>
        <v>11</v>
      </c>
      <c r="P28" s="4">
        <f>_xlfn.RANK.AVG(serv_pmi!P28,serv_pmi!$B28:$S28,1)</f>
        <v>7</v>
      </c>
      <c r="Q28" s="4">
        <f>_xlfn.RANK.AVG(serv_pmi!Q28,serv_pmi!$B28:$S28,1)</f>
        <v>9</v>
      </c>
      <c r="R28" s="4">
        <f>_xlfn.RANK.AVG(serv_pmi!R28,serv_pmi!$B28:$S28,1)</f>
        <v>16</v>
      </c>
      <c r="S28" s="4">
        <f>_xlfn.RANK.AVG(serv_pmi!S28,serv_pmi!$B28:$S28,1)</f>
        <v>14</v>
      </c>
      <c r="T28" s="6"/>
    </row>
    <row r="29" spans="1:20" ht="18" customHeight="1" x14ac:dyDescent="0.25">
      <c r="A29" s="5">
        <v>44652</v>
      </c>
      <c r="B29" s="4">
        <f>_xlfn.RANK.AVG(serv_pmi!B29,serv_pmi!$B29:$S29,1)</f>
        <v>14</v>
      </c>
      <c r="C29" s="4">
        <f>_xlfn.RANK.AVG(serv_pmi!C29,serv_pmi!$B29:$S29,1)</f>
        <v>2</v>
      </c>
      <c r="D29" s="4">
        <f>_xlfn.RANK.AVG(serv_pmi!D29,serv_pmi!$B29:$S29,1)</f>
        <v>3</v>
      </c>
      <c r="E29" s="4">
        <f>_xlfn.RANK.AVG(serv_pmi!E29,serv_pmi!$B29:$S29,1)</f>
        <v>18</v>
      </c>
      <c r="F29" s="4">
        <f>_xlfn.RANK.AVG(serv_pmi!F29,serv_pmi!$B29:$S29,1)</f>
        <v>11</v>
      </c>
      <c r="G29" s="4">
        <f>_xlfn.RANK.AVG(serv_pmi!G29,serv_pmi!$B29:$S29,1)</f>
        <v>7</v>
      </c>
      <c r="H29" s="4">
        <f>_xlfn.RANK.AVG(serv_pmi!H29,serv_pmi!$B29:$S29,1)</f>
        <v>5</v>
      </c>
      <c r="I29" s="4">
        <f>_xlfn.RANK.AVG(serv_pmi!I29,serv_pmi!$B29:$S29,1)</f>
        <v>1</v>
      </c>
      <c r="J29" s="4">
        <f>_xlfn.RANK.AVG(serv_pmi!J29,serv_pmi!$B29:$S29,1)</f>
        <v>16</v>
      </c>
      <c r="K29" s="4">
        <f>_xlfn.RANK.AVG(serv_pmi!K29,serv_pmi!$B29:$S29,1)</f>
        <v>10</v>
      </c>
      <c r="L29" s="4">
        <f>_xlfn.RANK.AVG(serv_pmi!L29,serv_pmi!$B29:$S29,1)</f>
        <v>6</v>
      </c>
      <c r="M29" s="4">
        <f>_xlfn.RANK.AVG(serv_pmi!M29,serv_pmi!$B29:$S29,1)</f>
        <v>12</v>
      </c>
      <c r="N29" s="4">
        <f>_xlfn.RANK.AVG(serv_pmi!N29,serv_pmi!$B29:$S29,1)</f>
        <v>13</v>
      </c>
      <c r="O29" s="4">
        <f>_xlfn.RANK.AVG(serv_pmi!O29,serv_pmi!$B29:$S29,1)</f>
        <v>15</v>
      </c>
      <c r="P29" s="4">
        <f>_xlfn.RANK.AVG(serv_pmi!P29,serv_pmi!$B29:$S29,1)</f>
        <v>4</v>
      </c>
      <c r="Q29" s="4">
        <f>_xlfn.RANK.AVG(serv_pmi!Q29,serv_pmi!$B29:$S29,1)</f>
        <v>9</v>
      </c>
      <c r="R29" s="4">
        <f>_xlfn.RANK.AVG(serv_pmi!R29,serv_pmi!$B29:$S29,1)</f>
        <v>17</v>
      </c>
      <c r="S29" s="4">
        <f>_xlfn.RANK.AVG(serv_pmi!S29,serv_pmi!$B29:$S29,1)</f>
        <v>8</v>
      </c>
      <c r="T29" s="6"/>
    </row>
    <row r="30" spans="1:20" ht="18" customHeight="1" x14ac:dyDescent="0.25">
      <c r="A30" s="5">
        <v>44682</v>
      </c>
      <c r="B30" s="4">
        <f>_xlfn.RANK.AVG(serv_pmi!B30,serv_pmi!$B30:$S30,1)</f>
        <v>11</v>
      </c>
      <c r="C30" s="4">
        <f>_xlfn.RANK.AVG(serv_pmi!C30,serv_pmi!$B30:$S30,1)</f>
        <v>1</v>
      </c>
      <c r="D30" s="4">
        <f>_xlfn.RANK.AVG(serv_pmi!D30,serv_pmi!$B30:$S30,1)</f>
        <v>8</v>
      </c>
      <c r="E30" s="4">
        <f>_xlfn.RANK.AVG(serv_pmi!E30,serv_pmi!$B30:$S30,1)</f>
        <v>17</v>
      </c>
      <c r="F30" s="4">
        <f>_xlfn.RANK.AVG(serv_pmi!F30,serv_pmi!$B30:$S30,1)</f>
        <v>15</v>
      </c>
      <c r="G30" s="4">
        <f>_xlfn.RANK.AVG(serv_pmi!G30,serv_pmi!$B30:$S30,1)</f>
        <v>4</v>
      </c>
      <c r="H30" s="4">
        <f>_xlfn.RANK.AVG(serv_pmi!H30,serv_pmi!$B30:$S30,1)</f>
        <v>6</v>
      </c>
      <c r="I30" s="4">
        <f>_xlfn.RANK.AVG(serv_pmi!I30,serv_pmi!$B30:$S30,1)</f>
        <v>3</v>
      </c>
      <c r="J30" s="4">
        <f>_xlfn.RANK.AVG(serv_pmi!J30,serv_pmi!$B30:$S30,1)</f>
        <v>13</v>
      </c>
      <c r="K30" s="4">
        <f>_xlfn.RANK.AVG(serv_pmi!K30,serv_pmi!$B30:$S30,1)</f>
        <v>18</v>
      </c>
      <c r="L30" s="4">
        <f>_xlfn.RANK.AVG(serv_pmi!L30,serv_pmi!$B30:$S30,1)</f>
        <v>7</v>
      </c>
      <c r="M30" s="4">
        <f>_xlfn.RANK.AVG(serv_pmi!M30,serv_pmi!$B30:$S30,1)</f>
        <v>9</v>
      </c>
      <c r="N30" s="4">
        <f>_xlfn.RANK.AVG(serv_pmi!N30,serv_pmi!$B30:$S30,1)</f>
        <v>5</v>
      </c>
      <c r="O30" s="4">
        <f>_xlfn.RANK.AVG(serv_pmi!O30,serv_pmi!$B30:$S30,1)</f>
        <v>16</v>
      </c>
      <c r="P30" s="4">
        <f>_xlfn.RANK.AVG(serv_pmi!P30,serv_pmi!$B30:$S30,1)</f>
        <v>2</v>
      </c>
      <c r="Q30" s="4">
        <f>_xlfn.RANK.AVG(serv_pmi!Q30,serv_pmi!$B30:$S30,1)</f>
        <v>14</v>
      </c>
      <c r="R30" s="4">
        <f>_xlfn.RANK.AVG(serv_pmi!R30,serv_pmi!$B30:$S30,1)</f>
        <v>12</v>
      </c>
      <c r="S30" s="4">
        <f>_xlfn.RANK.AVG(serv_pmi!S30,serv_pmi!$B30:$S30,1)</f>
        <v>10</v>
      </c>
      <c r="T30" s="6"/>
    </row>
    <row r="31" spans="1:20" ht="18" customHeight="1" x14ac:dyDescent="0.25">
      <c r="A31" s="5">
        <v>44713</v>
      </c>
      <c r="B31" s="4">
        <f>_xlfn.RANK.AVG(serv_pmi!B31,serv_pmi!$B31:$S31,1)</f>
        <v>7</v>
      </c>
      <c r="C31" s="4">
        <f>_xlfn.RANK.AVG(serv_pmi!C31,serv_pmi!$B31:$S31,1)</f>
        <v>4</v>
      </c>
      <c r="D31" s="4">
        <f>_xlfn.RANK.AVG(serv_pmi!D31,serv_pmi!$B31:$S31,1)</f>
        <v>14</v>
      </c>
      <c r="E31" s="4">
        <f>_xlfn.RANK.AVG(serv_pmi!E31,serv_pmi!$B31:$S31,1)</f>
        <v>15</v>
      </c>
      <c r="F31" s="4">
        <f>_xlfn.RANK.AVG(serv_pmi!F31,serv_pmi!$B31:$S31,1)</f>
        <v>1</v>
      </c>
      <c r="G31" s="4">
        <f>_xlfn.RANK.AVG(serv_pmi!G31,serv_pmi!$B31:$S31,1)</f>
        <v>5</v>
      </c>
      <c r="H31" s="4">
        <f>_xlfn.RANK.AVG(serv_pmi!H31,serv_pmi!$B31:$S31,1)</f>
        <v>10</v>
      </c>
      <c r="I31" s="4">
        <f>_xlfn.RANK.AVG(serv_pmi!I31,serv_pmi!$B31:$S31,1)</f>
        <v>3</v>
      </c>
      <c r="J31" s="4">
        <f>_xlfn.RANK.AVG(serv_pmi!J31,serv_pmi!$B31:$S31,1)</f>
        <v>17</v>
      </c>
      <c r="K31" s="4">
        <f>_xlfn.RANK.AVG(serv_pmi!K31,serv_pmi!$B31:$S31,1)</f>
        <v>18</v>
      </c>
      <c r="L31" s="4">
        <f>_xlfn.RANK.AVG(serv_pmi!L31,serv_pmi!$B31:$S31,1)</f>
        <v>16</v>
      </c>
      <c r="M31" s="4">
        <f>_xlfn.RANK.AVG(serv_pmi!M31,serv_pmi!$B31:$S31,1)</f>
        <v>9</v>
      </c>
      <c r="N31" s="4">
        <f>_xlfn.RANK.AVG(serv_pmi!N31,serv_pmi!$B31:$S31,1)</f>
        <v>12</v>
      </c>
      <c r="O31" s="4">
        <f>_xlfn.RANK.AVG(serv_pmi!O31,serv_pmi!$B31:$S31,1)</f>
        <v>2</v>
      </c>
      <c r="P31" s="4">
        <f>_xlfn.RANK.AVG(serv_pmi!P31,serv_pmi!$B31:$S31,1)</f>
        <v>6</v>
      </c>
      <c r="Q31" s="4">
        <f>_xlfn.RANK.AVG(serv_pmi!Q31,serv_pmi!$B31:$S31,1)</f>
        <v>8</v>
      </c>
      <c r="R31" s="4">
        <f>_xlfn.RANK.AVG(serv_pmi!R31,serv_pmi!$B31:$S31,1)</f>
        <v>13</v>
      </c>
      <c r="S31" s="4">
        <f>_xlfn.RANK.AVG(serv_pmi!S31,serv_pmi!$B31:$S31,1)</f>
        <v>11</v>
      </c>
      <c r="T31" s="6"/>
    </row>
    <row r="32" spans="1:20" ht="18" customHeight="1" x14ac:dyDescent="0.25">
      <c r="A32" s="5">
        <v>44743</v>
      </c>
      <c r="B32" s="4">
        <f>_xlfn.RANK.AVG(serv_pmi!B32,serv_pmi!$B32:$S32,1)</f>
        <v>4.5</v>
      </c>
      <c r="C32" s="4">
        <f>_xlfn.RANK.AVG(serv_pmi!C32,serv_pmi!$B32:$S32,1)</f>
        <v>1</v>
      </c>
      <c r="D32" s="4">
        <f>_xlfn.RANK.AVG(serv_pmi!D32,serv_pmi!$B32:$S32,1)</f>
        <v>4.5</v>
      </c>
      <c r="E32" s="4">
        <f>_xlfn.RANK.AVG(serv_pmi!E32,serv_pmi!$B32:$S32,1)</f>
        <v>14</v>
      </c>
      <c r="F32" s="4">
        <f>_xlfn.RANK.AVG(serv_pmi!F32,serv_pmi!$B32:$S32,1)</f>
        <v>13</v>
      </c>
      <c r="G32" s="4">
        <f>_xlfn.RANK.AVG(serv_pmi!G32,serv_pmi!$B32:$S32,1)</f>
        <v>3</v>
      </c>
      <c r="H32" s="4">
        <f>_xlfn.RANK.AVG(serv_pmi!H32,serv_pmi!$B32:$S32,1)</f>
        <v>9</v>
      </c>
      <c r="I32" s="4">
        <f>_xlfn.RANK.AVG(serv_pmi!I32,serv_pmi!$B32:$S32,1)</f>
        <v>6</v>
      </c>
      <c r="J32" s="4">
        <f>_xlfn.RANK.AVG(serv_pmi!J32,serv_pmi!$B32:$S32,1)</f>
        <v>15</v>
      </c>
      <c r="K32" s="4">
        <f>_xlfn.RANK.AVG(serv_pmi!K32,serv_pmi!$B32:$S32,1)</f>
        <v>18</v>
      </c>
      <c r="L32" s="4">
        <f>_xlfn.RANK.AVG(serv_pmi!L32,serv_pmi!$B32:$S32,1)</f>
        <v>12</v>
      </c>
      <c r="M32" s="4">
        <f>_xlfn.RANK.AVG(serv_pmi!M32,serv_pmi!$B32:$S32,1)</f>
        <v>10</v>
      </c>
      <c r="N32" s="4">
        <f>_xlfn.RANK.AVG(serv_pmi!N32,serv_pmi!$B32:$S32,1)</f>
        <v>16</v>
      </c>
      <c r="O32" s="4">
        <f>_xlfn.RANK.AVG(serv_pmi!O32,serv_pmi!$B32:$S32,1)</f>
        <v>17</v>
      </c>
      <c r="P32" s="4">
        <f>_xlfn.RANK.AVG(serv_pmi!P32,serv_pmi!$B32:$S32,1)</f>
        <v>2</v>
      </c>
      <c r="Q32" s="4">
        <f>_xlfn.RANK.AVG(serv_pmi!Q32,serv_pmi!$B32:$S32,1)</f>
        <v>8</v>
      </c>
      <c r="R32" s="4">
        <f>_xlfn.RANK.AVG(serv_pmi!R32,serv_pmi!$B32:$S32,1)</f>
        <v>11</v>
      </c>
      <c r="S32" s="4">
        <f>_xlfn.RANK.AVG(serv_pmi!S32,serv_pmi!$B32:$S32,1)</f>
        <v>7</v>
      </c>
      <c r="T32" s="6"/>
    </row>
    <row r="33" spans="1:20" ht="18" customHeight="1" x14ac:dyDescent="0.25">
      <c r="A33" s="5">
        <v>44774</v>
      </c>
      <c r="B33" s="4">
        <f>_xlfn.RANK.AVG(serv_pmi!B33,serv_pmi!$B33:$S33,1)</f>
        <v>3.5</v>
      </c>
      <c r="C33" s="4">
        <f>_xlfn.RANK.AVG(serv_pmi!C33,serv_pmi!$B33:$S33,1)</f>
        <v>1</v>
      </c>
      <c r="D33" s="4">
        <f>_xlfn.RANK.AVG(serv_pmi!D33,serv_pmi!$B33:$S33,1)</f>
        <v>2</v>
      </c>
      <c r="E33" s="4">
        <f>_xlfn.RANK.AVG(serv_pmi!E33,serv_pmi!$B33:$S33,1)</f>
        <v>15</v>
      </c>
      <c r="F33" s="4">
        <f>_xlfn.RANK.AVG(serv_pmi!F33,serv_pmi!$B33:$S33,1)</f>
        <v>14</v>
      </c>
      <c r="G33" s="4">
        <f>_xlfn.RANK.AVG(serv_pmi!G33,serv_pmi!$B33:$S33,1)</f>
        <v>8</v>
      </c>
      <c r="H33" s="4">
        <f>_xlfn.RANK.AVG(serv_pmi!H33,serv_pmi!$B33:$S33,1)</f>
        <v>10</v>
      </c>
      <c r="I33" s="4">
        <f>_xlfn.RANK.AVG(serv_pmi!I33,serv_pmi!$B33:$S33,1)</f>
        <v>13</v>
      </c>
      <c r="J33" s="4">
        <f>_xlfn.RANK.AVG(serv_pmi!J33,serv_pmi!$B33:$S33,1)</f>
        <v>7</v>
      </c>
      <c r="K33" s="4">
        <f>_xlfn.RANK.AVG(serv_pmi!K33,serv_pmi!$B33:$S33,1)</f>
        <v>18</v>
      </c>
      <c r="L33" s="4">
        <f>_xlfn.RANK.AVG(serv_pmi!L33,serv_pmi!$B33:$S33,1)</f>
        <v>5</v>
      </c>
      <c r="M33" s="4">
        <f>_xlfn.RANK.AVG(serv_pmi!M33,serv_pmi!$B33:$S33,1)</f>
        <v>6</v>
      </c>
      <c r="N33" s="4">
        <f>_xlfn.RANK.AVG(serv_pmi!N33,serv_pmi!$B33:$S33,1)</f>
        <v>9</v>
      </c>
      <c r="O33" s="4">
        <f>_xlfn.RANK.AVG(serv_pmi!O33,serv_pmi!$B33:$S33,1)</f>
        <v>17</v>
      </c>
      <c r="P33" s="4">
        <f>_xlfn.RANK.AVG(serv_pmi!P33,serv_pmi!$B33:$S33,1)</f>
        <v>3.5</v>
      </c>
      <c r="Q33" s="4">
        <f>_xlfn.RANK.AVG(serv_pmi!Q33,serv_pmi!$B33:$S33,1)</f>
        <v>12</v>
      </c>
      <c r="R33" s="4">
        <f>_xlfn.RANK.AVG(serv_pmi!R33,serv_pmi!$B33:$S33,1)</f>
        <v>16</v>
      </c>
      <c r="S33" s="4">
        <f>_xlfn.RANK.AVG(serv_pmi!S33,serv_pmi!$B33:$S33,1)</f>
        <v>11</v>
      </c>
      <c r="T33" s="6"/>
    </row>
    <row r="34" spans="1:20" ht="18" customHeight="1" x14ac:dyDescent="0.25">
      <c r="A34" s="5">
        <v>44805</v>
      </c>
      <c r="B34" s="4">
        <f>_xlfn.RANK.AVG(serv_pmi!B34,serv_pmi!$B34:$S34,1)</f>
        <v>1</v>
      </c>
      <c r="C34" s="4">
        <f>_xlfn.RANK.AVG(serv_pmi!C34,serv_pmi!$B34:$S34,1)</f>
        <v>15</v>
      </c>
      <c r="D34" s="4">
        <f>_xlfn.RANK.AVG(serv_pmi!D34,serv_pmi!$B34:$S34,1)</f>
        <v>2</v>
      </c>
      <c r="E34" s="4">
        <f>_xlfn.RANK.AVG(serv_pmi!E34,serv_pmi!$B34:$S34,1)</f>
        <v>5</v>
      </c>
      <c r="F34" s="4">
        <f>_xlfn.RANK.AVG(serv_pmi!F34,serv_pmi!$B34:$S34,1)</f>
        <v>16</v>
      </c>
      <c r="G34" s="4">
        <f>_xlfn.RANK.AVG(serv_pmi!G34,serv_pmi!$B34:$S34,1)</f>
        <v>7</v>
      </c>
      <c r="H34" s="4">
        <f>_xlfn.RANK.AVG(serv_pmi!H34,serv_pmi!$B34:$S34,1)</f>
        <v>8</v>
      </c>
      <c r="I34" s="4">
        <f>_xlfn.RANK.AVG(serv_pmi!I34,serv_pmi!$B34:$S34,1)</f>
        <v>11</v>
      </c>
      <c r="J34" s="4">
        <f>_xlfn.RANK.AVG(serv_pmi!J34,serv_pmi!$B34:$S34,1)</f>
        <v>4</v>
      </c>
      <c r="K34" s="4">
        <f>_xlfn.RANK.AVG(serv_pmi!K34,serv_pmi!$B34:$S34,1)</f>
        <v>18</v>
      </c>
      <c r="L34" s="4">
        <f>_xlfn.RANK.AVG(serv_pmi!L34,serv_pmi!$B34:$S34,1)</f>
        <v>17</v>
      </c>
      <c r="M34" s="4">
        <f>_xlfn.RANK.AVG(serv_pmi!M34,serv_pmi!$B34:$S34,1)</f>
        <v>9</v>
      </c>
      <c r="N34" s="4">
        <f>_xlfn.RANK.AVG(serv_pmi!N34,serv_pmi!$B34:$S34,1)</f>
        <v>14</v>
      </c>
      <c r="O34" s="4">
        <f>_xlfn.RANK.AVG(serv_pmi!O34,serv_pmi!$B34:$S34,1)</f>
        <v>6</v>
      </c>
      <c r="P34" s="4">
        <f>_xlfn.RANK.AVG(serv_pmi!P34,serv_pmi!$B34:$S34,1)</f>
        <v>13</v>
      </c>
      <c r="Q34" s="4">
        <f>_xlfn.RANK.AVG(serv_pmi!Q34,serv_pmi!$B34:$S34,1)</f>
        <v>3</v>
      </c>
      <c r="R34" s="4">
        <f>_xlfn.RANK.AVG(serv_pmi!R34,serv_pmi!$B34:$S34,1)</f>
        <v>10</v>
      </c>
      <c r="S34" s="4">
        <f>_xlfn.RANK.AVG(serv_pmi!S34,serv_pmi!$B34:$S34,1)</f>
        <v>12</v>
      </c>
      <c r="T34" s="6"/>
    </row>
    <row r="35" spans="1:20" ht="18" customHeight="1" x14ac:dyDescent="0.25">
      <c r="A35" s="5">
        <v>44835</v>
      </c>
      <c r="B35" s="4">
        <f>_xlfn.RANK.AVG(serv_pmi!B35,serv_pmi!$B35:$S35,1)</f>
        <v>14</v>
      </c>
      <c r="C35" s="4">
        <f>_xlfn.RANK.AVG(serv_pmi!C35,serv_pmi!$B35:$S35,1)</f>
        <v>17</v>
      </c>
      <c r="D35" s="4">
        <f>_xlfn.RANK.AVG(serv_pmi!D35,serv_pmi!$B35:$S35,1)</f>
        <v>16</v>
      </c>
      <c r="E35" s="4">
        <f>_xlfn.RANK.AVG(serv_pmi!E35,serv_pmi!$B35:$S35,1)</f>
        <v>13</v>
      </c>
      <c r="F35" s="4">
        <f>_xlfn.RANK.AVG(serv_pmi!F35,serv_pmi!$B35:$S35,1)</f>
        <v>7</v>
      </c>
      <c r="G35" s="4">
        <f>_xlfn.RANK.AVG(serv_pmi!G35,serv_pmi!$B35:$S35,1)</f>
        <v>6</v>
      </c>
      <c r="H35" s="4">
        <f>_xlfn.RANK.AVG(serv_pmi!H35,serv_pmi!$B35:$S35,1)</f>
        <v>4</v>
      </c>
      <c r="I35" s="4">
        <f>_xlfn.RANK.AVG(serv_pmi!I35,serv_pmi!$B35:$S35,1)</f>
        <v>10</v>
      </c>
      <c r="J35" s="4">
        <f>_xlfn.RANK.AVG(serv_pmi!J35,serv_pmi!$B35:$S35,1)</f>
        <v>1</v>
      </c>
      <c r="K35" s="4">
        <f>_xlfn.RANK.AVG(serv_pmi!K35,serv_pmi!$B35:$S35,1)</f>
        <v>18</v>
      </c>
      <c r="L35" s="4">
        <f>_xlfn.RANK.AVG(serv_pmi!L35,serv_pmi!$B35:$S35,1)</f>
        <v>11</v>
      </c>
      <c r="M35" s="4">
        <f>_xlfn.RANK.AVG(serv_pmi!M35,serv_pmi!$B35:$S35,1)</f>
        <v>8</v>
      </c>
      <c r="N35" s="4">
        <f>_xlfn.RANK.AVG(serv_pmi!N35,serv_pmi!$B35:$S35,1)</f>
        <v>5</v>
      </c>
      <c r="O35" s="4">
        <f>_xlfn.RANK.AVG(serv_pmi!O35,serv_pmi!$B35:$S35,1)</f>
        <v>2</v>
      </c>
      <c r="P35" s="4">
        <f>_xlfn.RANK.AVG(serv_pmi!P35,serv_pmi!$B35:$S35,1)</f>
        <v>9</v>
      </c>
      <c r="Q35" s="4">
        <f>_xlfn.RANK.AVG(serv_pmi!Q35,serv_pmi!$B35:$S35,1)</f>
        <v>15</v>
      </c>
      <c r="R35" s="4">
        <f>_xlfn.RANK.AVG(serv_pmi!R35,serv_pmi!$B35:$S35,1)</f>
        <v>12</v>
      </c>
      <c r="S35" s="4">
        <f>_xlfn.RANK.AVG(serv_pmi!S35,serv_pmi!$B35:$S35,1)</f>
        <v>3</v>
      </c>
      <c r="T35" s="6"/>
    </row>
    <row r="36" spans="1:20" ht="18" customHeight="1" x14ac:dyDescent="0.25">
      <c r="A36" s="5">
        <v>44866</v>
      </c>
      <c r="B36" s="4">
        <f>_xlfn.RANK.AVG(serv_pmi!B36,serv_pmi!$B36:$S36,1)</f>
        <v>9</v>
      </c>
      <c r="C36" s="4">
        <f>_xlfn.RANK.AVG(serv_pmi!C36,serv_pmi!$B36:$S36,1)</f>
        <v>16</v>
      </c>
      <c r="D36" s="4">
        <f>_xlfn.RANK.AVG(serv_pmi!D36,serv_pmi!$B36:$S36,1)</f>
        <v>4.5</v>
      </c>
      <c r="E36" s="4">
        <f>_xlfn.RANK.AVG(serv_pmi!E36,serv_pmi!$B36:$S36,1)</f>
        <v>14</v>
      </c>
      <c r="F36" s="4">
        <f>_xlfn.RANK.AVG(serv_pmi!F36,serv_pmi!$B36:$S36,1)</f>
        <v>6</v>
      </c>
      <c r="G36" s="4">
        <f>_xlfn.RANK.AVG(serv_pmi!G36,serv_pmi!$B36:$S36,1)</f>
        <v>4.5</v>
      </c>
      <c r="H36" s="4">
        <f>_xlfn.RANK.AVG(serv_pmi!H36,serv_pmi!$B36:$S36,1)</f>
        <v>13</v>
      </c>
      <c r="I36" s="4">
        <f>_xlfn.RANK.AVG(serv_pmi!I36,serv_pmi!$B36:$S36,1)</f>
        <v>3</v>
      </c>
      <c r="J36" s="4">
        <f>_xlfn.RANK.AVG(serv_pmi!J36,serv_pmi!$B36:$S36,1)</f>
        <v>1</v>
      </c>
      <c r="K36" s="4">
        <f>_xlfn.RANK.AVG(serv_pmi!K36,serv_pmi!$B36:$S36,1)</f>
        <v>17</v>
      </c>
      <c r="L36" s="4">
        <f>_xlfn.RANK.AVG(serv_pmi!L36,serv_pmi!$B36:$S36,1)</f>
        <v>15</v>
      </c>
      <c r="M36" s="4">
        <f>_xlfn.RANK.AVG(serv_pmi!M36,serv_pmi!$B36:$S36,1)</f>
        <v>10</v>
      </c>
      <c r="N36" s="4">
        <f>_xlfn.RANK.AVG(serv_pmi!N36,serv_pmi!$B36:$S36,1)</f>
        <v>12</v>
      </c>
      <c r="O36" s="4">
        <f>_xlfn.RANK.AVG(serv_pmi!O36,serv_pmi!$B36:$S36,1)</f>
        <v>18</v>
      </c>
      <c r="P36" s="4">
        <f>_xlfn.RANK.AVG(serv_pmi!P36,serv_pmi!$B36:$S36,1)</f>
        <v>11</v>
      </c>
      <c r="Q36" s="4">
        <f>_xlfn.RANK.AVG(serv_pmi!Q36,serv_pmi!$B36:$S36,1)</f>
        <v>7</v>
      </c>
      <c r="R36" s="4">
        <f>_xlfn.RANK.AVG(serv_pmi!R36,serv_pmi!$B36:$S36,1)</f>
        <v>8</v>
      </c>
      <c r="S36" s="4">
        <f>_xlfn.RANK.AVG(serv_pmi!S36,serv_pmi!$B36:$S36,1)</f>
        <v>2</v>
      </c>
      <c r="T36" s="6"/>
    </row>
    <row r="37" spans="1:20" ht="18" customHeight="1" x14ac:dyDescent="0.25">
      <c r="A37" s="5">
        <v>44896</v>
      </c>
      <c r="B37" s="4">
        <v>12</v>
      </c>
      <c r="C37" s="4">
        <v>7</v>
      </c>
      <c r="D37" s="4">
        <v>14</v>
      </c>
      <c r="E37" s="4">
        <v>5</v>
      </c>
      <c r="F37" s="4">
        <v>6</v>
      </c>
      <c r="G37" s="4">
        <v>8</v>
      </c>
      <c r="H37" s="4">
        <v>17</v>
      </c>
      <c r="I37" s="4">
        <v>4</v>
      </c>
      <c r="J37" s="4">
        <v>10</v>
      </c>
      <c r="K37" s="4">
        <v>13</v>
      </c>
      <c r="L37" s="4">
        <v>3</v>
      </c>
      <c r="M37" s="4">
        <v>9</v>
      </c>
      <c r="N37" s="4">
        <v>15</v>
      </c>
      <c r="O37" s="4">
        <v>1</v>
      </c>
      <c r="P37" s="4">
        <v>18</v>
      </c>
      <c r="Q37" s="4">
        <v>11</v>
      </c>
      <c r="R37" s="4">
        <v>16</v>
      </c>
      <c r="S37" s="4">
        <v>2</v>
      </c>
      <c r="T37" s="6"/>
    </row>
    <row r="38" spans="1:20" ht="18" customHeight="1" x14ac:dyDescent="0.25">
      <c r="A38" s="5">
        <v>44927</v>
      </c>
      <c r="B38" s="4">
        <v>12</v>
      </c>
      <c r="C38" s="4">
        <v>18</v>
      </c>
      <c r="D38" s="4">
        <v>3</v>
      </c>
      <c r="E38" s="4">
        <v>5</v>
      </c>
      <c r="F38" s="4">
        <v>13</v>
      </c>
      <c r="G38" s="4">
        <v>7</v>
      </c>
      <c r="H38" s="4">
        <v>10</v>
      </c>
      <c r="I38" s="4">
        <v>6</v>
      </c>
      <c r="J38" s="4">
        <v>15</v>
      </c>
      <c r="K38" s="4">
        <v>4</v>
      </c>
      <c r="L38" s="4">
        <v>16</v>
      </c>
      <c r="M38" s="4">
        <v>9</v>
      </c>
      <c r="N38" s="4">
        <v>14</v>
      </c>
      <c r="O38" s="4">
        <v>11</v>
      </c>
      <c r="P38" s="4">
        <v>2</v>
      </c>
      <c r="Q38" s="4">
        <v>1</v>
      </c>
      <c r="R38" s="4">
        <v>17</v>
      </c>
      <c r="S38" s="4">
        <v>8</v>
      </c>
    </row>
    <row r="39" spans="1:20" ht="18" customHeight="1" x14ac:dyDescent="0.25">
      <c r="A39" s="5">
        <v>44958</v>
      </c>
      <c r="B39" s="1">
        <v>6</v>
      </c>
      <c r="C39" s="1">
        <v>18</v>
      </c>
      <c r="D39" s="1">
        <v>9</v>
      </c>
      <c r="E39" s="1">
        <v>16</v>
      </c>
      <c r="F39" s="1">
        <v>11</v>
      </c>
      <c r="G39" s="1">
        <v>10</v>
      </c>
      <c r="H39" s="1">
        <v>7</v>
      </c>
      <c r="I39" s="1">
        <v>3</v>
      </c>
      <c r="J39" s="1">
        <v>4</v>
      </c>
      <c r="K39" s="1">
        <v>5</v>
      </c>
      <c r="L39" s="1">
        <v>12</v>
      </c>
      <c r="M39" s="1">
        <v>15</v>
      </c>
      <c r="N39" s="1">
        <v>17</v>
      </c>
      <c r="O39" s="1">
        <v>8</v>
      </c>
      <c r="P39" s="1">
        <v>14</v>
      </c>
      <c r="Q39" s="1">
        <v>2</v>
      </c>
      <c r="R39" s="1">
        <v>13</v>
      </c>
      <c r="S39" s="1">
        <v>1</v>
      </c>
    </row>
    <row r="40" spans="1:20" ht="18" customHeight="1" x14ac:dyDescent="0.25">
      <c r="A40" s="5">
        <v>44986</v>
      </c>
      <c r="B40" s="1">
        <v>15</v>
      </c>
      <c r="C40" s="1">
        <v>10</v>
      </c>
      <c r="D40" s="1">
        <v>17</v>
      </c>
      <c r="E40" s="1">
        <v>7</v>
      </c>
      <c r="F40" s="1">
        <v>16</v>
      </c>
      <c r="G40" s="1">
        <v>1</v>
      </c>
      <c r="H40" s="1">
        <v>8</v>
      </c>
      <c r="I40" s="1">
        <v>6</v>
      </c>
      <c r="J40" s="1">
        <v>11.5</v>
      </c>
      <c r="K40" s="1">
        <v>13</v>
      </c>
      <c r="L40" s="1">
        <v>18</v>
      </c>
      <c r="M40" s="1">
        <v>11.5</v>
      </c>
      <c r="N40" s="1">
        <v>14</v>
      </c>
      <c r="O40" s="1">
        <v>3</v>
      </c>
      <c r="P40" s="1">
        <v>5</v>
      </c>
      <c r="Q40" s="1">
        <v>4</v>
      </c>
      <c r="R40" s="1">
        <v>9</v>
      </c>
      <c r="S40" s="1">
        <v>2</v>
      </c>
    </row>
    <row r="41" spans="1:20" ht="18" customHeight="1" x14ac:dyDescent="0.25">
      <c r="A41" s="5">
        <v>45017</v>
      </c>
      <c r="B41" s="1">
        <v>15</v>
      </c>
      <c r="C41" s="1">
        <v>2</v>
      </c>
      <c r="D41" s="1">
        <v>18</v>
      </c>
      <c r="E41" s="1">
        <v>7</v>
      </c>
      <c r="F41" s="1">
        <v>10</v>
      </c>
      <c r="G41" s="1">
        <v>6</v>
      </c>
      <c r="H41" s="1">
        <v>9</v>
      </c>
      <c r="I41" s="1">
        <v>5</v>
      </c>
      <c r="J41" s="1">
        <v>4</v>
      </c>
      <c r="K41" s="1">
        <v>1</v>
      </c>
      <c r="L41" s="1">
        <v>17</v>
      </c>
      <c r="M41" s="1">
        <v>11</v>
      </c>
      <c r="N41" s="1">
        <v>13</v>
      </c>
      <c r="O41" s="1">
        <v>16</v>
      </c>
      <c r="P41" s="1">
        <v>8</v>
      </c>
      <c r="Q41" s="1">
        <v>12</v>
      </c>
      <c r="R41" s="1">
        <v>14</v>
      </c>
      <c r="S41" s="1">
        <v>3</v>
      </c>
    </row>
    <row r="42" spans="1:20" ht="18" customHeight="1" x14ac:dyDescent="0.25">
      <c r="A42" s="5">
        <v>45047</v>
      </c>
      <c r="B42" s="1">
        <v>18</v>
      </c>
      <c r="C42" s="1">
        <v>2</v>
      </c>
      <c r="D42" s="1">
        <v>13</v>
      </c>
      <c r="E42" s="1">
        <v>12</v>
      </c>
      <c r="F42" s="1">
        <v>8</v>
      </c>
      <c r="G42" s="1">
        <v>7</v>
      </c>
      <c r="H42" s="1">
        <v>6</v>
      </c>
      <c r="I42" s="1">
        <v>5</v>
      </c>
      <c r="J42" s="1">
        <v>17</v>
      </c>
      <c r="K42" s="1">
        <v>1</v>
      </c>
      <c r="L42" s="1">
        <v>11</v>
      </c>
      <c r="M42" s="1">
        <v>16</v>
      </c>
      <c r="N42" s="1">
        <v>9</v>
      </c>
      <c r="O42" s="1">
        <v>3</v>
      </c>
      <c r="P42" s="1">
        <v>14</v>
      </c>
      <c r="Q42" s="1">
        <v>10</v>
      </c>
      <c r="R42" s="1">
        <v>15</v>
      </c>
      <c r="S42" s="1">
        <v>4</v>
      </c>
    </row>
    <row r="43" spans="1:20" ht="18" customHeight="1" x14ac:dyDescent="0.25">
      <c r="A43" s="5">
        <v>45078</v>
      </c>
      <c r="B43" s="1">
        <v>18</v>
      </c>
      <c r="C43" s="1">
        <v>1</v>
      </c>
      <c r="D43" s="1">
        <v>17</v>
      </c>
      <c r="E43" s="1">
        <v>7</v>
      </c>
      <c r="F43" s="1">
        <v>14</v>
      </c>
      <c r="G43" s="1">
        <v>6</v>
      </c>
      <c r="H43" s="1">
        <v>4</v>
      </c>
      <c r="I43" s="1">
        <v>3</v>
      </c>
      <c r="J43" s="1">
        <v>13</v>
      </c>
      <c r="K43" s="1">
        <v>2</v>
      </c>
      <c r="L43" s="1">
        <v>10</v>
      </c>
      <c r="M43" s="1">
        <v>8</v>
      </c>
      <c r="N43" s="1">
        <v>15</v>
      </c>
      <c r="O43" s="1">
        <v>16</v>
      </c>
      <c r="P43" s="1">
        <v>5</v>
      </c>
      <c r="Q43" s="1">
        <v>12</v>
      </c>
      <c r="R43" s="1">
        <v>9</v>
      </c>
      <c r="S43" s="1">
        <v>11</v>
      </c>
    </row>
    <row r="44" spans="1:20" ht="18" customHeight="1" x14ac:dyDescent="0.25">
      <c r="A44" s="5">
        <v>45108</v>
      </c>
      <c r="B44" s="1">
        <v>16</v>
      </c>
      <c r="C44" s="1">
        <v>2</v>
      </c>
      <c r="D44" s="1">
        <v>3</v>
      </c>
      <c r="E44" s="1">
        <v>17</v>
      </c>
      <c r="F44" s="1">
        <v>8</v>
      </c>
      <c r="G44" s="1">
        <v>4</v>
      </c>
      <c r="H44" s="1">
        <v>9</v>
      </c>
      <c r="I44" s="1">
        <v>6</v>
      </c>
      <c r="J44" s="1">
        <v>14</v>
      </c>
      <c r="K44" s="1">
        <v>1</v>
      </c>
      <c r="L44" s="1">
        <v>18</v>
      </c>
      <c r="M44" s="1">
        <v>10</v>
      </c>
      <c r="N44" s="1">
        <v>15</v>
      </c>
      <c r="O44" s="1">
        <v>11</v>
      </c>
      <c r="P44" s="1">
        <v>7</v>
      </c>
      <c r="Q44" s="1">
        <v>13</v>
      </c>
      <c r="R44" s="1">
        <v>12</v>
      </c>
      <c r="S44" s="1">
        <v>5</v>
      </c>
    </row>
    <row r="45" spans="1:20" ht="18" customHeight="1" x14ac:dyDescent="0.25">
      <c r="A45" s="5">
        <v>45139</v>
      </c>
      <c r="B45" s="1">
        <v>17</v>
      </c>
      <c r="C45" s="1">
        <v>1</v>
      </c>
      <c r="D45" s="1">
        <v>15</v>
      </c>
      <c r="E45" s="1">
        <v>9</v>
      </c>
      <c r="F45" s="1">
        <v>10</v>
      </c>
      <c r="G45" s="1">
        <v>8</v>
      </c>
      <c r="H45" s="1">
        <v>4</v>
      </c>
      <c r="I45" s="1">
        <v>11</v>
      </c>
      <c r="J45" s="1">
        <v>5</v>
      </c>
      <c r="K45" s="1">
        <v>2</v>
      </c>
      <c r="L45" s="1">
        <v>16</v>
      </c>
      <c r="M45" s="1">
        <v>6</v>
      </c>
      <c r="N45" s="1">
        <v>12</v>
      </c>
      <c r="O45" s="1">
        <v>18</v>
      </c>
      <c r="P45" s="1">
        <v>13</v>
      </c>
      <c r="Q45" s="1">
        <v>7</v>
      </c>
      <c r="R45" s="1">
        <v>14</v>
      </c>
      <c r="S45" s="1">
        <v>3</v>
      </c>
    </row>
    <row r="46" spans="1:20" ht="18" customHeight="1" x14ac:dyDescent="0.25">
      <c r="A46" s="5">
        <v>45170</v>
      </c>
      <c r="B46" s="1">
        <v>3</v>
      </c>
      <c r="C46" s="1">
        <v>1</v>
      </c>
      <c r="D46" s="1">
        <v>2</v>
      </c>
      <c r="E46" s="1">
        <v>11</v>
      </c>
      <c r="F46" s="1">
        <v>6</v>
      </c>
      <c r="G46" s="1">
        <v>12</v>
      </c>
      <c r="H46" s="1">
        <v>13</v>
      </c>
      <c r="I46" s="1">
        <v>8</v>
      </c>
      <c r="J46" s="1">
        <v>4</v>
      </c>
      <c r="K46" s="1">
        <v>16</v>
      </c>
      <c r="L46" s="1">
        <v>15</v>
      </c>
      <c r="M46" s="1">
        <v>10</v>
      </c>
      <c r="N46" s="1">
        <v>9</v>
      </c>
      <c r="O46" s="1">
        <v>18</v>
      </c>
      <c r="P46" s="1">
        <v>17</v>
      </c>
      <c r="Q46" s="1">
        <v>7</v>
      </c>
      <c r="R46" s="1">
        <v>14</v>
      </c>
      <c r="S46" s="1">
        <v>5</v>
      </c>
    </row>
    <row r="47" spans="1:20" ht="18" customHeight="1" x14ac:dyDescent="0.25">
      <c r="A47" s="5">
        <v>45200</v>
      </c>
      <c r="B47" s="1">
        <v>6</v>
      </c>
      <c r="C47" s="1">
        <v>2</v>
      </c>
      <c r="D47" s="1">
        <v>18</v>
      </c>
      <c r="E47" s="1">
        <v>15</v>
      </c>
      <c r="F47" s="1">
        <v>10</v>
      </c>
      <c r="G47" s="1">
        <v>14</v>
      </c>
      <c r="H47" s="1">
        <v>9</v>
      </c>
      <c r="I47" s="1">
        <v>7</v>
      </c>
      <c r="J47" s="1">
        <v>8</v>
      </c>
      <c r="K47" s="1">
        <v>3</v>
      </c>
      <c r="L47" s="1">
        <v>16</v>
      </c>
      <c r="M47" s="1">
        <v>5</v>
      </c>
      <c r="N47" s="1">
        <v>13</v>
      </c>
      <c r="O47" s="1">
        <v>1</v>
      </c>
      <c r="P47" s="1">
        <v>17</v>
      </c>
      <c r="Q47" s="1">
        <v>12</v>
      </c>
      <c r="R47" s="1">
        <v>11</v>
      </c>
      <c r="S47" s="1">
        <v>4</v>
      </c>
    </row>
    <row r="48" spans="1:20" ht="18" customHeight="1" x14ac:dyDescent="0.25">
      <c r="A48" s="5">
        <v>45231</v>
      </c>
      <c r="B48" s="1">
        <v>11</v>
      </c>
      <c r="C48" s="1">
        <v>18</v>
      </c>
      <c r="D48" s="1">
        <v>15</v>
      </c>
      <c r="E48" s="1">
        <v>6</v>
      </c>
      <c r="F48" s="1">
        <v>4</v>
      </c>
      <c r="G48" s="1">
        <v>8</v>
      </c>
      <c r="H48" s="1">
        <v>17</v>
      </c>
      <c r="I48" s="1">
        <v>1</v>
      </c>
      <c r="J48" s="1">
        <v>9</v>
      </c>
      <c r="K48" s="1">
        <v>2</v>
      </c>
      <c r="L48" s="1">
        <v>10</v>
      </c>
      <c r="M48" s="1">
        <v>3</v>
      </c>
      <c r="N48" s="1">
        <v>7</v>
      </c>
      <c r="O48" s="1">
        <v>16</v>
      </c>
      <c r="P48" s="1">
        <v>13</v>
      </c>
      <c r="Q48" s="1">
        <v>14</v>
      </c>
      <c r="R48" s="1">
        <v>12</v>
      </c>
      <c r="S48" s="1">
        <v>5</v>
      </c>
    </row>
    <row r="49" spans="1:19" ht="18" customHeight="1" x14ac:dyDescent="0.25">
      <c r="A49" s="5">
        <v>45261</v>
      </c>
      <c r="B49" s="1">
        <v>17</v>
      </c>
      <c r="C49" s="1">
        <v>18</v>
      </c>
      <c r="D49" s="1">
        <v>2</v>
      </c>
      <c r="E49" s="1">
        <v>8</v>
      </c>
      <c r="F49" s="1">
        <v>6</v>
      </c>
      <c r="G49" s="1">
        <v>9</v>
      </c>
      <c r="H49" s="1">
        <v>16</v>
      </c>
      <c r="I49" s="1">
        <v>5</v>
      </c>
      <c r="J49" s="1">
        <v>7</v>
      </c>
      <c r="K49" s="1">
        <v>4</v>
      </c>
      <c r="L49" s="1">
        <v>14</v>
      </c>
      <c r="M49" s="1">
        <v>11</v>
      </c>
      <c r="N49" s="1">
        <v>10</v>
      </c>
      <c r="O49" s="1">
        <v>1</v>
      </c>
      <c r="P49" s="1">
        <v>12</v>
      </c>
      <c r="Q49" s="1">
        <v>15</v>
      </c>
      <c r="R49" s="1">
        <v>13</v>
      </c>
      <c r="S49" s="1">
        <v>3</v>
      </c>
    </row>
    <row r="50" spans="1:19" ht="18" customHeight="1" x14ac:dyDescent="0.25">
      <c r="A50" s="5">
        <v>45292</v>
      </c>
      <c r="B50" s="1">
        <v>13</v>
      </c>
      <c r="C50" s="1">
        <v>17</v>
      </c>
      <c r="D50" s="1">
        <v>5</v>
      </c>
      <c r="E50" s="1">
        <v>12</v>
      </c>
      <c r="F50" s="1">
        <v>10</v>
      </c>
      <c r="G50" s="1">
        <v>7</v>
      </c>
      <c r="H50" s="1">
        <v>18</v>
      </c>
      <c r="I50" s="1">
        <v>1</v>
      </c>
      <c r="J50" s="1">
        <v>9</v>
      </c>
      <c r="K50" s="1">
        <v>4</v>
      </c>
      <c r="L50" s="1">
        <v>11</v>
      </c>
      <c r="M50" s="1">
        <v>16</v>
      </c>
      <c r="N50" s="1">
        <v>15</v>
      </c>
      <c r="O50" s="1">
        <v>3</v>
      </c>
      <c r="P50" s="1">
        <v>2</v>
      </c>
      <c r="Q50" s="1">
        <v>8</v>
      </c>
      <c r="R50" s="1">
        <v>14</v>
      </c>
      <c r="S50" s="1">
        <v>6</v>
      </c>
    </row>
    <row r="51" spans="1:19" ht="18" customHeight="1" x14ac:dyDescent="0.25">
      <c r="A51" s="5">
        <v>45323</v>
      </c>
      <c r="B51" s="1">
        <v>14</v>
      </c>
      <c r="C51" s="1">
        <v>9</v>
      </c>
      <c r="D51" s="1">
        <v>1</v>
      </c>
      <c r="E51" s="1">
        <v>18</v>
      </c>
      <c r="F51" s="1">
        <v>6</v>
      </c>
      <c r="G51" s="1">
        <v>10</v>
      </c>
      <c r="H51" s="1">
        <v>15</v>
      </c>
      <c r="I51" s="1">
        <v>7</v>
      </c>
      <c r="J51" s="1">
        <v>11</v>
      </c>
      <c r="K51" s="1">
        <v>2</v>
      </c>
      <c r="L51" s="1">
        <v>4</v>
      </c>
      <c r="M51" s="1">
        <v>12</v>
      </c>
      <c r="N51" s="1">
        <v>16</v>
      </c>
      <c r="O51" s="1">
        <v>3</v>
      </c>
      <c r="P51" s="1">
        <v>17</v>
      </c>
      <c r="Q51" s="1">
        <v>5</v>
      </c>
      <c r="R51" s="1">
        <v>13</v>
      </c>
      <c r="S51" s="1">
        <v>8</v>
      </c>
    </row>
    <row r="52" spans="1:19" ht="18" customHeight="1" x14ac:dyDescent="0.25">
      <c r="A52" s="5">
        <v>45352</v>
      </c>
      <c r="B52" s="1">
        <v>18</v>
      </c>
      <c r="C52" s="1">
        <v>16</v>
      </c>
      <c r="D52" s="1">
        <v>5.5</v>
      </c>
      <c r="E52" s="1">
        <v>14</v>
      </c>
      <c r="F52" s="1">
        <v>15</v>
      </c>
      <c r="G52" s="1">
        <v>8</v>
      </c>
      <c r="H52" s="1">
        <v>7</v>
      </c>
      <c r="I52" s="1">
        <v>4</v>
      </c>
      <c r="J52" s="1">
        <v>13</v>
      </c>
      <c r="K52" s="1">
        <v>1</v>
      </c>
      <c r="L52" s="1">
        <v>9</v>
      </c>
      <c r="M52" s="1">
        <v>17</v>
      </c>
      <c r="N52" s="1">
        <v>5.5</v>
      </c>
      <c r="O52" s="1">
        <v>3</v>
      </c>
      <c r="P52" s="1">
        <v>11</v>
      </c>
      <c r="Q52" s="1">
        <v>2</v>
      </c>
      <c r="R52" s="1">
        <v>12</v>
      </c>
      <c r="S52" s="1">
        <v>10</v>
      </c>
    </row>
    <row r="53" spans="1:19" ht="18" customHeight="1" x14ac:dyDescent="0.25">
      <c r="A53" s="5">
        <v>45383</v>
      </c>
      <c r="B53" s="1">
        <v>18</v>
      </c>
      <c r="C53" s="1">
        <v>16</v>
      </c>
      <c r="D53" s="1">
        <v>3</v>
      </c>
      <c r="E53" s="1">
        <v>17</v>
      </c>
      <c r="F53" s="1">
        <v>12</v>
      </c>
      <c r="G53" s="1">
        <v>10</v>
      </c>
      <c r="H53" s="1">
        <v>9</v>
      </c>
      <c r="I53" s="1">
        <v>2</v>
      </c>
      <c r="J53" s="1">
        <v>13</v>
      </c>
      <c r="K53" s="1">
        <v>14</v>
      </c>
      <c r="L53" s="1">
        <v>1</v>
      </c>
      <c r="M53" s="1">
        <v>5</v>
      </c>
      <c r="N53" s="1">
        <v>8</v>
      </c>
      <c r="O53" s="1">
        <v>4</v>
      </c>
      <c r="P53" s="1">
        <v>11</v>
      </c>
      <c r="Q53" s="1">
        <v>6</v>
      </c>
      <c r="R53" s="1">
        <v>15</v>
      </c>
      <c r="S53" s="1">
        <v>7</v>
      </c>
    </row>
    <row r="54" spans="1:19" ht="18" customHeight="1" x14ac:dyDescent="0.25">
      <c r="A54" s="5">
        <v>45413</v>
      </c>
      <c r="B54" s="1">
        <v>4</v>
      </c>
      <c r="C54" s="1">
        <v>2</v>
      </c>
      <c r="D54" s="1">
        <v>3</v>
      </c>
      <c r="E54" s="1">
        <v>12</v>
      </c>
      <c r="F54" s="1">
        <v>15</v>
      </c>
      <c r="G54" s="1">
        <v>8</v>
      </c>
      <c r="H54" s="1">
        <v>17</v>
      </c>
      <c r="I54" s="1">
        <v>7</v>
      </c>
      <c r="J54" s="1">
        <v>9</v>
      </c>
      <c r="K54" s="1">
        <v>5</v>
      </c>
      <c r="L54" s="1">
        <v>16</v>
      </c>
      <c r="M54" s="1">
        <v>6</v>
      </c>
      <c r="N54" s="1">
        <v>10</v>
      </c>
      <c r="O54" s="1">
        <v>18</v>
      </c>
      <c r="P54" s="1">
        <v>1</v>
      </c>
      <c r="Q54" s="1">
        <v>11</v>
      </c>
      <c r="R54" s="1">
        <v>14</v>
      </c>
      <c r="S54" s="1">
        <v>13</v>
      </c>
    </row>
    <row r="55" spans="1:19" ht="18" customHeight="1" x14ac:dyDescent="0.25">
      <c r="A55" s="5">
        <v>45444</v>
      </c>
      <c r="B55" s="1">
        <v>9.5</v>
      </c>
      <c r="C55" s="1">
        <v>1</v>
      </c>
      <c r="D55" s="1">
        <v>9.5</v>
      </c>
      <c r="E55" s="1">
        <v>15</v>
      </c>
      <c r="F55" s="1">
        <v>12</v>
      </c>
      <c r="G55" s="1">
        <v>13</v>
      </c>
      <c r="H55" s="1">
        <v>16</v>
      </c>
      <c r="I55" s="1">
        <v>8</v>
      </c>
      <c r="J55" s="1">
        <v>17</v>
      </c>
      <c r="K55" s="1">
        <v>4.5</v>
      </c>
      <c r="L55" s="1">
        <v>18</v>
      </c>
      <c r="M55" s="1">
        <v>11</v>
      </c>
      <c r="N55" s="1">
        <v>2</v>
      </c>
      <c r="O55" s="1">
        <v>3</v>
      </c>
      <c r="P55" s="1">
        <v>4.5</v>
      </c>
      <c r="Q55" s="1">
        <v>7</v>
      </c>
      <c r="R55" s="1">
        <v>14</v>
      </c>
      <c r="S55" s="1">
        <v>6</v>
      </c>
    </row>
    <row r="56" spans="1:19" ht="18" customHeight="1" x14ac:dyDescent="0.25">
      <c r="A56" s="5">
        <v>45474</v>
      </c>
      <c r="B56" s="1">
        <v>17</v>
      </c>
      <c r="C56" s="1">
        <v>1</v>
      </c>
      <c r="D56" s="1">
        <v>18</v>
      </c>
      <c r="E56" s="1">
        <v>15</v>
      </c>
      <c r="F56" s="1">
        <v>7</v>
      </c>
      <c r="G56" s="1">
        <v>11</v>
      </c>
      <c r="H56" s="1">
        <v>10</v>
      </c>
      <c r="I56" s="1">
        <v>6</v>
      </c>
      <c r="J56" s="1">
        <v>14</v>
      </c>
      <c r="K56" s="1">
        <v>16</v>
      </c>
      <c r="L56" s="1">
        <v>8</v>
      </c>
      <c r="M56" s="1">
        <v>5</v>
      </c>
      <c r="N56" s="1">
        <v>12</v>
      </c>
      <c r="O56" s="1">
        <v>2</v>
      </c>
      <c r="P56" s="1">
        <v>4</v>
      </c>
      <c r="Q56" s="1">
        <v>13</v>
      </c>
      <c r="R56" s="1">
        <v>9</v>
      </c>
      <c r="S56" s="1">
        <v>3</v>
      </c>
    </row>
    <row r="57" spans="1:19" ht="18" customHeight="1" x14ac:dyDescent="0.25">
      <c r="A57" s="5">
        <v>45505</v>
      </c>
      <c r="B57" s="1">
        <v>5</v>
      </c>
      <c r="C57" s="1">
        <v>1</v>
      </c>
      <c r="D57" s="1">
        <v>18</v>
      </c>
      <c r="E57" s="1">
        <v>3</v>
      </c>
      <c r="F57" s="1">
        <v>10</v>
      </c>
      <c r="G57" s="1">
        <v>12</v>
      </c>
      <c r="H57" s="1">
        <v>13</v>
      </c>
      <c r="I57" s="1">
        <v>14</v>
      </c>
      <c r="J57" s="1">
        <v>6</v>
      </c>
      <c r="K57" s="1">
        <v>17</v>
      </c>
      <c r="L57" s="1">
        <v>15</v>
      </c>
      <c r="M57" s="1">
        <v>7</v>
      </c>
      <c r="N57" s="1">
        <v>11</v>
      </c>
      <c r="O57" s="1">
        <v>8</v>
      </c>
      <c r="P57" s="1">
        <v>2</v>
      </c>
      <c r="Q57" s="1">
        <v>16</v>
      </c>
      <c r="R57" s="1">
        <v>9</v>
      </c>
      <c r="S57" s="1">
        <v>4</v>
      </c>
    </row>
    <row r="58" spans="1:19" ht="18" customHeight="1" x14ac:dyDescent="0.25">
      <c r="A58" s="5">
        <v>45536</v>
      </c>
      <c r="B58" s="1">
        <v>16</v>
      </c>
      <c r="C58" s="1">
        <v>2</v>
      </c>
      <c r="D58" s="1">
        <v>6</v>
      </c>
      <c r="E58" s="1">
        <v>11</v>
      </c>
      <c r="F58" s="1">
        <v>8</v>
      </c>
      <c r="G58" s="1">
        <v>12</v>
      </c>
      <c r="H58" s="1">
        <v>13</v>
      </c>
      <c r="I58" s="1">
        <v>9</v>
      </c>
      <c r="J58" s="1">
        <v>17</v>
      </c>
      <c r="K58" s="1">
        <v>15</v>
      </c>
      <c r="L58" s="1">
        <v>1</v>
      </c>
      <c r="M58" s="1">
        <v>4</v>
      </c>
      <c r="N58" s="1">
        <v>14</v>
      </c>
      <c r="O58" s="1">
        <v>18</v>
      </c>
      <c r="P58" s="1">
        <v>5</v>
      </c>
      <c r="Q58" s="1">
        <v>10</v>
      </c>
      <c r="R58" s="1">
        <v>7</v>
      </c>
      <c r="S58" s="1">
        <v>3</v>
      </c>
    </row>
    <row r="59" spans="1:19" ht="18" customHeight="1" x14ac:dyDescent="0.25">
      <c r="A59" s="5">
        <v>45566</v>
      </c>
      <c r="B59" s="1">
        <v>15</v>
      </c>
      <c r="C59" s="1">
        <v>3.5</v>
      </c>
      <c r="D59" s="1">
        <v>3.5</v>
      </c>
      <c r="E59" s="1">
        <v>13</v>
      </c>
      <c r="F59" s="1">
        <v>8</v>
      </c>
      <c r="G59" s="1">
        <v>14</v>
      </c>
      <c r="H59" s="1">
        <v>6</v>
      </c>
      <c r="I59" s="1">
        <v>17</v>
      </c>
      <c r="J59" s="1">
        <v>2</v>
      </c>
      <c r="K59" s="1">
        <v>12</v>
      </c>
      <c r="L59" s="1">
        <v>1</v>
      </c>
      <c r="M59" s="1">
        <v>7</v>
      </c>
      <c r="N59" s="1">
        <v>11</v>
      </c>
      <c r="O59" s="1">
        <v>9</v>
      </c>
      <c r="P59" s="1">
        <v>18</v>
      </c>
      <c r="Q59" s="1">
        <v>16</v>
      </c>
      <c r="R59" s="1">
        <v>10</v>
      </c>
      <c r="S59" s="1">
        <v>5</v>
      </c>
    </row>
    <row r="60" spans="1:19" ht="18" customHeight="1" x14ac:dyDescent="0.25">
      <c r="A60" s="5">
        <v>45597</v>
      </c>
      <c r="B60" s="1">
        <v>18</v>
      </c>
      <c r="C60" s="1">
        <v>14</v>
      </c>
      <c r="D60" s="1">
        <v>17</v>
      </c>
      <c r="E60" s="1">
        <v>6</v>
      </c>
      <c r="F60" s="1">
        <v>3</v>
      </c>
      <c r="G60" s="1">
        <v>12</v>
      </c>
      <c r="H60" s="1">
        <v>16</v>
      </c>
      <c r="I60" s="1">
        <v>8</v>
      </c>
      <c r="J60" s="1">
        <v>11</v>
      </c>
      <c r="K60" s="1">
        <v>1</v>
      </c>
      <c r="L60" s="1">
        <v>4</v>
      </c>
      <c r="M60" s="1">
        <v>7</v>
      </c>
      <c r="N60" s="1">
        <v>13</v>
      </c>
      <c r="O60" s="1">
        <v>2</v>
      </c>
      <c r="P60" s="1">
        <v>10</v>
      </c>
      <c r="Q60" s="1">
        <v>9</v>
      </c>
      <c r="R60" s="1">
        <v>5</v>
      </c>
      <c r="S60" s="1">
        <v>15</v>
      </c>
    </row>
    <row r="61" spans="1:19" ht="18" customHeight="1" x14ac:dyDescent="0.25">
      <c r="A61" s="5">
        <v>45627</v>
      </c>
      <c r="B61" s="1">
        <v>12</v>
      </c>
      <c r="C61" s="1">
        <v>3</v>
      </c>
      <c r="D61" s="1">
        <v>17</v>
      </c>
      <c r="E61" s="1">
        <v>8</v>
      </c>
      <c r="F61" s="1">
        <v>2</v>
      </c>
      <c r="G61" s="1">
        <v>18</v>
      </c>
      <c r="H61" s="1">
        <v>15</v>
      </c>
      <c r="I61" s="1">
        <v>5</v>
      </c>
      <c r="J61" s="1">
        <v>6</v>
      </c>
      <c r="K61" s="1">
        <v>8</v>
      </c>
      <c r="L61" s="1">
        <v>8</v>
      </c>
      <c r="M61" s="1">
        <v>4</v>
      </c>
      <c r="N61" s="1">
        <v>13</v>
      </c>
      <c r="O61" s="1">
        <v>1</v>
      </c>
      <c r="P61" s="1">
        <v>16</v>
      </c>
      <c r="Q61" s="1">
        <v>14</v>
      </c>
      <c r="R61" s="1">
        <v>10</v>
      </c>
      <c r="S61" s="1">
        <v>11</v>
      </c>
    </row>
    <row r="62" spans="1:19" ht="18" customHeight="1" x14ac:dyDescent="0.25">
      <c r="A62" s="5">
        <v>45658</v>
      </c>
      <c r="B62" s="1">
        <v>17</v>
      </c>
      <c r="C62" s="1">
        <v>18</v>
      </c>
      <c r="D62" s="1">
        <v>4</v>
      </c>
      <c r="E62" s="1">
        <v>8</v>
      </c>
      <c r="F62" s="1">
        <v>12</v>
      </c>
      <c r="G62" s="1">
        <v>14</v>
      </c>
      <c r="H62" s="1">
        <v>13</v>
      </c>
      <c r="I62" s="1">
        <v>9</v>
      </c>
      <c r="J62" s="1">
        <v>7</v>
      </c>
      <c r="K62" s="1">
        <v>16</v>
      </c>
      <c r="L62" s="1">
        <v>1</v>
      </c>
      <c r="M62" s="1">
        <v>3</v>
      </c>
      <c r="N62" s="1">
        <v>6</v>
      </c>
      <c r="O62" s="1">
        <v>2</v>
      </c>
      <c r="P62" s="1">
        <v>10</v>
      </c>
      <c r="Q62" s="1">
        <v>11</v>
      </c>
      <c r="R62" s="1">
        <v>5</v>
      </c>
      <c r="S62" s="1">
        <v>15</v>
      </c>
    </row>
    <row r="63" spans="1:19" ht="18" customHeight="1" x14ac:dyDescent="0.25">
      <c r="A63" s="5">
        <v>45689</v>
      </c>
      <c r="B63" s="1">
        <v>8</v>
      </c>
      <c r="C63" s="1">
        <v>14</v>
      </c>
      <c r="D63" s="1">
        <v>4</v>
      </c>
      <c r="E63" s="1">
        <v>10</v>
      </c>
      <c r="F63" s="1">
        <v>3</v>
      </c>
      <c r="G63" s="1">
        <v>17</v>
      </c>
      <c r="H63" s="1">
        <v>11</v>
      </c>
      <c r="I63" s="1">
        <v>6</v>
      </c>
      <c r="J63" s="1">
        <v>1</v>
      </c>
      <c r="K63" s="1">
        <v>13</v>
      </c>
      <c r="L63" s="1">
        <v>18</v>
      </c>
      <c r="M63" s="1">
        <v>7</v>
      </c>
      <c r="N63" s="1">
        <v>5</v>
      </c>
      <c r="O63" s="1">
        <v>12</v>
      </c>
      <c r="P63" s="1">
        <v>2</v>
      </c>
      <c r="Q63" s="1">
        <v>9</v>
      </c>
      <c r="R63" s="1">
        <v>15</v>
      </c>
      <c r="S63" s="1">
        <v>16</v>
      </c>
    </row>
    <row r="64" spans="1:19" ht="18" customHeight="1" x14ac:dyDescent="0.25">
      <c r="A64" s="5">
        <v>45717</v>
      </c>
      <c r="B64" s="1">
        <v>18</v>
      </c>
      <c r="C64" s="1">
        <v>12</v>
      </c>
      <c r="D64" s="1">
        <v>4</v>
      </c>
      <c r="E64" s="1">
        <v>11</v>
      </c>
      <c r="F64" s="1">
        <v>5</v>
      </c>
      <c r="G64" s="1">
        <v>16</v>
      </c>
      <c r="H64" s="1">
        <v>6</v>
      </c>
      <c r="I64" s="1">
        <v>7</v>
      </c>
      <c r="J64" s="1">
        <v>1</v>
      </c>
      <c r="K64" s="1">
        <v>8</v>
      </c>
      <c r="L64" s="1">
        <v>3</v>
      </c>
      <c r="M64" s="1">
        <v>2</v>
      </c>
      <c r="N64" s="1">
        <v>14</v>
      </c>
      <c r="O64" s="1">
        <v>10</v>
      </c>
      <c r="P64" s="1">
        <v>9</v>
      </c>
      <c r="Q64" s="1">
        <v>17</v>
      </c>
      <c r="R64" s="1">
        <v>13</v>
      </c>
      <c r="S64" s="1">
        <v>15</v>
      </c>
    </row>
    <row r="65" spans="1:19" ht="18" customHeight="1" x14ac:dyDescent="0.25">
      <c r="A65" s="5">
        <v>45748</v>
      </c>
      <c r="B65" s="1">
        <v>18</v>
      </c>
      <c r="C65" s="1">
        <v>1</v>
      </c>
      <c r="D65" s="1">
        <v>13</v>
      </c>
      <c r="E65" s="1">
        <v>6</v>
      </c>
      <c r="F65" s="1">
        <v>9</v>
      </c>
      <c r="G65" s="1">
        <v>3</v>
      </c>
      <c r="H65" s="1">
        <v>12</v>
      </c>
      <c r="I65" s="1">
        <v>10</v>
      </c>
      <c r="J65" s="1">
        <v>4</v>
      </c>
      <c r="K65" s="1">
        <v>16</v>
      </c>
      <c r="L65" s="1">
        <v>7</v>
      </c>
      <c r="M65" s="1">
        <v>2</v>
      </c>
      <c r="N65" s="1">
        <v>5</v>
      </c>
      <c r="O65" s="1">
        <v>15</v>
      </c>
      <c r="P65" s="1">
        <v>14</v>
      </c>
      <c r="Q65" s="1">
        <v>11</v>
      </c>
      <c r="R65" s="1">
        <v>8</v>
      </c>
      <c r="S65" s="1">
        <v>17</v>
      </c>
    </row>
    <row r="66" spans="1:19" ht="18" customHeight="1" x14ac:dyDescent="0.25">
      <c r="A66" s="5">
        <v>45778</v>
      </c>
      <c r="B66" s="1">
        <v>18</v>
      </c>
      <c r="C66" s="1">
        <v>4</v>
      </c>
      <c r="D66" s="1">
        <v>17</v>
      </c>
      <c r="E66" s="1">
        <v>6</v>
      </c>
      <c r="F66" s="1">
        <v>13</v>
      </c>
      <c r="G66" s="1">
        <v>5</v>
      </c>
      <c r="H66" s="1">
        <v>10</v>
      </c>
      <c r="I66" s="1">
        <v>11</v>
      </c>
      <c r="J66" s="1">
        <v>3</v>
      </c>
      <c r="K66" s="1">
        <v>15</v>
      </c>
      <c r="L66" s="1">
        <v>1</v>
      </c>
      <c r="M66" s="1">
        <v>9</v>
      </c>
      <c r="N66" s="1">
        <v>16</v>
      </c>
      <c r="O66" s="1">
        <v>12</v>
      </c>
      <c r="P66" s="1">
        <v>2</v>
      </c>
      <c r="Q66" s="1">
        <v>7</v>
      </c>
      <c r="R66" s="1">
        <v>14</v>
      </c>
      <c r="S66" s="1">
        <v>8</v>
      </c>
    </row>
    <row r="67" spans="1:19" ht="18" customHeight="1" x14ac:dyDescent="0.25">
      <c r="A67" s="5">
        <v>45809</v>
      </c>
      <c r="B67" s="1">
        <v>7.5</v>
      </c>
      <c r="C67" s="1">
        <v>1</v>
      </c>
      <c r="D67" s="1">
        <v>15</v>
      </c>
      <c r="E67" s="1">
        <v>2</v>
      </c>
      <c r="F67" s="1">
        <v>6</v>
      </c>
      <c r="G67" s="1">
        <v>7.5</v>
      </c>
      <c r="H67" s="1">
        <v>4</v>
      </c>
      <c r="I67" s="1">
        <v>10</v>
      </c>
      <c r="J67" s="1">
        <v>14</v>
      </c>
      <c r="K67" s="1">
        <v>3</v>
      </c>
      <c r="L67" s="1">
        <v>18</v>
      </c>
      <c r="M67" s="1">
        <v>5</v>
      </c>
      <c r="N67" s="1">
        <v>12</v>
      </c>
      <c r="O67" s="1">
        <v>9</v>
      </c>
      <c r="P67" s="1">
        <v>11</v>
      </c>
      <c r="Q67" s="1">
        <v>17</v>
      </c>
      <c r="R67" s="1">
        <v>16</v>
      </c>
      <c r="S67" s="1">
        <v>13</v>
      </c>
    </row>
    <row r="68" spans="1:19" ht="18" customHeight="1" x14ac:dyDescent="0.25">
      <c r="A68" s="5">
        <v>45839</v>
      </c>
      <c r="B68" s="1">
        <v>1</v>
      </c>
      <c r="C68" s="1">
        <v>5</v>
      </c>
      <c r="D68" s="1">
        <v>6</v>
      </c>
      <c r="E68" s="1">
        <v>2</v>
      </c>
      <c r="F68" s="1">
        <v>4</v>
      </c>
      <c r="G68" s="1">
        <v>16</v>
      </c>
      <c r="H68" s="1">
        <v>8</v>
      </c>
      <c r="I68" s="1">
        <v>10</v>
      </c>
      <c r="J68" s="1">
        <v>13</v>
      </c>
      <c r="K68" s="1">
        <v>3</v>
      </c>
      <c r="L68" s="1">
        <v>14</v>
      </c>
      <c r="M68" s="1">
        <v>7</v>
      </c>
      <c r="N68" s="1">
        <v>12</v>
      </c>
      <c r="O68" s="1">
        <v>11</v>
      </c>
      <c r="P68" s="1">
        <v>15</v>
      </c>
      <c r="Q68" s="1">
        <v>18</v>
      </c>
      <c r="R68" s="1">
        <v>9</v>
      </c>
      <c r="S68" s="1">
        <v>17</v>
      </c>
    </row>
    <row r="69" spans="1:19" ht="18" customHeight="1" x14ac:dyDescent="0.25">
      <c r="A69" s="5">
        <v>45870</v>
      </c>
      <c r="B69" s="1">
        <v>1</v>
      </c>
      <c r="C69" s="1">
        <v>5.5</v>
      </c>
      <c r="D69" s="1">
        <v>16</v>
      </c>
      <c r="E69" s="1">
        <v>4</v>
      </c>
      <c r="F69" s="1">
        <v>13</v>
      </c>
      <c r="G69" s="1">
        <v>5.5</v>
      </c>
      <c r="H69" s="1">
        <v>9</v>
      </c>
      <c r="I69" s="1">
        <v>18</v>
      </c>
      <c r="J69" s="1">
        <v>2</v>
      </c>
      <c r="K69" s="1">
        <v>15</v>
      </c>
      <c r="L69" s="1">
        <v>3</v>
      </c>
      <c r="M69" s="1">
        <v>12</v>
      </c>
      <c r="N69" s="1">
        <v>8</v>
      </c>
      <c r="O69" s="1">
        <v>7</v>
      </c>
      <c r="P69" s="1">
        <v>11</v>
      </c>
      <c r="Q69" s="1">
        <v>14</v>
      </c>
      <c r="R69" s="1">
        <v>10</v>
      </c>
      <c r="S69" s="1">
        <v>17</v>
      </c>
    </row>
    <row r="70" spans="1:19" ht="18" customHeight="1" x14ac:dyDescent="0.25">
      <c r="A70" s="5">
        <v>45901</v>
      </c>
      <c r="B70" s="1">
        <v>18</v>
      </c>
      <c r="C70" s="1">
        <v>2</v>
      </c>
      <c r="D70" s="1">
        <v>8</v>
      </c>
      <c r="E70" s="1">
        <v>3</v>
      </c>
      <c r="F70" s="1">
        <v>13</v>
      </c>
      <c r="G70" s="1">
        <v>11</v>
      </c>
      <c r="H70" s="1">
        <v>17</v>
      </c>
      <c r="I70" s="1">
        <v>15</v>
      </c>
      <c r="J70" s="1">
        <v>4</v>
      </c>
      <c r="K70" s="1">
        <v>1</v>
      </c>
      <c r="L70" s="1">
        <v>16</v>
      </c>
      <c r="M70" s="1">
        <v>5</v>
      </c>
      <c r="N70" s="1">
        <v>14</v>
      </c>
      <c r="O70" s="1">
        <v>7</v>
      </c>
      <c r="P70" s="1">
        <v>6</v>
      </c>
      <c r="Q70" s="1">
        <v>10</v>
      </c>
      <c r="R70" s="1">
        <v>9</v>
      </c>
      <c r="S70" s="1">
        <v>12</v>
      </c>
    </row>
    <row r="71" spans="1:19" ht="18" customHeight="1" x14ac:dyDescent="0.25">
      <c r="A71" s="5">
        <v>45931</v>
      </c>
      <c r="B71" s="1">
        <v>18</v>
      </c>
      <c r="C71" s="1">
        <v>11</v>
      </c>
      <c r="D71" s="1">
        <v>1</v>
      </c>
      <c r="E71" s="1">
        <v>5</v>
      </c>
      <c r="F71" s="1">
        <v>8</v>
      </c>
      <c r="G71" s="1">
        <v>3</v>
      </c>
      <c r="H71" s="1">
        <v>14</v>
      </c>
      <c r="I71" s="1">
        <v>10</v>
      </c>
      <c r="J71" s="1">
        <v>2</v>
      </c>
      <c r="K71" s="1">
        <v>7</v>
      </c>
      <c r="L71" s="1">
        <v>6</v>
      </c>
      <c r="M71" s="1">
        <v>9</v>
      </c>
      <c r="N71" s="1">
        <v>4</v>
      </c>
      <c r="O71" s="1">
        <v>15</v>
      </c>
      <c r="P71" s="1">
        <v>17</v>
      </c>
      <c r="Q71" s="1">
        <v>12</v>
      </c>
      <c r="R71" s="1">
        <v>13</v>
      </c>
      <c r="S71" s="1">
        <v>16</v>
      </c>
    </row>
    <row r="72" spans="1:19" ht="18" customHeight="1" x14ac:dyDescent="0.25"/>
    <row r="73" spans="1:19" ht="18" customHeight="1" x14ac:dyDescent="0.25"/>
    <row r="74" spans="1:19" ht="18" customHeight="1" x14ac:dyDescent="0.25"/>
    <row r="75" spans="1:19" ht="18" customHeight="1" x14ac:dyDescent="0.25"/>
    <row r="76" spans="1:19" ht="18" customHeight="1" x14ac:dyDescent="0.25"/>
    <row r="77" spans="1:19" ht="18" customHeight="1" x14ac:dyDescent="0.25"/>
    <row r="78" spans="1:19" ht="18" customHeight="1" x14ac:dyDescent="0.25"/>
    <row r="79" spans="1:19" ht="18" customHeight="1" x14ac:dyDescent="0.25"/>
    <row r="80" spans="1:19"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sheetData>
  <hyperlinks>
    <hyperlink ref="Q1" r:id="rId1" display="Textile Mills" xr:uid="{BEF0AF6B-63EE-4DE7-952B-5A43389A7CE3}"/>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0FEB5-40B7-4239-B079-6C68CD777856}">
  <dimension ref="A1:T97"/>
  <sheetViews>
    <sheetView showGridLines="0" zoomScale="115" zoomScaleNormal="115" workbookViewId="0">
      <pane xSplit="1" ySplit="1" topLeftCell="B64" activePane="bottomRight" state="frozen"/>
      <selection pane="topRight" activeCell="C1" sqref="C1"/>
      <selection pane="bottomLeft" activeCell="A3" sqref="A3"/>
      <selection pane="bottomRight" activeCell="B71" sqref="B71"/>
    </sheetView>
  </sheetViews>
  <sheetFormatPr defaultRowHeight="15" x14ac:dyDescent="0.25"/>
  <cols>
    <col min="1" max="16384" width="9.140625" style="1"/>
  </cols>
  <sheetData>
    <row r="1" spans="1:20" ht="75.75" customHeight="1" x14ac:dyDescent="0.25">
      <c r="A1" s="3" t="s">
        <v>0</v>
      </c>
      <c r="B1" s="2" t="s">
        <v>73</v>
      </c>
      <c r="C1" s="2" t="s">
        <v>74</v>
      </c>
      <c r="D1" s="2" t="s">
        <v>75</v>
      </c>
      <c r="E1" s="2" t="s">
        <v>76</v>
      </c>
      <c r="F1" s="2" t="s">
        <v>77</v>
      </c>
      <c r="G1" s="2" t="s">
        <v>78</v>
      </c>
      <c r="H1" s="2" t="s">
        <v>79</v>
      </c>
      <c r="I1" s="2" t="s">
        <v>80</v>
      </c>
      <c r="J1" s="2" t="s">
        <v>81</v>
      </c>
      <c r="K1" s="2" t="s">
        <v>82</v>
      </c>
      <c r="L1" s="2" t="s">
        <v>83</v>
      </c>
      <c r="M1" s="2" t="s">
        <v>84</v>
      </c>
      <c r="N1" s="2" t="s">
        <v>85</v>
      </c>
      <c r="O1" s="2" t="s">
        <v>86</v>
      </c>
      <c r="P1" s="2" t="s">
        <v>87</v>
      </c>
      <c r="Q1" s="2" t="s">
        <v>88</v>
      </c>
      <c r="R1" s="2" t="s">
        <v>89</v>
      </c>
      <c r="S1" s="2" t="s">
        <v>90</v>
      </c>
    </row>
    <row r="2" spans="1:20" ht="18" customHeight="1" x14ac:dyDescent="0.25">
      <c r="A2" s="5">
        <v>43831</v>
      </c>
      <c r="B2" s="7">
        <f>serv_rank!B2/171</f>
        <v>7.6023391812865493E-2</v>
      </c>
      <c r="C2" s="7">
        <f>serv_rank!C2/171</f>
        <v>0.10526315789473684</v>
      </c>
      <c r="D2" s="7">
        <f>serv_rank!D2/171</f>
        <v>2.3391812865497075E-2</v>
      </c>
      <c r="E2" s="7">
        <f>serv_rank!E2/171</f>
        <v>5.8479532163742687E-2</v>
      </c>
      <c r="F2" s="7">
        <f>serv_rank!F2/171</f>
        <v>8.771929824561403E-2</v>
      </c>
      <c r="G2" s="7">
        <f>serv_rank!G2/171</f>
        <v>7.0175438596491224E-2</v>
      </c>
      <c r="H2" s="7">
        <f>serv_rank!H2/171</f>
        <v>9.3567251461988299E-2</v>
      </c>
      <c r="I2" s="7">
        <f>serv_rank!I2/171</f>
        <v>4.6783625730994149E-2</v>
      </c>
      <c r="J2" s="7">
        <f>serv_rank!J2/171</f>
        <v>9.9415204678362568E-2</v>
      </c>
      <c r="K2" s="7">
        <f>serv_rank!K2/171</f>
        <v>2.9239766081871343E-2</v>
      </c>
      <c r="L2" s="7">
        <f>serv_rank!L2/171</f>
        <v>1.7543859649122806E-2</v>
      </c>
      <c r="M2" s="7">
        <f>serv_rank!M2/171</f>
        <v>4.0935672514619881E-2</v>
      </c>
      <c r="N2" s="7">
        <f>serv_rank!N2/171</f>
        <v>5.2631578947368418E-2</v>
      </c>
      <c r="O2" s="7">
        <f>serv_rank!O2/171</f>
        <v>3.5087719298245612E-2</v>
      </c>
      <c r="P2" s="7">
        <f>serv_rank!P2/171</f>
        <v>6.4327485380116955E-2</v>
      </c>
      <c r="Q2" s="7">
        <f>serv_rank!Q2/171</f>
        <v>5.8479532163742687E-3</v>
      </c>
      <c r="R2" s="7">
        <f>serv_rank!R2/171</f>
        <v>8.1871345029239762E-2</v>
      </c>
      <c r="S2" s="7">
        <f>serv_rank!S2/171</f>
        <v>1.1695906432748537E-2</v>
      </c>
      <c r="T2" s="6"/>
    </row>
    <row r="3" spans="1:20" ht="18" customHeight="1" x14ac:dyDescent="0.25">
      <c r="A3" s="5">
        <v>43862</v>
      </c>
      <c r="B3" s="7">
        <f>serv_rank!B3/171</f>
        <v>0.10526315789473684</v>
      </c>
      <c r="C3" s="7">
        <f>serv_rank!C3/171</f>
        <v>1.1695906432748537E-2</v>
      </c>
      <c r="D3" s="7">
        <f>serv_rank!D3/171</f>
        <v>5.8479532163742687E-3</v>
      </c>
      <c r="E3" s="7">
        <f>serv_rank!E3/171</f>
        <v>7.0175438596491224E-2</v>
      </c>
      <c r="F3" s="7">
        <f>serv_rank!F3/171</f>
        <v>4.0935672514619881E-2</v>
      </c>
      <c r="G3" s="7">
        <f>serv_rank!G3/171</f>
        <v>8.771929824561403E-2</v>
      </c>
      <c r="H3" s="7">
        <f>serv_rank!H3/171</f>
        <v>6.4327485380116955E-2</v>
      </c>
      <c r="I3" s="7">
        <f>serv_rank!I3/171</f>
        <v>2.3391812865497075E-2</v>
      </c>
      <c r="J3" s="7">
        <f>serv_rank!J3/171</f>
        <v>9.9415204678362568E-2</v>
      </c>
      <c r="K3" s="7">
        <f>serv_rank!K3/171</f>
        <v>9.3567251461988299E-2</v>
      </c>
      <c r="L3" s="7">
        <f>serv_rank!L3/171</f>
        <v>7.6023391812865493E-2</v>
      </c>
      <c r="M3" s="7">
        <f>serv_rank!M3/171</f>
        <v>3.5087719298245612E-2</v>
      </c>
      <c r="N3" s="7">
        <f>serv_rank!N3/171</f>
        <v>5.8479532163742687E-2</v>
      </c>
      <c r="O3" s="7">
        <f>serv_rank!O3/171</f>
        <v>8.1871345029239762E-2</v>
      </c>
      <c r="P3" s="7">
        <f>serv_rank!P3/171</f>
        <v>1.7543859649122806E-2</v>
      </c>
      <c r="Q3" s="7">
        <f>serv_rank!Q3/171</f>
        <v>4.6783625730994149E-2</v>
      </c>
      <c r="R3" s="7">
        <f>serv_rank!R3/171</f>
        <v>2.9239766081871343E-2</v>
      </c>
      <c r="S3" s="7">
        <f>serv_rank!S3/171</f>
        <v>5.2631578947368418E-2</v>
      </c>
      <c r="T3" s="6"/>
    </row>
    <row r="4" spans="1:20" ht="18" customHeight="1" x14ac:dyDescent="0.25">
      <c r="A4" s="5">
        <v>43891</v>
      </c>
      <c r="B4" s="7">
        <f>serv_rank!B4/171</f>
        <v>4.9707602339181284E-2</v>
      </c>
      <c r="C4" s="7">
        <f>serv_rank!C4/171</f>
        <v>4.9707602339181284E-2</v>
      </c>
      <c r="D4" s="7">
        <f>serv_rank!D4/171</f>
        <v>5.8479532163742687E-3</v>
      </c>
      <c r="E4" s="7">
        <f>serv_rank!E4/171</f>
        <v>7.6023391812865493E-2</v>
      </c>
      <c r="F4" s="7">
        <f>serv_rank!F4/171</f>
        <v>4.0935672514619881E-2</v>
      </c>
      <c r="G4" s="7">
        <f>serv_rank!G4/171</f>
        <v>8.1871345029239762E-2</v>
      </c>
      <c r="H4" s="7">
        <f>serv_rank!H4/171</f>
        <v>0.10526315789473684</v>
      </c>
      <c r="I4" s="7">
        <f>serv_rank!I4/171</f>
        <v>5.8479532163742687E-2</v>
      </c>
      <c r="J4" s="7">
        <f>serv_rank!J4/171</f>
        <v>7.0175438596491224E-2</v>
      </c>
      <c r="K4" s="7">
        <f>serv_rank!K4/171</f>
        <v>2.3391812865497075E-2</v>
      </c>
      <c r="L4" s="7">
        <f>serv_rank!L4/171</f>
        <v>2.9239766081871343E-2</v>
      </c>
      <c r="M4" s="7">
        <f>serv_rank!M4/171</f>
        <v>1.7543859649122806E-2</v>
      </c>
      <c r="N4" s="7">
        <f>serv_rank!N4/171</f>
        <v>9.3567251461988299E-2</v>
      </c>
      <c r="O4" s="7">
        <f>serv_rank!O4/171</f>
        <v>9.9415204678362568E-2</v>
      </c>
      <c r="P4" s="7">
        <f>serv_rank!P4/171</f>
        <v>3.5087719298245612E-2</v>
      </c>
      <c r="Q4" s="7">
        <f>serv_rank!Q4/171</f>
        <v>1.1695906432748537E-2</v>
      </c>
      <c r="R4" s="7">
        <f>serv_rank!R4/171</f>
        <v>8.771929824561403E-2</v>
      </c>
      <c r="S4" s="7">
        <f>serv_rank!S4/171</f>
        <v>6.4327485380116955E-2</v>
      </c>
      <c r="T4" s="6"/>
    </row>
    <row r="5" spans="1:20" ht="18" customHeight="1" x14ac:dyDescent="0.25">
      <c r="A5" s="5">
        <v>43922</v>
      </c>
      <c r="B5" s="7">
        <f>serv_rank!B5/171</f>
        <v>6.4327485380116955E-2</v>
      </c>
      <c r="C5" s="7">
        <f>serv_rank!C5/171</f>
        <v>1.1695906432748537E-2</v>
      </c>
      <c r="D5" s="7">
        <f>serv_rank!D5/171</f>
        <v>5.8479532163742687E-3</v>
      </c>
      <c r="E5" s="7">
        <f>serv_rank!E5/171</f>
        <v>3.5087719298245612E-2</v>
      </c>
      <c r="F5" s="7">
        <f>serv_rank!F5/171</f>
        <v>7.6023391812865493E-2</v>
      </c>
      <c r="G5" s="7">
        <f>serv_rank!G5/171</f>
        <v>9.9415204678362568E-2</v>
      </c>
      <c r="H5" s="7">
        <f>serv_rank!H5/171</f>
        <v>9.3567251461988299E-2</v>
      </c>
      <c r="I5" s="7">
        <f>serv_rank!I5/171</f>
        <v>5.8479532163742687E-2</v>
      </c>
      <c r="J5" s="7">
        <f>serv_rank!J5/171</f>
        <v>7.0175438596491224E-2</v>
      </c>
      <c r="K5" s="7">
        <f>serv_rank!K5/171</f>
        <v>4.6783625730994149E-2</v>
      </c>
      <c r="L5" s="7">
        <f>serv_rank!L5/171</f>
        <v>2.3391812865497075E-2</v>
      </c>
      <c r="M5" s="7">
        <f>serv_rank!M5/171</f>
        <v>5.2631578947368418E-2</v>
      </c>
      <c r="N5" s="7">
        <f>serv_rank!N5/171</f>
        <v>0.10526315789473684</v>
      </c>
      <c r="O5" s="7">
        <f>serv_rank!O5/171</f>
        <v>8.1871345029239762E-2</v>
      </c>
      <c r="P5" s="7">
        <f>serv_rank!P5/171</f>
        <v>1.7543859649122806E-2</v>
      </c>
      <c r="Q5" s="7">
        <f>serv_rank!Q5/171</f>
        <v>4.0935672514619881E-2</v>
      </c>
      <c r="R5" s="7">
        <f>serv_rank!R5/171</f>
        <v>8.771929824561403E-2</v>
      </c>
      <c r="S5" s="7">
        <f>serv_rank!S5/171</f>
        <v>2.9239766081871343E-2</v>
      </c>
      <c r="T5" s="6"/>
    </row>
    <row r="6" spans="1:20" ht="18" customHeight="1" x14ac:dyDescent="0.25">
      <c r="A6" s="5">
        <v>43952</v>
      </c>
      <c r="B6" s="7">
        <f>serv_rank!B6/171</f>
        <v>5.2631578947368418E-2</v>
      </c>
      <c r="C6" s="7">
        <f>serv_rank!C6/171</f>
        <v>0.10526315789473684</v>
      </c>
      <c r="D6" s="7">
        <f>serv_rank!D6/171</f>
        <v>1.1695906432748537E-2</v>
      </c>
      <c r="E6" s="7">
        <f>serv_rank!E6/171</f>
        <v>2.3391812865497075E-2</v>
      </c>
      <c r="F6" s="7">
        <f>serv_rank!F6/171</f>
        <v>2.9239766081871343E-2</v>
      </c>
      <c r="G6" s="7">
        <f>serv_rank!G6/171</f>
        <v>9.9415204678362568E-2</v>
      </c>
      <c r="H6" s="7">
        <f>serv_rank!H6/171</f>
        <v>7.6023391812865493E-2</v>
      </c>
      <c r="I6" s="7">
        <f>serv_rank!I6/171</f>
        <v>8.771929824561403E-2</v>
      </c>
      <c r="J6" s="7">
        <f>serv_rank!J6/171</f>
        <v>5.8479532163742687E-2</v>
      </c>
      <c r="K6" s="7">
        <f>serv_rank!K6/171</f>
        <v>5.8479532163742687E-3</v>
      </c>
      <c r="L6" s="7">
        <f>serv_rank!L6/171</f>
        <v>1.7543859649122806E-2</v>
      </c>
      <c r="M6" s="7">
        <f>serv_rank!M6/171</f>
        <v>3.5087719298245612E-2</v>
      </c>
      <c r="N6" s="7">
        <f>serv_rank!N6/171</f>
        <v>9.3567251461988299E-2</v>
      </c>
      <c r="O6" s="7">
        <f>serv_rank!O6/171</f>
        <v>6.4327485380116955E-2</v>
      </c>
      <c r="P6" s="7">
        <f>serv_rank!P6/171</f>
        <v>8.1871345029239762E-2</v>
      </c>
      <c r="Q6" s="7">
        <f>serv_rank!Q6/171</f>
        <v>7.0175438596491224E-2</v>
      </c>
      <c r="R6" s="7">
        <f>serv_rank!R6/171</f>
        <v>4.0935672514619881E-2</v>
      </c>
      <c r="S6" s="7">
        <f>serv_rank!S6/171</f>
        <v>4.6783625730994149E-2</v>
      </c>
      <c r="T6" s="6"/>
    </row>
    <row r="7" spans="1:20" ht="18" customHeight="1" x14ac:dyDescent="0.25">
      <c r="A7" s="5">
        <v>43983</v>
      </c>
      <c r="B7" s="7">
        <f>serv_rank!B7/171</f>
        <v>9.9415204678362568E-2</v>
      </c>
      <c r="C7" s="7">
        <f>serv_rank!C7/171</f>
        <v>0.10526315789473684</v>
      </c>
      <c r="D7" s="7">
        <f>serv_rank!D7/171</f>
        <v>5.2631578947368418E-2</v>
      </c>
      <c r="E7" s="7">
        <f>serv_rank!E7/171</f>
        <v>7.6023391812865493E-2</v>
      </c>
      <c r="F7" s="7">
        <f>serv_rank!F7/171</f>
        <v>2.3391812865497075E-2</v>
      </c>
      <c r="G7" s="7">
        <f>serv_rank!G7/171</f>
        <v>4.0935672514619881E-2</v>
      </c>
      <c r="H7" s="7">
        <f>serv_rank!H7/171</f>
        <v>8.1871345029239762E-2</v>
      </c>
      <c r="I7" s="7">
        <f>serv_rank!I7/171</f>
        <v>4.6783625730994149E-2</v>
      </c>
      <c r="J7" s="7">
        <f>serv_rank!J7/171</f>
        <v>1.7543859649122806E-2</v>
      </c>
      <c r="K7" s="7">
        <f>serv_rank!K7/171</f>
        <v>5.8479532163742687E-3</v>
      </c>
      <c r="L7" s="7">
        <f>serv_rank!L7/171</f>
        <v>1.1695906432748537E-2</v>
      </c>
      <c r="M7" s="7">
        <f>serv_rank!M7/171</f>
        <v>2.9239766081871343E-2</v>
      </c>
      <c r="N7" s="7">
        <f>serv_rank!N7/171</f>
        <v>3.5087719298245612E-2</v>
      </c>
      <c r="O7" s="7">
        <f>serv_rank!O7/171</f>
        <v>8.771929824561403E-2</v>
      </c>
      <c r="P7" s="7">
        <f>serv_rank!P7/171</f>
        <v>7.0175438596491224E-2</v>
      </c>
      <c r="Q7" s="7">
        <f>serv_rank!Q7/171</f>
        <v>5.8479532163742687E-2</v>
      </c>
      <c r="R7" s="7">
        <f>serv_rank!R7/171</f>
        <v>6.4327485380116955E-2</v>
      </c>
      <c r="S7" s="7">
        <f>serv_rank!S7/171</f>
        <v>9.3567251461988299E-2</v>
      </c>
      <c r="T7" s="6"/>
    </row>
    <row r="8" spans="1:20" ht="18" customHeight="1" x14ac:dyDescent="0.25">
      <c r="A8" s="5">
        <v>44013</v>
      </c>
      <c r="B8" s="7">
        <f>serv_rank!B8/171</f>
        <v>2.9239766081871343E-2</v>
      </c>
      <c r="C8" s="7">
        <f>serv_rank!C8/171</f>
        <v>3.5087719298245612E-2</v>
      </c>
      <c r="D8" s="7">
        <f>serv_rank!D8/171</f>
        <v>0.10526315789473684</v>
      </c>
      <c r="E8" s="7">
        <f>serv_rank!E8/171</f>
        <v>7.0175438596491224E-2</v>
      </c>
      <c r="F8" s="7">
        <f>serv_rank!F8/171</f>
        <v>7.6023391812865493E-2</v>
      </c>
      <c r="G8" s="7">
        <f>serv_rank!G8/171</f>
        <v>5.2631578947368418E-2</v>
      </c>
      <c r="H8" s="7">
        <f>serv_rank!H8/171</f>
        <v>9.9415204678362568E-2</v>
      </c>
      <c r="I8" s="7">
        <f>serv_rank!I8/171</f>
        <v>2.3391812865497075E-2</v>
      </c>
      <c r="J8" s="7">
        <f>serv_rank!J8/171</f>
        <v>4.6783625730994149E-2</v>
      </c>
      <c r="K8" s="7">
        <f>serv_rank!K8/171</f>
        <v>1.1695906432748537E-2</v>
      </c>
      <c r="L8" s="7">
        <f>serv_rank!L8/171</f>
        <v>5.8479532163742687E-3</v>
      </c>
      <c r="M8" s="7">
        <f>serv_rank!M8/171</f>
        <v>1.7543859649122806E-2</v>
      </c>
      <c r="N8" s="7">
        <f>serv_rank!N8/171</f>
        <v>5.8479532163742687E-2</v>
      </c>
      <c r="O8" s="7">
        <f>serv_rank!O8/171</f>
        <v>4.0935672514619881E-2</v>
      </c>
      <c r="P8" s="7">
        <f>serv_rank!P8/171</f>
        <v>9.3567251461988299E-2</v>
      </c>
      <c r="Q8" s="7">
        <f>serv_rank!Q8/171</f>
        <v>8.771929824561403E-2</v>
      </c>
      <c r="R8" s="7">
        <f>serv_rank!R8/171</f>
        <v>6.4327485380116955E-2</v>
      </c>
      <c r="S8" s="7">
        <f>serv_rank!S8/171</f>
        <v>8.1871345029239762E-2</v>
      </c>
      <c r="T8" s="6"/>
    </row>
    <row r="9" spans="1:20" ht="18" customHeight="1" x14ac:dyDescent="0.25">
      <c r="A9" s="5">
        <v>44044</v>
      </c>
      <c r="B9" s="7">
        <f>serv_rank!B9/171</f>
        <v>8.771929824561403E-2</v>
      </c>
      <c r="C9" s="7">
        <f>serv_rank!C9/171</f>
        <v>3.5087719298245612E-2</v>
      </c>
      <c r="D9" s="7">
        <f>serv_rank!D9/171</f>
        <v>0.10526315789473684</v>
      </c>
      <c r="E9" s="7">
        <f>serv_rank!E9/171</f>
        <v>7.0175438596491224E-2</v>
      </c>
      <c r="F9" s="7">
        <f>serv_rank!F9/171</f>
        <v>4.0935672514619881E-2</v>
      </c>
      <c r="G9" s="7">
        <f>serv_rank!G9/171</f>
        <v>4.6783625730994149E-2</v>
      </c>
      <c r="H9" s="7">
        <f>serv_rank!H9/171</f>
        <v>9.9415204678362568E-2</v>
      </c>
      <c r="I9" s="7">
        <f>serv_rank!I9/171</f>
        <v>1.1695906432748537E-2</v>
      </c>
      <c r="J9" s="7">
        <f>serv_rank!J9/171</f>
        <v>5.8479532163742687E-2</v>
      </c>
      <c r="K9" s="7">
        <f>serv_rank!K9/171</f>
        <v>5.8479532163742687E-3</v>
      </c>
      <c r="L9" s="7">
        <f>serv_rank!L9/171</f>
        <v>1.7543859649122806E-2</v>
      </c>
      <c r="M9" s="7">
        <f>serv_rank!M9/171</f>
        <v>2.3391812865497075E-2</v>
      </c>
      <c r="N9" s="7">
        <f>serv_rank!N9/171</f>
        <v>5.2631578947368418E-2</v>
      </c>
      <c r="O9" s="7">
        <f>serv_rank!O9/171</f>
        <v>2.9239766081871343E-2</v>
      </c>
      <c r="P9" s="7">
        <f>serv_rank!P9/171</f>
        <v>6.4327485380116955E-2</v>
      </c>
      <c r="Q9" s="7">
        <f>serv_rank!Q9/171</f>
        <v>8.1871345029239762E-2</v>
      </c>
      <c r="R9" s="7">
        <f>serv_rank!R9/171</f>
        <v>9.3567251461988299E-2</v>
      </c>
      <c r="S9" s="7">
        <f>serv_rank!S9/171</f>
        <v>7.6023391812865493E-2</v>
      </c>
      <c r="T9" s="6"/>
    </row>
    <row r="10" spans="1:20" ht="18" customHeight="1" x14ac:dyDescent="0.25">
      <c r="A10" s="5">
        <v>44094</v>
      </c>
      <c r="B10" s="7">
        <f>serv_rank!B10/171</f>
        <v>6.4327485380116955E-2</v>
      </c>
      <c r="C10" s="7">
        <f>serv_rank!C10/171</f>
        <v>4.0935672514619881E-2</v>
      </c>
      <c r="D10" s="7">
        <f>serv_rank!D10/171</f>
        <v>0.10526315789473684</v>
      </c>
      <c r="E10" s="7">
        <f>serv_rank!E10/171</f>
        <v>5.8479532163742687E-2</v>
      </c>
      <c r="F10" s="7">
        <f>serv_rank!F10/171</f>
        <v>4.6783625730994149E-2</v>
      </c>
      <c r="G10" s="7">
        <f>serv_rank!G10/171</f>
        <v>3.5087719298245612E-2</v>
      </c>
      <c r="H10" s="7">
        <f>serv_rank!H10/171</f>
        <v>8.1871345029239762E-2</v>
      </c>
      <c r="I10" s="7">
        <f>serv_rank!I10/171</f>
        <v>2.3391812865497075E-2</v>
      </c>
      <c r="J10" s="7">
        <f>serv_rank!J10/171</f>
        <v>9.3567251461988299E-2</v>
      </c>
      <c r="K10" s="7">
        <f>serv_rank!K10/171</f>
        <v>1.1695906432748537E-2</v>
      </c>
      <c r="L10" s="7">
        <f>serv_rank!L10/171</f>
        <v>1.7543859649122806E-2</v>
      </c>
      <c r="M10" s="7">
        <f>serv_rank!M10/171</f>
        <v>5.8479532163742687E-3</v>
      </c>
      <c r="N10" s="7">
        <f>serv_rank!N10/171</f>
        <v>5.2631578947368418E-2</v>
      </c>
      <c r="O10" s="7">
        <f>serv_rank!O10/171</f>
        <v>7.0175438596491224E-2</v>
      </c>
      <c r="P10" s="7">
        <f>serv_rank!P10/171</f>
        <v>2.9239766081871343E-2</v>
      </c>
      <c r="Q10" s="7">
        <f>serv_rank!Q10/171</f>
        <v>8.771929824561403E-2</v>
      </c>
      <c r="R10" s="7">
        <f>serv_rank!R10/171</f>
        <v>9.9415204678362568E-2</v>
      </c>
      <c r="S10" s="7">
        <f>serv_rank!S10/171</f>
        <v>7.6023391812865493E-2</v>
      </c>
      <c r="T10" s="6"/>
    </row>
    <row r="11" spans="1:20" ht="18" customHeight="1" x14ac:dyDescent="0.25">
      <c r="A11" s="5">
        <v>44105</v>
      </c>
      <c r="B11" s="7">
        <f>serv_rank!B11/171</f>
        <v>9.3567251461988299E-2</v>
      </c>
      <c r="C11" s="7">
        <f>serv_rank!C11/171</f>
        <v>8.1871345029239762E-2</v>
      </c>
      <c r="D11" s="7">
        <f>serv_rank!D11/171</f>
        <v>5.8479532163742687E-3</v>
      </c>
      <c r="E11" s="7">
        <f>serv_rank!E11/171</f>
        <v>9.9415204678362568E-2</v>
      </c>
      <c r="F11" s="7">
        <f>serv_rank!F11/171</f>
        <v>7.6023391812865493E-2</v>
      </c>
      <c r="G11" s="7">
        <f>serv_rank!G11/171</f>
        <v>7.0175438596491224E-2</v>
      </c>
      <c r="H11" s="7">
        <f>serv_rank!H11/171</f>
        <v>8.771929824561403E-2</v>
      </c>
      <c r="I11" s="7">
        <f>serv_rank!I11/171</f>
        <v>2.3391812865497075E-2</v>
      </c>
      <c r="J11" s="7">
        <f>serv_rank!J11/171</f>
        <v>6.4327485380116955E-2</v>
      </c>
      <c r="K11" s="7">
        <f>serv_rank!K11/171</f>
        <v>5.2631578947368418E-2</v>
      </c>
      <c r="L11" s="7">
        <f>serv_rank!L11/171</f>
        <v>1.7543859649122806E-2</v>
      </c>
      <c r="M11" s="7">
        <f>serv_rank!M11/171</f>
        <v>4.6783625730994149E-2</v>
      </c>
      <c r="N11" s="7">
        <f>serv_rank!N11/171</f>
        <v>1.1695906432748537E-2</v>
      </c>
      <c r="O11" s="7">
        <f>serv_rank!O11/171</f>
        <v>2.9239766081871343E-2</v>
      </c>
      <c r="P11" s="7">
        <f>serv_rank!P11/171</f>
        <v>3.5087719298245612E-2</v>
      </c>
      <c r="Q11" s="7">
        <f>serv_rank!Q11/171</f>
        <v>0.10526315789473684</v>
      </c>
      <c r="R11" s="7">
        <f>serv_rank!R11/171</f>
        <v>4.0935672514619881E-2</v>
      </c>
      <c r="S11" s="7">
        <f>serv_rank!S11/171</f>
        <v>5.8479532163742687E-2</v>
      </c>
      <c r="T11" s="6"/>
    </row>
    <row r="12" spans="1:20" ht="18" customHeight="1" x14ac:dyDescent="0.25">
      <c r="A12" s="5">
        <v>44136</v>
      </c>
      <c r="B12" s="7">
        <f>serv_rank!B12/171</f>
        <v>8.1871345029239762E-2</v>
      </c>
      <c r="C12" s="7">
        <f>serv_rank!C12/171</f>
        <v>4.6783625730994149E-2</v>
      </c>
      <c r="D12" s="7">
        <f>serv_rank!D12/171</f>
        <v>5.8479532163742687E-3</v>
      </c>
      <c r="E12" s="7">
        <f>serv_rank!E12/171</f>
        <v>7.6023391812865493E-2</v>
      </c>
      <c r="F12" s="7">
        <f>serv_rank!F12/171</f>
        <v>2.3391812865497075E-2</v>
      </c>
      <c r="G12" s="7">
        <f>serv_rank!G12/171</f>
        <v>5.2631578947368418E-2</v>
      </c>
      <c r="H12" s="7">
        <f>serv_rank!H12/171</f>
        <v>9.3567251461988299E-2</v>
      </c>
      <c r="I12" s="7">
        <f>serv_rank!I12/171</f>
        <v>2.9239766081871343E-2</v>
      </c>
      <c r="J12" s="7">
        <f>serv_rank!J12/171</f>
        <v>9.9415204678362568E-2</v>
      </c>
      <c r="K12" s="7">
        <f>serv_rank!K12/171</f>
        <v>4.0935672514619881E-2</v>
      </c>
      <c r="L12" s="7">
        <f>serv_rank!L12/171</f>
        <v>1.1695906432748537E-2</v>
      </c>
      <c r="M12" s="7">
        <f>serv_rank!M12/171</f>
        <v>5.8479532163742687E-2</v>
      </c>
      <c r="N12" s="7">
        <f>serv_rank!N12/171</f>
        <v>3.5087719298245612E-2</v>
      </c>
      <c r="O12" s="7">
        <f>serv_rank!O12/171</f>
        <v>1.7543859649122806E-2</v>
      </c>
      <c r="P12" s="7">
        <f>serv_rank!P12/171</f>
        <v>7.0175438596491224E-2</v>
      </c>
      <c r="Q12" s="7">
        <f>serv_rank!Q12/171</f>
        <v>0.10526315789473684</v>
      </c>
      <c r="R12" s="7">
        <f>serv_rank!R12/171</f>
        <v>8.771929824561403E-2</v>
      </c>
      <c r="S12" s="7">
        <f>serv_rank!S12/171</f>
        <v>6.4327485380116955E-2</v>
      </c>
      <c r="T12" s="6"/>
    </row>
    <row r="13" spans="1:20" ht="18" customHeight="1" x14ac:dyDescent="0.25">
      <c r="A13" s="5">
        <v>44166</v>
      </c>
      <c r="B13" s="7">
        <f>serv_rank!B13/171</f>
        <v>1.1695906432748537E-2</v>
      </c>
      <c r="C13" s="7">
        <f>serv_rank!C13/171</f>
        <v>6.4327485380116955E-2</v>
      </c>
      <c r="D13" s="7">
        <f>serv_rank!D13/171</f>
        <v>5.8479532163742687E-3</v>
      </c>
      <c r="E13" s="7">
        <f>serv_rank!E13/171</f>
        <v>3.5087719298245612E-2</v>
      </c>
      <c r="F13" s="7">
        <f>serv_rank!F13/171</f>
        <v>2.9239766081871343E-2</v>
      </c>
      <c r="G13" s="7">
        <f>serv_rank!G13/171</f>
        <v>7.6023391812865493E-2</v>
      </c>
      <c r="H13" s="7">
        <f>serv_rank!H13/171</f>
        <v>8.771929824561403E-2</v>
      </c>
      <c r="I13" s="7">
        <f>serv_rank!I13/171</f>
        <v>5.8479532163742687E-2</v>
      </c>
      <c r="J13" s="7">
        <f>serv_rank!J13/171</f>
        <v>0.10526315789473684</v>
      </c>
      <c r="K13" s="7">
        <f>serv_rank!K13/171</f>
        <v>4.6783625730994149E-2</v>
      </c>
      <c r="L13" s="7">
        <f>serv_rank!L13/171</f>
        <v>1.7543859649122806E-2</v>
      </c>
      <c r="M13" s="7">
        <f>serv_rank!M13/171</f>
        <v>5.2631578947368418E-2</v>
      </c>
      <c r="N13" s="7">
        <f>serv_rank!N13/171</f>
        <v>4.0935672514619881E-2</v>
      </c>
      <c r="O13" s="7">
        <f>serv_rank!O13/171</f>
        <v>2.3391812865497075E-2</v>
      </c>
      <c r="P13" s="7">
        <f>serv_rank!P13/171</f>
        <v>9.3567251461988299E-2</v>
      </c>
      <c r="Q13" s="7">
        <f>serv_rank!Q13/171</f>
        <v>8.1871345029239762E-2</v>
      </c>
      <c r="R13" s="7">
        <f>serv_rank!R13/171</f>
        <v>7.0175438596491224E-2</v>
      </c>
      <c r="S13" s="7">
        <f>serv_rank!S13/171</f>
        <v>9.9415204678362568E-2</v>
      </c>
      <c r="T13" s="6"/>
    </row>
    <row r="14" spans="1:20" ht="18" customHeight="1" x14ac:dyDescent="0.25">
      <c r="A14" s="5">
        <v>44197</v>
      </c>
      <c r="B14" s="7">
        <f>serv_rank!B14/171</f>
        <v>5.8479532163742687E-2</v>
      </c>
      <c r="C14" s="7">
        <f>serv_rank!C14/171</f>
        <v>6.4327485380116955E-2</v>
      </c>
      <c r="D14" s="7">
        <f>serv_rank!D14/171</f>
        <v>5.8479532163742687E-3</v>
      </c>
      <c r="E14" s="7">
        <f>serv_rank!E14/171</f>
        <v>9.9415204678362568E-2</v>
      </c>
      <c r="F14" s="7">
        <f>serv_rank!F14/171</f>
        <v>1.1695906432748537E-2</v>
      </c>
      <c r="G14" s="7">
        <f>serv_rank!G14/171</f>
        <v>8.771929824561403E-2</v>
      </c>
      <c r="H14" s="7">
        <f>serv_rank!H14/171</f>
        <v>7.6023391812865493E-2</v>
      </c>
      <c r="I14" s="7">
        <f>serv_rank!I14/171</f>
        <v>2.9239766081871343E-2</v>
      </c>
      <c r="J14" s="7">
        <f>serv_rank!J14/171</f>
        <v>7.0175438596491224E-2</v>
      </c>
      <c r="K14" s="7">
        <f>serv_rank!K14/171</f>
        <v>4.6783625730994149E-2</v>
      </c>
      <c r="L14" s="7">
        <f>serv_rank!L14/171</f>
        <v>5.2631578947368418E-2</v>
      </c>
      <c r="M14" s="7">
        <f>serv_rank!M14/171</f>
        <v>4.0935672514619881E-2</v>
      </c>
      <c r="N14" s="7">
        <f>serv_rank!N14/171</f>
        <v>3.5087719298245612E-2</v>
      </c>
      <c r="O14" s="7">
        <f>serv_rank!O14/171</f>
        <v>0.10526315789473684</v>
      </c>
      <c r="P14" s="7">
        <f>serv_rank!P14/171</f>
        <v>1.7543859649122806E-2</v>
      </c>
      <c r="Q14" s="7">
        <f>serv_rank!Q14/171</f>
        <v>8.1871345029239762E-2</v>
      </c>
      <c r="R14" s="7">
        <f>serv_rank!R14/171</f>
        <v>2.3391812865497075E-2</v>
      </c>
      <c r="S14" s="7">
        <f>serv_rank!S14/171</f>
        <v>9.3567251461988299E-2</v>
      </c>
      <c r="T14" s="6"/>
    </row>
    <row r="15" spans="1:20" ht="18" customHeight="1" x14ac:dyDescent="0.25">
      <c r="A15" s="5">
        <v>44228</v>
      </c>
      <c r="B15" s="7">
        <f>serv_rank!B15/171</f>
        <v>0.10526315789473684</v>
      </c>
      <c r="C15" s="7">
        <f>serv_rank!C15/171</f>
        <v>2.9239766081871343E-2</v>
      </c>
      <c r="D15" s="7">
        <f>serv_rank!D15/171</f>
        <v>8.1871345029239762E-2</v>
      </c>
      <c r="E15" s="7">
        <f>serv_rank!E15/171</f>
        <v>8.771929824561403E-2</v>
      </c>
      <c r="F15" s="7">
        <f>serv_rank!F15/171</f>
        <v>2.3391812865497075E-2</v>
      </c>
      <c r="G15" s="7">
        <f>serv_rank!G15/171</f>
        <v>4.6783625730994149E-2</v>
      </c>
      <c r="H15" s="7">
        <f>serv_rank!H15/171</f>
        <v>6.4327485380116955E-2</v>
      </c>
      <c r="I15" s="7">
        <f>serv_rank!I15/171</f>
        <v>3.5087719298245612E-2</v>
      </c>
      <c r="J15" s="7">
        <f>serv_rank!J15/171</f>
        <v>4.0935672514619881E-2</v>
      </c>
      <c r="K15" s="7">
        <f>serv_rank!K15/171</f>
        <v>1.1695906432748537E-2</v>
      </c>
      <c r="L15" s="7">
        <f>serv_rank!L15/171</f>
        <v>1.7543859649122806E-2</v>
      </c>
      <c r="M15" s="7">
        <f>serv_rank!M15/171</f>
        <v>5.2631578947368418E-2</v>
      </c>
      <c r="N15" s="7">
        <f>serv_rank!N15/171</f>
        <v>7.6023391812865493E-2</v>
      </c>
      <c r="O15" s="7">
        <f>serv_rank!O15/171</f>
        <v>5.8479532163742687E-3</v>
      </c>
      <c r="P15" s="7">
        <f>serv_rank!P15/171</f>
        <v>5.8479532163742687E-2</v>
      </c>
      <c r="Q15" s="7">
        <f>serv_rank!Q15/171</f>
        <v>9.3567251461988299E-2</v>
      </c>
      <c r="R15" s="7">
        <f>serv_rank!R15/171</f>
        <v>7.0175438596491224E-2</v>
      </c>
      <c r="S15" s="7">
        <f>serv_rank!S15/171</f>
        <v>9.9415204678362568E-2</v>
      </c>
      <c r="T15" s="6"/>
    </row>
    <row r="16" spans="1:20" ht="18" customHeight="1" x14ac:dyDescent="0.25">
      <c r="A16" s="5">
        <v>44256</v>
      </c>
      <c r="B16" s="7">
        <f>serv_rank!B16/171</f>
        <v>7.0175438596491224E-2</v>
      </c>
      <c r="C16" s="7">
        <f>serv_rank!C16/171</f>
        <v>7.6023391812865493E-2</v>
      </c>
      <c r="D16" s="7">
        <f>serv_rank!D16/171</f>
        <v>0.10526315789473684</v>
      </c>
      <c r="E16" s="7">
        <f>serv_rank!E16/171</f>
        <v>8.1871345029239762E-2</v>
      </c>
      <c r="F16" s="7">
        <f>serv_rank!F16/171</f>
        <v>1.1695906432748537E-2</v>
      </c>
      <c r="G16" s="7">
        <f>serv_rank!G16/171</f>
        <v>4.6783625730994149E-2</v>
      </c>
      <c r="H16" s="7">
        <f>serv_rank!H16/171</f>
        <v>3.5087719298245612E-2</v>
      </c>
      <c r="I16" s="7">
        <f>serv_rank!I16/171</f>
        <v>2.3391812865497075E-2</v>
      </c>
      <c r="J16" s="7">
        <f>serv_rank!J16/171</f>
        <v>8.771929824561403E-2</v>
      </c>
      <c r="K16" s="7">
        <f>serv_rank!K16/171</f>
        <v>9.3567251461988299E-2</v>
      </c>
      <c r="L16" s="7">
        <f>serv_rank!L16/171</f>
        <v>5.8479532163742687E-3</v>
      </c>
      <c r="M16" s="7">
        <f>serv_rank!M16/171</f>
        <v>2.9239766081871343E-2</v>
      </c>
      <c r="N16" s="7">
        <f>serv_rank!N16/171</f>
        <v>5.2631578947368418E-2</v>
      </c>
      <c r="O16" s="7">
        <f>serv_rank!O16/171</f>
        <v>6.4327485380116955E-2</v>
      </c>
      <c r="P16" s="7">
        <f>serv_rank!P16/171</f>
        <v>1.7543859649122806E-2</v>
      </c>
      <c r="Q16" s="7">
        <f>serv_rank!Q16/171</f>
        <v>5.8479532163742687E-2</v>
      </c>
      <c r="R16" s="7">
        <f>serv_rank!R16/171</f>
        <v>4.0935672514619881E-2</v>
      </c>
      <c r="S16" s="7">
        <f>serv_rank!S16/171</f>
        <v>9.9415204678362568E-2</v>
      </c>
      <c r="T16" s="6"/>
    </row>
    <row r="17" spans="1:20" ht="18" customHeight="1" x14ac:dyDescent="0.25">
      <c r="A17" s="5">
        <v>44287</v>
      </c>
      <c r="B17" s="7">
        <f>serv_rank!B17/171</f>
        <v>1.1695906432748537E-2</v>
      </c>
      <c r="C17" s="7">
        <f>serv_rank!C17/171</f>
        <v>5.8479532163742687E-3</v>
      </c>
      <c r="D17" s="7">
        <f>serv_rank!D17/171</f>
        <v>0.10526315789473684</v>
      </c>
      <c r="E17" s="7">
        <f>serv_rank!E17/171</f>
        <v>8.771929824561403E-2</v>
      </c>
      <c r="F17" s="7">
        <f>serv_rank!F17/171</f>
        <v>2.3391812865497075E-2</v>
      </c>
      <c r="G17" s="7">
        <f>serv_rank!G17/171</f>
        <v>4.6783625730994149E-2</v>
      </c>
      <c r="H17" s="7">
        <f>serv_rank!H17/171</f>
        <v>3.5087719298245612E-2</v>
      </c>
      <c r="I17" s="7">
        <f>serv_rank!I17/171</f>
        <v>1.7543859649122806E-2</v>
      </c>
      <c r="J17" s="7">
        <f>serv_rank!J17/171</f>
        <v>9.3567251461988299E-2</v>
      </c>
      <c r="K17" s="7">
        <f>serv_rank!K17/171</f>
        <v>4.0935672514619881E-2</v>
      </c>
      <c r="L17" s="7">
        <f>serv_rank!L17/171</f>
        <v>5.2631578947368418E-2</v>
      </c>
      <c r="M17" s="7">
        <f>serv_rank!M17/171</f>
        <v>2.9239766081871343E-2</v>
      </c>
      <c r="N17" s="7">
        <f>serv_rank!N17/171</f>
        <v>7.0175438596491224E-2</v>
      </c>
      <c r="O17" s="7">
        <f>serv_rank!O17/171</f>
        <v>8.1871345029239762E-2</v>
      </c>
      <c r="P17" s="7">
        <f>serv_rank!P17/171</f>
        <v>5.8479532163742687E-2</v>
      </c>
      <c r="Q17" s="7">
        <f>serv_rank!Q17/171</f>
        <v>6.4327485380116955E-2</v>
      </c>
      <c r="R17" s="7">
        <f>serv_rank!R17/171</f>
        <v>7.6023391812865493E-2</v>
      </c>
      <c r="S17" s="7">
        <f>serv_rank!S17/171</f>
        <v>9.9415204678362568E-2</v>
      </c>
      <c r="T17" s="6"/>
    </row>
    <row r="18" spans="1:20" ht="18" customHeight="1" x14ac:dyDescent="0.25">
      <c r="A18" s="5">
        <v>44317</v>
      </c>
      <c r="B18" s="7">
        <f>serv_rank!B18/171</f>
        <v>3.5087719298245612E-2</v>
      </c>
      <c r="C18" s="7">
        <f>serv_rank!C18/171</f>
        <v>2.3391812865497075E-2</v>
      </c>
      <c r="D18" s="7">
        <f>serv_rank!D18/171</f>
        <v>8.771929824561403E-2</v>
      </c>
      <c r="E18" s="7">
        <f>serv_rank!E18/171</f>
        <v>9.3567251461988299E-2</v>
      </c>
      <c r="F18" s="7">
        <f>serv_rank!F18/171</f>
        <v>5.8479532163742687E-3</v>
      </c>
      <c r="G18" s="7">
        <f>serv_rank!G18/171</f>
        <v>6.4327485380116955E-2</v>
      </c>
      <c r="H18" s="7">
        <f>serv_rank!H18/171</f>
        <v>2.9239766081871343E-2</v>
      </c>
      <c r="I18" s="7">
        <f>serv_rank!I18/171</f>
        <v>4.0935672514619881E-2</v>
      </c>
      <c r="J18" s="7">
        <f>serv_rank!J18/171</f>
        <v>5.8479532163742687E-2</v>
      </c>
      <c r="K18" s="7">
        <f>serv_rank!K18/171</f>
        <v>7.0175438596491224E-2</v>
      </c>
      <c r="L18" s="7">
        <f>serv_rank!L18/171</f>
        <v>4.6783625730994149E-2</v>
      </c>
      <c r="M18" s="7">
        <f>serv_rank!M18/171</f>
        <v>1.1695906432748537E-2</v>
      </c>
      <c r="N18" s="7">
        <f>serv_rank!N18/171</f>
        <v>1.7543859649122806E-2</v>
      </c>
      <c r="O18" s="7">
        <f>serv_rank!O18/171</f>
        <v>7.6023391812865493E-2</v>
      </c>
      <c r="P18" s="7">
        <f>serv_rank!P18/171</f>
        <v>0.10526315789473684</v>
      </c>
      <c r="Q18" s="7">
        <f>serv_rank!Q18/171</f>
        <v>8.1871345029239762E-2</v>
      </c>
      <c r="R18" s="7">
        <f>serv_rank!R18/171</f>
        <v>5.2631578947368418E-2</v>
      </c>
      <c r="S18" s="7">
        <f>serv_rank!S18/171</f>
        <v>9.9415204678362568E-2</v>
      </c>
      <c r="T18" s="6"/>
    </row>
    <row r="19" spans="1:20" ht="18" customHeight="1" x14ac:dyDescent="0.25">
      <c r="A19" s="5">
        <v>44348</v>
      </c>
      <c r="B19" s="7">
        <f>serv_rank!B19/171</f>
        <v>7.0175438596491224E-2</v>
      </c>
      <c r="C19" s="7">
        <f>serv_rank!C19/171</f>
        <v>1.1695906432748537E-2</v>
      </c>
      <c r="D19" s="7">
        <f>serv_rank!D19/171</f>
        <v>0.10526315789473684</v>
      </c>
      <c r="E19" s="7">
        <f>serv_rank!E19/171</f>
        <v>5.2631578947368418E-2</v>
      </c>
      <c r="F19" s="7">
        <f>serv_rank!F19/171</f>
        <v>2.3391812865497075E-2</v>
      </c>
      <c r="G19" s="7">
        <f>serv_rank!G19/171</f>
        <v>2.9239766081871343E-2</v>
      </c>
      <c r="H19" s="7">
        <f>serv_rank!H19/171</f>
        <v>4.6783625730994149E-2</v>
      </c>
      <c r="I19" s="7">
        <f>serv_rank!I19/171</f>
        <v>3.5087719298245612E-2</v>
      </c>
      <c r="J19" s="7">
        <f>serv_rank!J19/171</f>
        <v>7.6023391812865493E-2</v>
      </c>
      <c r="K19" s="7">
        <f>serv_rank!K19/171</f>
        <v>5.8479532163742687E-2</v>
      </c>
      <c r="L19" s="7">
        <f>serv_rank!L19/171</f>
        <v>9.9415204678362568E-2</v>
      </c>
      <c r="M19" s="7">
        <f>serv_rank!M19/171</f>
        <v>1.7543859649122806E-2</v>
      </c>
      <c r="N19" s="7">
        <f>serv_rank!N19/171</f>
        <v>4.0935672514619881E-2</v>
      </c>
      <c r="O19" s="7">
        <f>serv_rank!O19/171</f>
        <v>5.8479532163742687E-3</v>
      </c>
      <c r="P19" s="7">
        <f>serv_rank!P19/171</f>
        <v>8.1871345029239762E-2</v>
      </c>
      <c r="Q19" s="7">
        <f>serv_rank!Q19/171</f>
        <v>9.3567251461988299E-2</v>
      </c>
      <c r="R19" s="7">
        <f>serv_rank!R19/171</f>
        <v>6.4327485380116955E-2</v>
      </c>
      <c r="S19" s="7">
        <f>serv_rank!S19/171</f>
        <v>8.771929824561403E-2</v>
      </c>
      <c r="T19" s="6"/>
    </row>
    <row r="20" spans="1:20" ht="18" customHeight="1" x14ac:dyDescent="0.25">
      <c r="A20" s="5">
        <v>44378</v>
      </c>
      <c r="B20" s="7">
        <f>serv_rank!B20/171</f>
        <v>9.3567251461988299E-2</v>
      </c>
      <c r="C20" s="7">
        <f>serv_rank!C20/171</f>
        <v>5.8479532163742687E-3</v>
      </c>
      <c r="D20" s="7">
        <f>serv_rank!D20/171</f>
        <v>0.10526315789473684</v>
      </c>
      <c r="E20" s="7">
        <f>serv_rank!E20/171</f>
        <v>4.6783625730994149E-2</v>
      </c>
      <c r="F20" s="7">
        <f>serv_rank!F20/171</f>
        <v>2.3391812865497075E-2</v>
      </c>
      <c r="G20" s="7">
        <f>serv_rank!G20/171</f>
        <v>1.7543859649122806E-2</v>
      </c>
      <c r="H20" s="7">
        <f>serv_rank!H20/171</f>
        <v>4.0935672514619881E-2</v>
      </c>
      <c r="I20" s="7">
        <f>serv_rank!I20/171</f>
        <v>6.4327485380116955E-2</v>
      </c>
      <c r="J20" s="7">
        <f>serv_rank!J20/171</f>
        <v>8.771929824561403E-2</v>
      </c>
      <c r="K20" s="7">
        <f>serv_rank!K20/171</f>
        <v>1.1695906432748537E-2</v>
      </c>
      <c r="L20" s="7">
        <f>serv_rank!L20/171</f>
        <v>5.8479532163742687E-2</v>
      </c>
      <c r="M20" s="7">
        <f>serv_rank!M20/171</f>
        <v>2.9239766081871343E-2</v>
      </c>
      <c r="N20" s="7">
        <f>serv_rank!N20/171</f>
        <v>5.2631578947368418E-2</v>
      </c>
      <c r="O20" s="7">
        <f>serv_rank!O20/171</f>
        <v>7.6023391812865493E-2</v>
      </c>
      <c r="P20" s="7">
        <f>serv_rank!P20/171</f>
        <v>8.1871345029239762E-2</v>
      </c>
      <c r="Q20" s="7">
        <f>serv_rank!Q20/171</f>
        <v>7.0175438596491224E-2</v>
      </c>
      <c r="R20" s="7">
        <f>serv_rank!R20/171</f>
        <v>3.5087719298245612E-2</v>
      </c>
      <c r="S20" s="7">
        <f>serv_rank!S20/171</f>
        <v>9.9415204678362568E-2</v>
      </c>
      <c r="T20" s="6"/>
    </row>
    <row r="21" spans="1:20" ht="18" customHeight="1" x14ac:dyDescent="0.25">
      <c r="A21" s="5">
        <v>44409</v>
      </c>
      <c r="B21" s="7">
        <f>serv_rank!B21/171</f>
        <v>0.10526315789473684</v>
      </c>
      <c r="C21" s="7">
        <f>serv_rank!C21/171</f>
        <v>2.9239766081871343E-2</v>
      </c>
      <c r="D21" s="7">
        <f>serv_rank!D21/171</f>
        <v>5.8479532163742687E-3</v>
      </c>
      <c r="E21" s="7">
        <f>serv_rank!E21/171</f>
        <v>9.3567251461988299E-2</v>
      </c>
      <c r="F21" s="7">
        <f>serv_rank!F21/171</f>
        <v>8.771929824561403E-2</v>
      </c>
      <c r="G21" s="7">
        <f>serv_rank!G21/171</f>
        <v>2.3391812865497075E-2</v>
      </c>
      <c r="H21" s="7">
        <f>serv_rank!H21/171</f>
        <v>4.6783625730994149E-2</v>
      </c>
      <c r="I21" s="7">
        <f>serv_rank!I21/171</f>
        <v>8.1871345029239762E-2</v>
      </c>
      <c r="J21" s="7">
        <f>serv_rank!J21/171</f>
        <v>3.5087719298245612E-2</v>
      </c>
      <c r="K21" s="7">
        <f>serv_rank!K21/171</f>
        <v>7.6023391812865493E-2</v>
      </c>
      <c r="L21" s="7">
        <f>serv_rank!L21/171</f>
        <v>7.0175438596491224E-2</v>
      </c>
      <c r="M21" s="7">
        <f>serv_rank!M21/171</f>
        <v>1.1695906432748537E-2</v>
      </c>
      <c r="N21" s="7">
        <f>serv_rank!N21/171</f>
        <v>5.8479532163742687E-2</v>
      </c>
      <c r="O21" s="7">
        <f>serv_rank!O21/171</f>
        <v>1.7543859649122806E-2</v>
      </c>
      <c r="P21" s="7">
        <f>serv_rank!P21/171</f>
        <v>9.9415204678362568E-2</v>
      </c>
      <c r="Q21" s="7">
        <f>serv_rank!Q21/171</f>
        <v>5.2631578947368418E-2</v>
      </c>
      <c r="R21" s="7">
        <f>serv_rank!R21/171</f>
        <v>6.4327485380116955E-2</v>
      </c>
      <c r="S21" s="7">
        <f>serv_rank!S21/171</f>
        <v>4.0935672514619881E-2</v>
      </c>
      <c r="T21" s="6"/>
    </row>
    <row r="22" spans="1:20" ht="18" customHeight="1" x14ac:dyDescent="0.25">
      <c r="A22" s="5">
        <v>44440</v>
      </c>
      <c r="B22" s="7">
        <f>serv_rank!B22/171</f>
        <v>7.0175438596491224E-2</v>
      </c>
      <c r="C22" s="7">
        <f>serv_rank!C22/171</f>
        <v>5.8479532163742687E-3</v>
      </c>
      <c r="D22" s="7">
        <f>serv_rank!D22/171</f>
        <v>9.9415204678362568E-2</v>
      </c>
      <c r="E22" s="7">
        <f>serv_rank!E22/171</f>
        <v>6.4327485380116955E-2</v>
      </c>
      <c r="F22" s="7">
        <f>serv_rank!F22/171</f>
        <v>8.771929824561403E-2</v>
      </c>
      <c r="G22" s="7">
        <f>serv_rank!G22/171</f>
        <v>1.1695906432748537E-2</v>
      </c>
      <c r="H22" s="7">
        <f>serv_rank!H22/171</f>
        <v>3.5087719298245612E-2</v>
      </c>
      <c r="I22" s="7">
        <f>serv_rank!I22/171</f>
        <v>4.0935672514619881E-2</v>
      </c>
      <c r="J22" s="7">
        <f>serv_rank!J22/171</f>
        <v>9.3567251461988299E-2</v>
      </c>
      <c r="K22" s="7">
        <f>serv_rank!K22/171</f>
        <v>5.8479532163742687E-2</v>
      </c>
      <c r="L22" s="7">
        <f>serv_rank!L22/171</f>
        <v>4.6783625730994149E-2</v>
      </c>
      <c r="M22" s="7">
        <f>serv_rank!M22/171</f>
        <v>5.2631578947368418E-2</v>
      </c>
      <c r="N22" s="7">
        <f>serv_rank!N22/171</f>
        <v>2.3391812865497075E-2</v>
      </c>
      <c r="O22" s="7">
        <f>serv_rank!O22/171</f>
        <v>7.6023391812865493E-2</v>
      </c>
      <c r="P22" s="7">
        <f>serv_rank!P22/171</f>
        <v>0.10526315789473684</v>
      </c>
      <c r="Q22" s="7">
        <f>serv_rank!Q22/171</f>
        <v>8.1871345029239762E-2</v>
      </c>
      <c r="R22" s="7">
        <f>serv_rank!R22/171</f>
        <v>2.9239766081871343E-2</v>
      </c>
      <c r="S22" s="7">
        <f>serv_rank!S22/171</f>
        <v>1.7543859649122806E-2</v>
      </c>
      <c r="T22" s="6"/>
    </row>
    <row r="23" spans="1:20" ht="18" customHeight="1" x14ac:dyDescent="0.25">
      <c r="A23" s="5">
        <v>44470</v>
      </c>
      <c r="B23" s="7">
        <f>serv_rank!B23/171</f>
        <v>4.6783625730994149E-2</v>
      </c>
      <c r="C23" s="7">
        <f>serv_rank!C23/171</f>
        <v>3.5087719298245612E-2</v>
      </c>
      <c r="D23" s="7">
        <f>serv_rank!D23/171</f>
        <v>8.771929824561403E-2</v>
      </c>
      <c r="E23" s="7">
        <f>serv_rank!E23/171</f>
        <v>7.0175438596491224E-2</v>
      </c>
      <c r="F23" s="7">
        <f>serv_rank!F23/171</f>
        <v>5.8479532163742687E-2</v>
      </c>
      <c r="G23" s="7">
        <f>serv_rank!G23/171</f>
        <v>2.3391812865497075E-2</v>
      </c>
      <c r="H23" s="7">
        <f>serv_rank!H23/171</f>
        <v>4.0935672514619881E-2</v>
      </c>
      <c r="I23" s="7">
        <f>serv_rank!I23/171</f>
        <v>6.4327485380116955E-2</v>
      </c>
      <c r="J23" s="7">
        <f>serv_rank!J23/171</f>
        <v>2.9239766081871343E-2</v>
      </c>
      <c r="K23" s="7">
        <f>serv_rank!K23/171</f>
        <v>5.8479532163742687E-3</v>
      </c>
      <c r="L23" s="7">
        <f>serv_rank!L23/171</f>
        <v>8.1871345029239762E-2</v>
      </c>
      <c r="M23" s="7">
        <f>serv_rank!M23/171</f>
        <v>1.7543859649122806E-2</v>
      </c>
      <c r="N23" s="7">
        <f>serv_rank!N23/171</f>
        <v>1.1695906432748537E-2</v>
      </c>
      <c r="O23" s="7">
        <f>serv_rank!O23/171</f>
        <v>9.3567251461988299E-2</v>
      </c>
      <c r="P23" s="7">
        <f>serv_rank!P23/171</f>
        <v>0.10526315789473684</v>
      </c>
      <c r="Q23" s="7">
        <f>serv_rank!Q23/171</f>
        <v>9.9415204678362568E-2</v>
      </c>
      <c r="R23" s="7">
        <f>serv_rank!R23/171</f>
        <v>7.6023391812865493E-2</v>
      </c>
      <c r="S23" s="7">
        <f>serv_rank!S23/171</f>
        <v>5.2631578947368418E-2</v>
      </c>
      <c r="T23" s="6"/>
    </row>
    <row r="24" spans="1:20" ht="18" customHeight="1" x14ac:dyDescent="0.25">
      <c r="A24" s="5">
        <v>44501</v>
      </c>
      <c r="B24" s="7">
        <f>serv_rank!B24/171</f>
        <v>5.8479532163742687E-3</v>
      </c>
      <c r="C24" s="7">
        <f>serv_rank!C24/171</f>
        <v>8.771929824561403E-2</v>
      </c>
      <c r="D24" s="7">
        <f>serv_rank!D24/171</f>
        <v>4.0935672514619881E-2</v>
      </c>
      <c r="E24" s="7">
        <f>serv_rank!E24/171</f>
        <v>5.2631578947368418E-2</v>
      </c>
      <c r="F24" s="7">
        <f>serv_rank!F24/171</f>
        <v>1.1695906432748537E-2</v>
      </c>
      <c r="G24" s="7">
        <f>serv_rank!G24/171</f>
        <v>2.3391812865497075E-2</v>
      </c>
      <c r="H24" s="7">
        <f>serv_rank!H24/171</f>
        <v>4.6783625730994149E-2</v>
      </c>
      <c r="I24" s="7">
        <f>serv_rank!I24/171</f>
        <v>1.7543859649122806E-2</v>
      </c>
      <c r="J24" s="7">
        <f>serv_rank!J24/171</f>
        <v>8.1871345029239762E-2</v>
      </c>
      <c r="K24" s="7">
        <f>serv_rank!K24/171</f>
        <v>6.4327485380116955E-2</v>
      </c>
      <c r="L24" s="7">
        <f>serv_rank!L24/171</f>
        <v>3.5087719298245612E-2</v>
      </c>
      <c r="M24" s="7">
        <f>serv_rank!M24/171</f>
        <v>2.9239766081871343E-2</v>
      </c>
      <c r="N24" s="7">
        <f>serv_rank!N24/171</f>
        <v>5.8479532163742687E-2</v>
      </c>
      <c r="O24" s="7">
        <f>serv_rank!O24/171</f>
        <v>0.10526315789473684</v>
      </c>
      <c r="P24" s="7">
        <f>serv_rank!P24/171</f>
        <v>9.3567251461988299E-2</v>
      </c>
      <c r="Q24" s="7">
        <f>serv_rank!Q24/171</f>
        <v>9.9415204678362568E-2</v>
      </c>
      <c r="R24" s="7">
        <f>serv_rank!R24/171</f>
        <v>7.6023391812865493E-2</v>
      </c>
      <c r="S24" s="7">
        <f>serv_rank!S24/171</f>
        <v>7.0175438596491224E-2</v>
      </c>
      <c r="T24" s="6"/>
    </row>
    <row r="25" spans="1:20" ht="18" customHeight="1" x14ac:dyDescent="0.25">
      <c r="A25" s="5">
        <v>44531</v>
      </c>
      <c r="B25" s="7">
        <f>serv_rank!B25/171</f>
        <v>0.10526315789473684</v>
      </c>
      <c r="C25" s="7">
        <f>serv_rank!C25/171</f>
        <v>1.1695906432748537E-2</v>
      </c>
      <c r="D25" s="7">
        <f>serv_rank!D25/171</f>
        <v>5.8479532163742687E-2</v>
      </c>
      <c r="E25" s="7">
        <f>serv_rank!E25/171</f>
        <v>9.3567251461988299E-2</v>
      </c>
      <c r="F25" s="7">
        <f>serv_rank!F25/171</f>
        <v>1.7543859649122806E-2</v>
      </c>
      <c r="G25" s="7">
        <f>serv_rank!G25/171</f>
        <v>3.5087719298245612E-2</v>
      </c>
      <c r="H25" s="7">
        <f>serv_rank!H25/171</f>
        <v>6.4327485380116955E-2</v>
      </c>
      <c r="I25" s="7">
        <f>serv_rank!I25/171</f>
        <v>2.9239766081871343E-2</v>
      </c>
      <c r="J25" s="7">
        <f>serv_rank!J25/171</f>
        <v>8.1871345029239762E-2</v>
      </c>
      <c r="K25" s="7">
        <f>serv_rank!K25/171</f>
        <v>5.8479532163742687E-3</v>
      </c>
      <c r="L25" s="7">
        <f>serv_rank!L25/171</f>
        <v>7.0175438596491224E-2</v>
      </c>
      <c r="M25" s="7">
        <f>serv_rank!M25/171</f>
        <v>4.6783625730994149E-2</v>
      </c>
      <c r="N25" s="7">
        <f>serv_rank!N25/171</f>
        <v>4.0935672514619881E-2</v>
      </c>
      <c r="O25" s="7">
        <f>serv_rank!O25/171</f>
        <v>2.3391812865497075E-2</v>
      </c>
      <c r="P25" s="7">
        <f>serv_rank!P25/171</f>
        <v>7.6023391812865493E-2</v>
      </c>
      <c r="Q25" s="7">
        <f>serv_rank!Q25/171</f>
        <v>8.771929824561403E-2</v>
      </c>
      <c r="R25" s="7">
        <f>serv_rank!R25/171</f>
        <v>5.2631578947368418E-2</v>
      </c>
      <c r="S25" s="7">
        <f>serv_rank!S25/171</f>
        <v>9.9415204678362568E-2</v>
      </c>
      <c r="T25" s="6"/>
    </row>
    <row r="26" spans="1:20" ht="18" customHeight="1" x14ac:dyDescent="0.25">
      <c r="A26" s="5">
        <v>44562</v>
      </c>
      <c r="B26" s="7">
        <f>serv_rank!B26/171</f>
        <v>2.3391812865497075E-2</v>
      </c>
      <c r="C26" s="7">
        <f>serv_rank!C26/171</f>
        <v>5.8479532163742687E-3</v>
      </c>
      <c r="D26" s="7">
        <f>serv_rank!D26/171</f>
        <v>1.1695906432748537E-2</v>
      </c>
      <c r="E26" s="7">
        <f>serv_rank!E26/171</f>
        <v>0.10526315789473684</v>
      </c>
      <c r="F26" s="7">
        <f>serv_rank!F26/171</f>
        <v>5.8479532163742687E-2</v>
      </c>
      <c r="G26" s="7">
        <f>serv_rank!G26/171</f>
        <v>5.2631578947368418E-2</v>
      </c>
      <c r="H26" s="7">
        <f>serv_rank!H26/171</f>
        <v>9.3567251461988299E-2</v>
      </c>
      <c r="I26" s="7">
        <f>serv_rank!I26/171</f>
        <v>1.7543859649122806E-2</v>
      </c>
      <c r="J26" s="7">
        <f>serv_rank!J26/171</f>
        <v>4.0935672514619881E-2</v>
      </c>
      <c r="K26" s="7">
        <f>serv_rank!K26/171</f>
        <v>4.6783625730994149E-2</v>
      </c>
      <c r="L26" s="7">
        <f>serv_rank!L26/171</f>
        <v>6.4327485380116955E-2</v>
      </c>
      <c r="M26" s="7">
        <f>serv_rank!M26/171</f>
        <v>7.0175438596491224E-2</v>
      </c>
      <c r="N26" s="7">
        <f>serv_rank!N26/171</f>
        <v>8.771929824561403E-2</v>
      </c>
      <c r="O26" s="7">
        <f>serv_rank!O26/171</f>
        <v>8.1871345029239762E-2</v>
      </c>
      <c r="P26" s="7">
        <f>serv_rank!P26/171</f>
        <v>9.9415204678362568E-2</v>
      </c>
      <c r="Q26" s="7">
        <f>serv_rank!Q26/171</f>
        <v>3.5087719298245612E-2</v>
      </c>
      <c r="R26" s="7">
        <f>serv_rank!R26/171</f>
        <v>7.6023391812865493E-2</v>
      </c>
      <c r="S26" s="7">
        <f>serv_rank!S26/171</f>
        <v>2.9239766081871343E-2</v>
      </c>
      <c r="T26" s="6"/>
    </row>
    <row r="27" spans="1:20" ht="18" customHeight="1" x14ac:dyDescent="0.25">
      <c r="A27" s="5">
        <v>44593</v>
      </c>
      <c r="B27" s="7">
        <f>serv_rank!B27/171</f>
        <v>2.3391812865497075E-2</v>
      </c>
      <c r="C27" s="7">
        <f>serv_rank!C27/171</f>
        <v>1.7543859649122806E-2</v>
      </c>
      <c r="D27" s="7">
        <f>serv_rank!D27/171</f>
        <v>1.1695906432748537E-2</v>
      </c>
      <c r="E27" s="7">
        <f>serv_rank!E27/171</f>
        <v>0.10526315789473684</v>
      </c>
      <c r="F27" s="7">
        <f>serv_rank!F27/171</f>
        <v>9.3567251461988299E-2</v>
      </c>
      <c r="G27" s="7">
        <f>serv_rank!G27/171</f>
        <v>5.8479532163742687E-2</v>
      </c>
      <c r="H27" s="7">
        <f>serv_rank!H27/171</f>
        <v>6.4327485380116955E-2</v>
      </c>
      <c r="I27" s="7">
        <f>serv_rank!I27/171</f>
        <v>3.5087719298245612E-2</v>
      </c>
      <c r="J27" s="7">
        <f>serv_rank!J27/171</f>
        <v>8.771929824561403E-2</v>
      </c>
      <c r="K27" s="7">
        <f>serv_rank!K27/171</f>
        <v>7.6023391812865493E-2</v>
      </c>
      <c r="L27" s="7">
        <f>serv_rank!L27/171</f>
        <v>2.9239766081871343E-2</v>
      </c>
      <c r="M27" s="7">
        <f>serv_rank!M27/171</f>
        <v>5.2631578947368418E-2</v>
      </c>
      <c r="N27" s="7">
        <f>serv_rank!N27/171</f>
        <v>4.6783625730994149E-2</v>
      </c>
      <c r="O27" s="7">
        <f>serv_rank!O27/171</f>
        <v>5.8479532163742687E-3</v>
      </c>
      <c r="P27" s="7">
        <f>serv_rank!P27/171</f>
        <v>4.0935672514619881E-2</v>
      </c>
      <c r="Q27" s="7">
        <f>serv_rank!Q27/171</f>
        <v>9.9415204678362568E-2</v>
      </c>
      <c r="R27" s="7">
        <f>serv_rank!R27/171</f>
        <v>7.0175438596491224E-2</v>
      </c>
      <c r="S27" s="7">
        <f>serv_rank!S27/171</f>
        <v>8.1871345029239762E-2</v>
      </c>
      <c r="T27" s="6"/>
    </row>
    <row r="28" spans="1:20" ht="18" customHeight="1" x14ac:dyDescent="0.25">
      <c r="A28" s="5">
        <v>44621</v>
      </c>
      <c r="B28" s="7">
        <f>serv_rank!B28/171</f>
        <v>7.6023391812865493E-2</v>
      </c>
      <c r="C28" s="7">
        <f>serv_rank!C28/171</f>
        <v>5.8479532163742687E-3</v>
      </c>
      <c r="D28" s="7">
        <f>serv_rank!D28/171</f>
        <v>9.9415204678362568E-2</v>
      </c>
      <c r="E28" s="7">
        <f>serv_rank!E28/171</f>
        <v>8.771929824561403E-2</v>
      </c>
      <c r="F28" s="7">
        <f>serv_rank!F28/171</f>
        <v>0.10526315789473684</v>
      </c>
      <c r="G28" s="7">
        <f>serv_rank!G28/171</f>
        <v>2.9239766081871343E-2</v>
      </c>
      <c r="H28" s="7">
        <f>serv_rank!H28/171</f>
        <v>1.1695906432748537E-2</v>
      </c>
      <c r="I28" s="7">
        <f>serv_rank!I28/171</f>
        <v>5.8479532163742687E-2</v>
      </c>
      <c r="J28" s="7">
        <f>serv_rank!J28/171</f>
        <v>3.5087719298245612E-2</v>
      </c>
      <c r="K28" s="7">
        <f>serv_rank!K28/171</f>
        <v>1.7543859649122806E-2</v>
      </c>
      <c r="L28" s="7">
        <f>serv_rank!L28/171</f>
        <v>7.0175438596491224E-2</v>
      </c>
      <c r="M28" s="7">
        <f>serv_rank!M28/171</f>
        <v>2.3391812865497075E-2</v>
      </c>
      <c r="N28" s="7">
        <f>serv_rank!N28/171</f>
        <v>4.6783625730994149E-2</v>
      </c>
      <c r="O28" s="7">
        <f>serv_rank!O28/171</f>
        <v>6.4327485380116955E-2</v>
      </c>
      <c r="P28" s="7">
        <f>serv_rank!P28/171</f>
        <v>4.0935672514619881E-2</v>
      </c>
      <c r="Q28" s="7">
        <f>serv_rank!Q28/171</f>
        <v>5.2631578947368418E-2</v>
      </c>
      <c r="R28" s="7">
        <f>serv_rank!R28/171</f>
        <v>9.3567251461988299E-2</v>
      </c>
      <c r="S28" s="7">
        <f>serv_rank!S28/171</f>
        <v>8.1871345029239762E-2</v>
      </c>
      <c r="T28" s="6"/>
    </row>
    <row r="29" spans="1:20" ht="18" customHeight="1" x14ac:dyDescent="0.25">
      <c r="A29" s="5">
        <v>44652</v>
      </c>
      <c r="B29" s="7">
        <f>serv_rank!B29/171</f>
        <v>8.1871345029239762E-2</v>
      </c>
      <c r="C29" s="7">
        <f>serv_rank!C29/171</f>
        <v>1.1695906432748537E-2</v>
      </c>
      <c r="D29" s="7">
        <f>serv_rank!D29/171</f>
        <v>1.7543859649122806E-2</v>
      </c>
      <c r="E29" s="7">
        <f>serv_rank!E29/171</f>
        <v>0.10526315789473684</v>
      </c>
      <c r="F29" s="7">
        <f>serv_rank!F29/171</f>
        <v>6.4327485380116955E-2</v>
      </c>
      <c r="G29" s="7">
        <f>serv_rank!G29/171</f>
        <v>4.0935672514619881E-2</v>
      </c>
      <c r="H29" s="7">
        <f>serv_rank!H29/171</f>
        <v>2.9239766081871343E-2</v>
      </c>
      <c r="I29" s="7">
        <f>serv_rank!I29/171</f>
        <v>5.8479532163742687E-3</v>
      </c>
      <c r="J29" s="7">
        <f>serv_rank!J29/171</f>
        <v>9.3567251461988299E-2</v>
      </c>
      <c r="K29" s="7">
        <f>serv_rank!K29/171</f>
        <v>5.8479532163742687E-2</v>
      </c>
      <c r="L29" s="7">
        <f>serv_rank!L29/171</f>
        <v>3.5087719298245612E-2</v>
      </c>
      <c r="M29" s="7">
        <f>serv_rank!M29/171</f>
        <v>7.0175438596491224E-2</v>
      </c>
      <c r="N29" s="7">
        <f>serv_rank!N29/171</f>
        <v>7.6023391812865493E-2</v>
      </c>
      <c r="O29" s="7">
        <f>serv_rank!O29/171</f>
        <v>8.771929824561403E-2</v>
      </c>
      <c r="P29" s="7">
        <f>serv_rank!P29/171</f>
        <v>2.3391812865497075E-2</v>
      </c>
      <c r="Q29" s="7">
        <f>serv_rank!Q29/171</f>
        <v>5.2631578947368418E-2</v>
      </c>
      <c r="R29" s="7">
        <f>serv_rank!R29/171</f>
        <v>9.9415204678362568E-2</v>
      </c>
      <c r="S29" s="7">
        <f>serv_rank!S29/171</f>
        <v>4.6783625730994149E-2</v>
      </c>
      <c r="T29" s="6"/>
    </row>
    <row r="30" spans="1:20" ht="18" customHeight="1" x14ac:dyDescent="0.25">
      <c r="A30" s="5">
        <v>44682</v>
      </c>
      <c r="B30" s="7">
        <f>serv_rank!B30/171</f>
        <v>6.4327485380116955E-2</v>
      </c>
      <c r="C30" s="7">
        <f>serv_rank!C30/171</f>
        <v>5.8479532163742687E-3</v>
      </c>
      <c r="D30" s="7">
        <f>serv_rank!D30/171</f>
        <v>4.6783625730994149E-2</v>
      </c>
      <c r="E30" s="7">
        <f>serv_rank!E30/171</f>
        <v>9.9415204678362568E-2</v>
      </c>
      <c r="F30" s="7">
        <f>serv_rank!F30/171</f>
        <v>8.771929824561403E-2</v>
      </c>
      <c r="G30" s="7">
        <f>serv_rank!G30/171</f>
        <v>2.3391812865497075E-2</v>
      </c>
      <c r="H30" s="7">
        <f>serv_rank!H30/171</f>
        <v>3.5087719298245612E-2</v>
      </c>
      <c r="I30" s="7">
        <f>serv_rank!I30/171</f>
        <v>1.7543859649122806E-2</v>
      </c>
      <c r="J30" s="7">
        <f>serv_rank!J30/171</f>
        <v>7.6023391812865493E-2</v>
      </c>
      <c r="K30" s="7">
        <f>serv_rank!K30/171</f>
        <v>0.10526315789473684</v>
      </c>
      <c r="L30" s="7">
        <f>serv_rank!L30/171</f>
        <v>4.0935672514619881E-2</v>
      </c>
      <c r="M30" s="7">
        <f>serv_rank!M30/171</f>
        <v>5.2631578947368418E-2</v>
      </c>
      <c r="N30" s="7">
        <f>serv_rank!N30/171</f>
        <v>2.9239766081871343E-2</v>
      </c>
      <c r="O30" s="7">
        <f>serv_rank!O30/171</f>
        <v>9.3567251461988299E-2</v>
      </c>
      <c r="P30" s="7">
        <f>serv_rank!P30/171</f>
        <v>1.1695906432748537E-2</v>
      </c>
      <c r="Q30" s="7">
        <f>serv_rank!Q30/171</f>
        <v>8.1871345029239762E-2</v>
      </c>
      <c r="R30" s="7">
        <f>serv_rank!R30/171</f>
        <v>7.0175438596491224E-2</v>
      </c>
      <c r="S30" s="7">
        <f>serv_rank!S30/171</f>
        <v>5.8479532163742687E-2</v>
      </c>
      <c r="T30" s="6"/>
    </row>
    <row r="31" spans="1:20" ht="18" customHeight="1" x14ac:dyDescent="0.25">
      <c r="A31" s="5">
        <v>44713</v>
      </c>
      <c r="B31" s="7">
        <f>serv_rank!B31/171</f>
        <v>4.0935672514619881E-2</v>
      </c>
      <c r="C31" s="7">
        <f>serv_rank!C31/171</f>
        <v>2.3391812865497075E-2</v>
      </c>
      <c r="D31" s="7">
        <f>serv_rank!D31/171</f>
        <v>8.1871345029239762E-2</v>
      </c>
      <c r="E31" s="7">
        <f>serv_rank!E31/171</f>
        <v>8.771929824561403E-2</v>
      </c>
      <c r="F31" s="7">
        <f>serv_rank!F31/171</f>
        <v>5.8479532163742687E-3</v>
      </c>
      <c r="G31" s="7">
        <f>serv_rank!G31/171</f>
        <v>2.9239766081871343E-2</v>
      </c>
      <c r="H31" s="7">
        <f>serv_rank!H31/171</f>
        <v>5.8479532163742687E-2</v>
      </c>
      <c r="I31" s="7">
        <f>serv_rank!I31/171</f>
        <v>1.7543859649122806E-2</v>
      </c>
      <c r="J31" s="7">
        <f>serv_rank!J31/171</f>
        <v>9.9415204678362568E-2</v>
      </c>
      <c r="K31" s="7">
        <f>serv_rank!K31/171</f>
        <v>0.10526315789473684</v>
      </c>
      <c r="L31" s="7">
        <f>serv_rank!L31/171</f>
        <v>9.3567251461988299E-2</v>
      </c>
      <c r="M31" s="7">
        <f>serv_rank!M31/171</f>
        <v>5.2631578947368418E-2</v>
      </c>
      <c r="N31" s="7">
        <f>serv_rank!N31/171</f>
        <v>7.0175438596491224E-2</v>
      </c>
      <c r="O31" s="7">
        <f>serv_rank!O31/171</f>
        <v>1.1695906432748537E-2</v>
      </c>
      <c r="P31" s="7">
        <f>serv_rank!P31/171</f>
        <v>3.5087719298245612E-2</v>
      </c>
      <c r="Q31" s="7">
        <f>serv_rank!Q31/171</f>
        <v>4.6783625730994149E-2</v>
      </c>
      <c r="R31" s="7">
        <f>serv_rank!R31/171</f>
        <v>7.6023391812865493E-2</v>
      </c>
      <c r="S31" s="7">
        <f>serv_rank!S31/171</f>
        <v>6.4327485380116955E-2</v>
      </c>
      <c r="T31" s="6"/>
    </row>
    <row r="32" spans="1:20" ht="18" customHeight="1" x14ac:dyDescent="0.25">
      <c r="A32" s="5">
        <v>44743</v>
      </c>
      <c r="B32" s="7">
        <f>serv_rank!B32/171</f>
        <v>2.6315789473684209E-2</v>
      </c>
      <c r="C32" s="7">
        <f>serv_rank!C32/171</f>
        <v>5.8479532163742687E-3</v>
      </c>
      <c r="D32" s="7">
        <f>serv_rank!D32/171</f>
        <v>2.6315789473684209E-2</v>
      </c>
      <c r="E32" s="7">
        <f>serv_rank!E32/171</f>
        <v>8.1871345029239762E-2</v>
      </c>
      <c r="F32" s="7">
        <f>serv_rank!F32/171</f>
        <v>7.6023391812865493E-2</v>
      </c>
      <c r="G32" s="7">
        <f>serv_rank!G32/171</f>
        <v>1.7543859649122806E-2</v>
      </c>
      <c r="H32" s="7">
        <f>serv_rank!H32/171</f>
        <v>5.2631578947368418E-2</v>
      </c>
      <c r="I32" s="7">
        <f>serv_rank!I32/171</f>
        <v>3.5087719298245612E-2</v>
      </c>
      <c r="J32" s="7">
        <f>serv_rank!J32/171</f>
        <v>8.771929824561403E-2</v>
      </c>
      <c r="K32" s="7">
        <f>serv_rank!K32/171</f>
        <v>0.10526315789473684</v>
      </c>
      <c r="L32" s="7">
        <f>serv_rank!L32/171</f>
        <v>7.0175438596491224E-2</v>
      </c>
      <c r="M32" s="7">
        <f>serv_rank!M32/171</f>
        <v>5.8479532163742687E-2</v>
      </c>
      <c r="N32" s="7">
        <f>serv_rank!N32/171</f>
        <v>9.3567251461988299E-2</v>
      </c>
      <c r="O32" s="7">
        <f>serv_rank!O32/171</f>
        <v>9.9415204678362568E-2</v>
      </c>
      <c r="P32" s="7">
        <f>serv_rank!P32/171</f>
        <v>1.1695906432748537E-2</v>
      </c>
      <c r="Q32" s="7">
        <f>serv_rank!Q32/171</f>
        <v>4.6783625730994149E-2</v>
      </c>
      <c r="R32" s="7">
        <f>serv_rank!R32/171</f>
        <v>6.4327485380116955E-2</v>
      </c>
      <c r="S32" s="7">
        <f>serv_rank!S32/171</f>
        <v>4.0935672514619881E-2</v>
      </c>
      <c r="T32" s="6"/>
    </row>
    <row r="33" spans="1:20" ht="18" customHeight="1" x14ac:dyDescent="0.25">
      <c r="A33" s="5">
        <v>44774</v>
      </c>
      <c r="B33" s="7">
        <f>serv_rank!B33/171</f>
        <v>2.046783625730994E-2</v>
      </c>
      <c r="C33" s="7">
        <f>serv_rank!C33/171</f>
        <v>5.8479532163742687E-3</v>
      </c>
      <c r="D33" s="7">
        <f>serv_rank!D33/171</f>
        <v>1.1695906432748537E-2</v>
      </c>
      <c r="E33" s="7">
        <f>serv_rank!E33/171</f>
        <v>8.771929824561403E-2</v>
      </c>
      <c r="F33" s="7">
        <f>serv_rank!F33/171</f>
        <v>8.1871345029239762E-2</v>
      </c>
      <c r="G33" s="7">
        <f>serv_rank!G33/171</f>
        <v>4.6783625730994149E-2</v>
      </c>
      <c r="H33" s="7">
        <f>serv_rank!H33/171</f>
        <v>5.8479532163742687E-2</v>
      </c>
      <c r="I33" s="7">
        <f>serv_rank!I33/171</f>
        <v>7.6023391812865493E-2</v>
      </c>
      <c r="J33" s="7">
        <f>serv_rank!J33/171</f>
        <v>4.0935672514619881E-2</v>
      </c>
      <c r="K33" s="7">
        <f>serv_rank!K33/171</f>
        <v>0.10526315789473684</v>
      </c>
      <c r="L33" s="7">
        <f>serv_rank!L33/171</f>
        <v>2.9239766081871343E-2</v>
      </c>
      <c r="M33" s="7">
        <f>serv_rank!M33/171</f>
        <v>3.5087719298245612E-2</v>
      </c>
      <c r="N33" s="7">
        <f>serv_rank!N33/171</f>
        <v>5.2631578947368418E-2</v>
      </c>
      <c r="O33" s="7">
        <f>serv_rank!O33/171</f>
        <v>9.9415204678362568E-2</v>
      </c>
      <c r="P33" s="7">
        <f>serv_rank!P33/171</f>
        <v>2.046783625730994E-2</v>
      </c>
      <c r="Q33" s="7">
        <f>serv_rank!Q33/171</f>
        <v>7.0175438596491224E-2</v>
      </c>
      <c r="R33" s="7">
        <f>serv_rank!R33/171</f>
        <v>9.3567251461988299E-2</v>
      </c>
      <c r="S33" s="7">
        <f>serv_rank!S33/171</f>
        <v>6.4327485380116955E-2</v>
      </c>
      <c r="T33" s="6"/>
    </row>
    <row r="34" spans="1:20" ht="18" customHeight="1" x14ac:dyDescent="0.25">
      <c r="A34" s="5">
        <v>44805</v>
      </c>
      <c r="B34" s="7">
        <f>serv_rank!B34/171</f>
        <v>5.8479532163742687E-3</v>
      </c>
      <c r="C34" s="7">
        <f>serv_rank!C34/171</f>
        <v>8.771929824561403E-2</v>
      </c>
      <c r="D34" s="7">
        <f>serv_rank!D34/171</f>
        <v>1.1695906432748537E-2</v>
      </c>
      <c r="E34" s="7">
        <f>serv_rank!E34/171</f>
        <v>2.9239766081871343E-2</v>
      </c>
      <c r="F34" s="7">
        <f>serv_rank!F34/171</f>
        <v>9.3567251461988299E-2</v>
      </c>
      <c r="G34" s="7">
        <f>serv_rank!G34/171</f>
        <v>4.0935672514619881E-2</v>
      </c>
      <c r="H34" s="7">
        <f>serv_rank!H34/171</f>
        <v>4.6783625730994149E-2</v>
      </c>
      <c r="I34" s="7">
        <f>serv_rank!I34/171</f>
        <v>6.4327485380116955E-2</v>
      </c>
      <c r="J34" s="7">
        <f>serv_rank!J34/171</f>
        <v>2.3391812865497075E-2</v>
      </c>
      <c r="K34" s="7">
        <f>serv_rank!K34/171</f>
        <v>0.10526315789473684</v>
      </c>
      <c r="L34" s="7">
        <f>serv_rank!L34/171</f>
        <v>9.9415204678362568E-2</v>
      </c>
      <c r="M34" s="7">
        <f>serv_rank!M34/171</f>
        <v>5.2631578947368418E-2</v>
      </c>
      <c r="N34" s="7">
        <f>serv_rank!N34/171</f>
        <v>8.1871345029239762E-2</v>
      </c>
      <c r="O34" s="7">
        <f>serv_rank!O34/171</f>
        <v>3.5087719298245612E-2</v>
      </c>
      <c r="P34" s="7">
        <f>serv_rank!P34/171</f>
        <v>7.6023391812865493E-2</v>
      </c>
      <c r="Q34" s="7">
        <f>serv_rank!Q34/171</f>
        <v>1.7543859649122806E-2</v>
      </c>
      <c r="R34" s="7">
        <f>serv_rank!R34/171</f>
        <v>5.8479532163742687E-2</v>
      </c>
      <c r="S34" s="7">
        <f>serv_rank!S34/171</f>
        <v>7.0175438596491224E-2</v>
      </c>
      <c r="T34" s="6"/>
    </row>
    <row r="35" spans="1:20" ht="18" customHeight="1" x14ac:dyDescent="0.25">
      <c r="A35" s="5">
        <v>44835</v>
      </c>
      <c r="B35" s="7">
        <f>serv_rank!B35/171</f>
        <v>8.1871345029239762E-2</v>
      </c>
      <c r="C35" s="7">
        <f>serv_rank!C35/171</f>
        <v>9.9415204678362568E-2</v>
      </c>
      <c r="D35" s="7">
        <f>serv_rank!D35/171</f>
        <v>9.3567251461988299E-2</v>
      </c>
      <c r="E35" s="7">
        <f>serv_rank!E35/171</f>
        <v>7.6023391812865493E-2</v>
      </c>
      <c r="F35" s="7">
        <f>serv_rank!F35/171</f>
        <v>4.0935672514619881E-2</v>
      </c>
      <c r="G35" s="7">
        <f>serv_rank!G35/171</f>
        <v>3.5087719298245612E-2</v>
      </c>
      <c r="H35" s="7">
        <f>serv_rank!H35/171</f>
        <v>2.3391812865497075E-2</v>
      </c>
      <c r="I35" s="7">
        <f>serv_rank!I35/171</f>
        <v>5.8479532163742687E-2</v>
      </c>
      <c r="J35" s="7">
        <f>serv_rank!J35/171</f>
        <v>5.8479532163742687E-3</v>
      </c>
      <c r="K35" s="7">
        <f>serv_rank!K35/171</f>
        <v>0.10526315789473684</v>
      </c>
      <c r="L35" s="7">
        <f>serv_rank!L35/171</f>
        <v>6.4327485380116955E-2</v>
      </c>
      <c r="M35" s="7">
        <f>serv_rank!M35/171</f>
        <v>4.6783625730994149E-2</v>
      </c>
      <c r="N35" s="7">
        <f>serv_rank!N35/171</f>
        <v>2.9239766081871343E-2</v>
      </c>
      <c r="O35" s="7">
        <f>serv_rank!O35/171</f>
        <v>1.1695906432748537E-2</v>
      </c>
      <c r="P35" s="7">
        <f>serv_rank!P35/171</f>
        <v>5.2631578947368418E-2</v>
      </c>
      <c r="Q35" s="7">
        <f>serv_rank!Q35/171</f>
        <v>8.771929824561403E-2</v>
      </c>
      <c r="R35" s="7">
        <f>serv_rank!R35/171</f>
        <v>7.0175438596491224E-2</v>
      </c>
      <c r="S35" s="7">
        <f>serv_rank!S35/171</f>
        <v>1.7543859649122806E-2</v>
      </c>
      <c r="T35" s="6"/>
    </row>
    <row r="36" spans="1:20" ht="18" customHeight="1" x14ac:dyDescent="0.25">
      <c r="A36" s="5">
        <v>44866</v>
      </c>
      <c r="B36" s="7">
        <f>serv_rank!B36/171</f>
        <v>5.2631578947368418E-2</v>
      </c>
      <c r="C36" s="7">
        <f>serv_rank!C36/171</f>
        <v>9.3567251461988299E-2</v>
      </c>
      <c r="D36" s="7">
        <f>serv_rank!D36/171</f>
        <v>2.6315789473684209E-2</v>
      </c>
      <c r="E36" s="7">
        <f>serv_rank!E36/171</f>
        <v>8.1871345029239762E-2</v>
      </c>
      <c r="F36" s="7">
        <f>serv_rank!F36/171</f>
        <v>3.5087719298245612E-2</v>
      </c>
      <c r="G36" s="7">
        <f>serv_rank!G36/171</f>
        <v>2.6315789473684209E-2</v>
      </c>
      <c r="H36" s="7">
        <f>serv_rank!H36/171</f>
        <v>7.6023391812865493E-2</v>
      </c>
      <c r="I36" s="7">
        <f>serv_rank!I36/171</f>
        <v>1.7543859649122806E-2</v>
      </c>
      <c r="J36" s="7">
        <f>serv_rank!J36/171</f>
        <v>5.8479532163742687E-3</v>
      </c>
      <c r="K36" s="7">
        <f>serv_rank!K36/171</f>
        <v>9.9415204678362568E-2</v>
      </c>
      <c r="L36" s="7">
        <f>serv_rank!L36/171</f>
        <v>8.771929824561403E-2</v>
      </c>
      <c r="M36" s="7">
        <f>serv_rank!M36/171</f>
        <v>5.8479532163742687E-2</v>
      </c>
      <c r="N36" s="7">
        <f>serv_rank!N36/171</f>
        <v>7.0175438596491224E-2</v>
      </c>
      <c r="O36" s="7">
        <f>serv_rank!O36/171</f>
        <v>0.10526315789473684</v>
      </c>
      <c r="P36" s="7">
        <f>serv_rank!P36/171</f>
        <v>6.4327485380116955E-2</v>
      </c>
      <c r="Q36" s="7">
        <f>serv_rank!Q36/171</f>
        <v>4.0935672514619881E-2</v>
      </c>
      <c r="R36" s="7">
        <f>serv_rank!R36/171</f>
        <v>4.6783625730994149E-2</v>
      </c>
      <c r="S36" s="7">
        <f>serv_rank!S36/171</f>
        <v>1.1695906432748537E-2</v>
      </c>
      <c r="T36" s="6"/>
    </row>
    <row r="37" spans="1:20" ht="18" customHeight="1" x14ac:dyDescent="0.25">
      <c r="A37" s="5">
        <v>44896</v>
      </c>
      <c r="B37" s="7">
        <f>serv_rank!B37/171</f>
        <v>7.0175438596491224E-2</v>
      </c>
      <c r="C37" s="7">
        <f>serv_rank!C37/171</f>
        <v>4.0935672514619881E-2</v>
      </c>
      <c r="D37" s="7">
        <f>serv_rank!D37/171</f>
        <v>8.1871345029239762E-2</v>
      </c>
      <c r="E37" s="7">
        <f>serv_rank!E37/171</f>
        <v>2.9239766081871343E-2</v>
      </c>
      <c r="F37" s="7">
        <f>serv_rank!F37/171</f>
        <v>3.5087719298245612E-2</v>
      </c>
      <c r="G37" s="7">
        <f>serv_rank!G37/171</f>
        <v>4.6783625730994149E-2</v>
      </c>
      <c r="H37" s="7">
        <f>serv_rank!H37/171</f>
        <v>9.9415204678362568E-2</v>
      </c>
      <c r="I37" s="7">
        <f>serv_rank!I37/171</f>
        <v>2.3391812865497075E-2</v>
      </c>
      <c r="J37" s="7">
        <f>serv_rank!J37/171</f>
        <v>5.8479532163742687E-2</v>
      </c>
      <c r="K37" s="7">
        <f>serv_rank!K37/171</f>
        <v>7.6023391812865493E-2</v>
      </c>
      <c r="L37" s="7">
        <f>serv_rank!L37/171</f>
        <v>1.7543859649122806E-2</v>
      </c>
      <c r="M37" s="7">
        <f>serv_rank!M37/171</f>
        <v>5.2631578947368418E-2</v>
      </c>
      <c r="N37" s="7">
        <f>serv_rank!N37/171</f>
        <v>8.771929824561403E-2</v>
      </c>
      <c r="O37" s="7">
        <f>serv_rank!O37/171</f>
        <v>5.8479532163742687E-3</v>
      </c>
      <c r="P37" s="7">
        <f>serv_rank!P37/171</f>
        <v>0.10526315789473684</v>
      </c>
      <c r="Q37" s="7">
        <f>serv_rank!Q37/171</f>
        <v>6.4327485380116955E-2</v>
      </c>
      <c r="R37" s="7">
        <f>serv_rank!R37/171</f>
        <v>9.3567251461988299E-2</v>
      </c>
      <c r="S37" s="7">
        <f>serv_rank!S37/171</f>
        <v>1.1695906432748537E-2</v>
      </c>
    </row>
    <row r="38" spans="1:20" ht="18" customHeight="1" x14ac:dyDescent="0.25">
      <c r="A38" s="5">
        <v>44927</v>
      </c>
      <c r="B38" s="7">
        <f>serv_rank!B38/171</f>
        <v>7.0175438596491224E-2</v>
      </c>
      <c r="C38" s="7">
        <f>serv_rank!C38/171</f>
        <v>0.10526315789473684</v>
      </c>
      <c r="D38" s="7">
        <f>serv_rank!D38/171</f>
        <v>1.7543859649122806E-2</v>
      </c>
      <c r="E38" s="7">
        <f>serv_rank!E38/171</f>
        <v>2.9239766081871343E-2</v>
      </c>
      <c r="F38" s="7">
        <f>serv_rank!F38/171</f>
        <v>7.6023391812865493E-2</v>
      </c>
      <c r="G38" s="7">
        <f>serv_rank!G38/171</f>
        <v>4.0935672514619881E-2</v>
      </c>
      <c r="H38" s="7">
        <f>serv_rank!H38/171</f>
        <v>5.8479532163742687E-2</v>
      </c>
      <c r="I38" s="7">
        <f>serv_rank!I38/171</f>
        <v>3.5087719298245612E-2</v>
      </c>
      <c r="J38" s="7">
        <f>serv_rank!J38/171</f>
        <v>8.771929824561403E-2</v>
      </c>
      <c r="K38" s="7">
        <f>serv_rank!K38/171</f>
        <v>2.3391812865497075E-2</v>
      </c>
      <c r="L38" s="7">
        <f>serv_rank!L38/171</f>
        <v>9.3567251461988299E-2</v>
      </c>
      <c r="M38" s="7">
        <f>serv_rank!M38/171</f>
        <v>5.2631578947368418E-2</v>
      </c>
      <c r="N38" s="7">
        <f>serv_rank!N38/171</f>
        <v>8.1871345029239762E-2</v>
      </c>
      <c r="O38" s="7">
        <f>serv_rank!O38/171</f>
        <v>6.4327485380116955E-2</v>
      </c>
      <c r="P38" s="7">
        <f>serv_rank!P38/171</f>
        <v>1.1695906432748537E-2</v>
      </c>
      <c r="Q38" s="7">
        <f>serv_rank!Q38/171</f>
        <v>5.8479532163742687E-3</v>
      </c>
      <c r="R38" s="7">
        <f>serv_rank!R38/171</f>
        <v>9.9415204678362568E-2</v>
      </c>
      <c r="S38" s="7">
        <f>serv_rank!S38/171</f>
        <v>4.6783625730994149E-2</v>
      </c>
    </row>
    <row r="39" spans="1:20" ht="18" customHeight="1" x14ac:dyDescent="0.25">
      <c r="A39" s="5">
        <v>44958</v>
      </c>
      <c r="B39" s="7">
        <f>serv_rank!B39/171</f>
        <v>3.5087719298245612E-2</v>
      </c>
      <c r="C39" s="7">
        <f>serv_rank!C39/171</f>
        <v>0.10526315789473684</v>
      </c>
      <c r="D39" s="7">
        <f>serv_rank!D39/171</f>
        <v>5.2631578947368418E-2</v>
      </c>
      <c r="E39" s="7">
        <f>serv_rank!E39/171</f>
        <v>9.3567251461988299E-2</v>
      </c>
      <c r="F39" s="7">
        <f>serv_rank!F39/171</f>
        <v>6.4327485380116955E-2</v>
      </c>
      <c r="G39" s="7">
        <f>serv_rank!G39/171</f>
        <v>5.8479532163742687E-2</v>
      </c>
      <c r="H39" s="7">
        <f>serv_rank!H39/171</f>
        <v>4.0935672514619881E-2</v>
      </c>
      <c r="I39" s="7">
        <f>serv_rank!I39/171</f>
        <v>1.7543859649122806E-2</v>
      </c>
      <c r="J39" s="7">
        <f>serv_rank!J39/171</f>
        <v>2.3391812865497075E-2</v>
      </c>
      <c r="K39" s="7">
        <f>serv_rank!K39/171</f>
        <v>2.9239766081871343E-2</v>
      </c>
      <c r="L39" s="7">
        <f>serv_rank!L39/171</f>
        <v>7.0175438596491224E-2</v>
      </c>
      <c r="M39" s="7">
        <f>serv_rank!M39/171</f>
        <v>8.771929824561403E-2</v>
      </c>
      <c r="N39" s="7">
        <f>serv_rank!N39/171</f>
        <v>9.9415204678362568E-2</v>
      </c>
      <c r="O39" s="7">
        <f>serv_rank!O39/171</f>
        <v>4.6783625730994149E-2</v>
      </c>
      <c r="P39" s="7">
        <f>serv_rank!P39/171</f>
        <v>8.1871345029239762E-2</v>
      </c>
      <c r="Q39" s="7">
        <f>serv_rank!Q39/171</f>
        <v>1.1695906432748537E-2</v>
      </c>
      <c r="R39" s="7">
        <f>serv_rank!R39/171</f>
        <v>7.6023391812865493E-2</v>
      </c>
      <c r="S39" s="7">
        <f>serv_rank!S39/171</f>
        <v>5.8479532163742687E-3</v>
      </c>
    </row>
    <row r="40" spans="1:20" ht="18" customHeight="1" x14ac:dyDescent="0.25">
      <c r="A40" s="5">
        <v>44986</v>
      </c>
      <c r="B40" s="7">
        <f>serv_rank!B40/171</f>
        <v>8.771929824561403E-2</v>
      </c>
      <c r="C40" s="7">
        <f>serv_rank!C40/171</f>
        <v>5.8479532163742687E-2</v>
      </c>
      <c r="D40" s="7">
        <f>serv_rank!D40/171</f>
        <v>9.9415204678362568E-2</v>
      </c>
      <c r="E40" s="7">
        <f>serv_rank!E40/171</f>
        <v>4.0935672514619881E-2</v>
      </c>
      <c r="F40" s="7">
        <f>serv_rank!F40/171</f>
        <v>9.3567251461988299E-2</v>
      </c>
      <c r="G40" s="7">
        <f>serv_rank!G40/171</f>
        <v>5.8479532163742687E-3</v>
      </c>
      <c r="H40" s="7">
        <f>serv_rank!H40/171</f>
        <v>4.6783625730994149E-2</v>
      </c>
      <c r="I40" s="7">
        <f>serv_rank!I40/171</f>
        <v>3.5087719298245612E-2</v>
      </c>
      <c r="J40" s="7">
        <f>serv_rank!J40/171</f>
        <v>6.725146198830409E-2</v>
      </c>
      <c r="K40" s="7">
        <f>serv_rank!K40/171</f>
        <v>7.6023391812865493E-2</v>
      </c>
      <c r="L40" s="7">
        <f>serv_rank!L40/171</f>
        <v>0.10526315789473684</v>
      </c>
      <c r="M40" s="7">
        <f>serv_rank!M40/171</f>
        <v>6.725146198830409E-2</v>
      </c>
      <c r="N40" s="7">
        <f>serv_rank!N40/171</f>
        <v>8.1871345029239762E-2</v>
      </c>
      <c r="O40" s="7">
        <f>serv_rank!O40/171</f>
        <v>1.7543859649122806E-2</v>
      </c>
      <c r="P40" s="7">
        <f>serv_rank!P40/171</f>
        <v>2.9239766081871343E-2</v>
      </c>
      <c r="Q40" s="7">
        <f>serv_rank!Q40/171</f>
        <v>2.3391812865497075E-2</v>
      </c>
      <c r="R40" s="7">
        <f>serv_rank!R40/171</f>
        <v>5.2631578947368418E-2</v>
      </c>
      <c r="S40" s="7">
        <f>serv_rank!S40/171</f>
        <v>1.1695906432748537E-2</v>
      </c>
    </row>
    <row r="41" spans="1:20" ht="18" customHeight="1" x14ac:dyDescent="0.25">
      <c r="A41" s="5">
        <v>45017</v>
      </c>
      <c r="B41" s="7">
        <f>serv_rank!B41/171</f>
        <v>8.771929824561403E-2</v>
      </c>
      <c r="C41" s="7">
        <f>serv_rank!C41/171</f>
        <v>1.1695906432748537E-2</v>
      </c>
      <c r="D41" s="7">
        <f>serv_rank!D41/171</f>
        <v>0.10526315789473684</v>
      </c>
      <c r="E41" s="7">
        <f>serv_rank!E41/171</f>
        <v>4.0935672514619881E-2</v>
      </c>
      <c r="F41" s="7">
        <f>serv_rank!F41/171</f>
        <v>5.8479532163742687E-2</v>
      </c>
      <c r="G41" s="7">
        <f>serv_rank!G41/171</f>
        <v>3.5087719298245612E-2</v>
      </c>
      <c r="H41" s="7">
        <f>serv_rank!H41/171</f>
        <v>5.2631578947368418E-2</v>
      </c>
      <c r="I41" s="7">
        <f>serv_rank!I41/171</f>
        <v>2.9239766081871343E-2</v>
      </c>
      <c r="J41" s="7">
        <f>serv_rank!J41/171</f>
        <v>2.3391812865497075E-2</v>
      </c>
      <c r="K41" s="7">
        <f>serv_rank!K41/171</f>
        <v>5.8479532163742687E-3</v>
      </c>
      <c r="L41" s="7">
        <f>serv_rank!L41/171</f>
        <v>9.9415204678362568E-2</v>
      </c>
      <c r="M41" s="7">
        <f>serv_rank!M41/171</f>
        <v>6.4327485380116955E-2</v>
      </c>
      <c r="N41" s="7">
        <f>serv_rank!N41/171</f>
        <v>7.6023391812865493E-2</v>
      </c>
      <c r="O41" s="7">
        <f>serv_rank!O41/171</f>
        <v>9.3567251461988299E-2</v>
      </c>
      <c r="P41" s="7">
        <f>serv_rank!P41/171</f>
        <v>4.6783625730994149E-2</v>
      </c>
      <c r="Q41" s="7">
        <f>serv_rank!Q41/171</f>
        <v>7.0175438596491224E-2</v>
      </c>
      <c r="R41" s="7">
        <f>serv_rank!R41/171</f>
        <v>8.1871345029239762E-2</v>
      </c>
      <c r="S41" s="7">
        <f>serv_rank!S41/171</f>
        <v>1.7543859649122806E-2</v>
      </c>
    </row>
    <row r="42" spans="1:20" ht="18" customHeight="1" x14ac:dyDescent="0.25">
      <c r="A42" s="5">
        <v>45047</v>
      </c>
      <c r="B42" s="7">
        <f>serv_rank!B42/171</f>
        <v>0.10526315789473684</v>
      </c>
      <c r="C42" s="7">
        <f>serv_rank!C42/171</f>
        <v>1.1695906432748537E-2</v>
      </c>
      <c r="D42" s="7">
        <f>serv_rank!D42/171</f>
        <v>7.6023391812865493E-2</v>
      </c>
      <c r="E42" s="7">
        <f>serv_rank!E42/171</f>
        <v>7.0175438596491224E-2</v>
      </c>
      <c r="F42" s="7">
        <f>serv_rank!F42/171</f>
        <v>4.6783625730994149E-2</v>
      </c>
      <c r="G42" s="7">
        <f>serv_rank!G42/171</f>
        <v>4.0935672514619881E-2</v>
      </c>
      <c r="H42" s="7">
        <f>serv_rank!H42/171</f>
        <v>3.5087719298245612E-2</v>
      </c>
      <c r="I42" s="7">
        <f>serv_rank!I42/171</f>
        <v>2.9239766081871343E-2</v>
      </c>
      <c r="J42" s="7">
        <f>serv_rank!J42/171</f>
        <v>9.9415204678362568E-2</v>
      </c>
      <c r="K42" s="7">
        <f>serv_rank!K42/171</f>
        <v>5.8479532163742687E-3</v>
      </c>
      <c r="L42" s="7">
        <f>serv_rank!L42/171</f>
        <v>6.4327485380116955E-2</v>
      </c>
      <c r="M42" s="7">
        <f>serv_rank!M42/171</f>
        <v>9.3567251461988299E-2</v>
      </c>
      <c r="N42" s="7">
        <f>serv_rank!N42/171</f>
        <v>5.2631578947368418E-2</v>
      </c>
      <c r="O42" s="7">
        <f>serv_rank!O42/171</f>
        <v>1.7543859649122806E-2</v>
      </c>
      <c r="P42" s="7">
        <f>serv_rank!P42/171</f>
        <v>8.1871345029239762E-2</v>
      </c>
      <c r="Q42" s="7">
        <f>serv_rank!Q42/171</f>
        <v>5.8479532163742687E-2</v>
      </c>
      <c r="R42" s="7">
        <f>serv_rank!R42/171</f>
        <v>8.771929824561403E-2</v>
      </c>
      <c r="S42" s="7">
        <f>serv_rank!S42/171</f>
        <v>2.3391812865497075E-2</v>
      </c>
    </row>
    <row r="43" spans="1:20" ht="18" customHeight="1" x14ac:dyDescent="0.25">
      <c r="A43" s="5">
        <v>45078</v>
      </c>
      <c r="B43" s="7">
        <f>serv_rank!B43/171</f>
        <v>0.10526315789473684</v>
      </c>
      <c r="C43" s="7">
        <f>serv_rank!C43/171</f>
        <v>5.8479532163742687E-3</v>
      </c>
      <c r="D43" s="7">
        <f>serv_rank!D43/171</f>
        <v>9.9415204678362568E-2</v>
      </c>
      <c r="E43" s="7">
        <f>serv_rank!E43/171</f>
        <v>4.0935672514619881E-2</v>
      </c>
      <c r="F43" s="7">
        <f>serv_rank!F43/171</f>
        <v>8.1871345029239762E-2</v>
      </c>
      <c r="G43" s="7">
        <f>serv_rank!G43/171</f>
        <v>3.5087719298245612E-2</v>
      </c>
      <c r="H43" s="7">
        <f>serv_rank!H43/171</f>
        <v>2.3391812865497075E-2</v>
      </c>
      <c r="I43" s="7">
        <f>serv_rank!I43/171</f>
        <v>1.7543859649122806E-2</v>
      </c>
      <c r="J43" s="7">
        <f>serv_rank!J43/171</f>
        <v>7.6023391812865493E-2</v>
      </c>
      <c r="K43" s="7">
        <f>serv_rank!K43/171</f>
        <v>1.1695906432748537E-2</v>
      </c>
      <c r="L43" s="7">
        <f>serv_rank!L43/171</f>
        <v>5.8479532163742687E-2</v>
      </c>
      <c r="M43" s="7">
        <f>serv_rank!M43/171</f>
        <v>4.6783625730994149E-2</v>
      </c>
      <c r="N43" s="7">
        <f>serv_rank!N43/171</f>
        <v>8.771929824561403E-2</v>
      </c>
      <c r="O43" s="7">
        <f>serv_rank!O43/171</f>
        <v>9.3567251461988299E-2</v>
      </c>
      <c r="P43" s="7">
        <f>serv_rank!P43/171</f>
        <v>2.9239766081871343E-2</v>
      </c>
      <c r="Q43" s="7">
        <f>serv_rank!Q43/171</f>
        <v>7.0175438596491224E-2</v>
      </c>
      <c r="R43" s="7">
        <f>serv_rank!R43/171</f>
        <v>5.2631578947368418E-2</v>
      </c>
      <c r="S43" s="7">
        <f>serv_rank!S43/171</f>
        <v>6.4327485380116955E-2</v>
      </c>
    </row>
    <row r="44" spans="1:20" ht="18" customHeight="1" x14ac:dyDescent="0.25">
      <c r="A44" s="5">
        <v>45108</v>
      </c>
      <c r="B44" s="7">
        <f>serv_rank!B44/171</f>
        <v>9.3567251461988299E-2</v>
      </c>
      <c r="C44" s="7">
        <f>serv_rank!C44/171</f>
        <v>1.1695906432748537E-2</v>
      </c>
      <c r="D44" s="7">
        <f>serv_rank!D44/171</f>
        <v>1.7543859649122806E-2</v>
      </c>
      <c r="E44" s="7">
        <f>serv_rank!E44/171</f>
        <v>9.9415204678362568E-2</v>
      </c>
      <c r="F44" s="7">
        <f>serv_rank!F44/171</f>
        <v>4.6783625730994149E-2</v>
      </c>
      <c r="G44" s="7">
        <f>serv_rank!G44/171</f>
        <v>2.3391812865497075E-2</v>
      </c>
      <c r="H44" s="7">
        <f>serv_rank!H44/171</f>
        <v>5.2631578947368418E-2</v>
      </c>
      <c r="I44" s="7">
        <f>serv_rank!I44/171</f>
        <v>3.5087719298245612E-2</v>
      </c>
      <c r="J44" s="7">
        <f>serv_rank!J44/171</f>
        <v>8.1871345029239762E-2</v>
      </c>
      <c r="K44" s="7">
        <f>serv_rank!K44/171</f>
        <v>5.8479532163742687E-3</v>
      </c>
      <c r="L44" s="7">
        <f>serv_rank!L44/171</f>
        <v>0.10526315789473684</v>
      </c>
      <c r="M44" s="7">
        <f>serv_rank!M44/171</f>
        <v>5.8479532163742687E-2</v>
      </c>
      <c r="N44" s="7">
        <f>serv_rank!N44/171</f>
        <v>8.771929824561403E-2</v>
      </c>
      <c r="O44" s="7">
        <f>serv_rank!O44/171</f>
        <v>6.4327485380116955E-2</v>
      </c>
      <c r="P44" s="7">
        <f>serv_rank!P44/171</f>
        <v>4.0935672514619881E-2</v>
      </c>
      <c r="Q44" s="7">
        <f>serv_rank!Q44/171</f>
        <v>7.6023391812865493E-2</v>
      </c>
      <c r="R44" s="7">
        <f>serv_rank!R44/171</f>
        <v>7.0175438596491224E-2</v>
      </c>
      <c r="S44" s="7">
        <f>serv_rank!S44/171</f>
        <v>2.9239766081871343E-2</v>
      </c>
    </row>
    <row r="45" spans="1:20" ht="18" customHeight="1" x14ac:dyDescent="0.25">
      <c r="A45" s="5">
        <v>45139</v>
      </c>
      <c r="B45" s="7">
        <f>serv_rank!B45/171</f>
        <v>9.9415204678362568E-2</v>
      </c>
      <c r="C45" s="7">
        <f>serv_rank!C45/171</f>
        <v>5.8479532163742687E-3</v>
      </c>
      <c r="D45" s="7">
        <f>serv_rank!D45/171</f>
        <v>8.771929824561403E-2</v>
      </c>
      <c r="E45" s="7">
        <f>serv_rank!E45/171</f>
        <v>5.2631578947368418E-2</v>
      </c>
      <c r="F45" s="7">
        <f>serv_rank!F45/171</f>
        <v>5.8479532163742687E-2</v>
      </c>
      <c r="G45" s="7">
        <f>serv_rank!G45/171</f>
        <v>4.6783625730994149E-2</v>
      </c>
      <c r="H45" s="7">
        <f>serv_rank!H45/171</f>
        <v>2.3391812865497075E-2</v>
      </c>
      <c r="I45" s="7">
        <f>serv_rank!I45/171</f>
        <v>6.4327485380116955E-2</v>
      </c>
      <c r="J45" s="7">
        <f>serv_rank!J45/171</f>
        <v>2.9239766081871343E-2</v>
      </c>
      <c r="K45" s="7">
        <f>serv_rank!K45/171</f>
        <v>1.1695906432748537E-2</v>
      </c>
      <c r="L45" s="7">
        <f>serv_rank!L45/171</f>
        <v>9.3567251461988299E-2</v>
      </c>
      <c r="M45" s="7">
        <f>serv_rank!M45/171</f>
        <v>3.5087719298245612E-2</v>
      </c>
      <c r="N45" s="7">
        <f>serv_rank!N45/171</f>
        <v>7.0175438596491224E-2</v>
      </c>
      <c r="O45" s="7">
        <f>serv_rank!O45/171</f>
        <v>0.10526315789473684</v>
      </c>
      <c r="P45" s="7">
        <f>serv_rank!P45/171</f>
        <v>7.6023391812865493E-2</v>
      </c>
      <c r="Q45" s="7">
        <f>serv_rank!Q45/171</f>
        <v>4.0935672514619881E-2</v>
      </c>
      <c r="R45" s="7">
        <f>serv_rank!R45/171</f>
        <v>8.1871345029239762E-2</v>
      </c>
      <c r="S45" s="7">
        <f>serv_rank!S45/171</f>
        <v>1.7543859649122806E-2</v>
      </c>
    </row>
    <row r="46" spans="1:20" ht="18" customHeight="1" x14ac:dyDescent="0.25">
      <c r="A46" s="5">
        <v>45170</v>
      </c>
      <c r="B46" s="7">
        <f>serv_rank!B46/171</f>
        <v>1.7543859649122806E-2</v>
      </c>
      <c r="C46" s="7">
        <f>serv_rank!C46/171</f>
        <v>5.8479532163742687E-3</v>
      </c>
      <c r="D46" s="7">
        <f>serv_rank!D46/171</f>
        <v>1.1695906432748537E-2</v>
      </c>
      <c r="E46" s="7">
        <f>serv_rank!E46/171</f>
        <v>6.4327485380116955E-2</v>
      </c>
      <c r="F46" s="7">
        <f>serv_rank!F46/171</f>
        <v>3.5087719298245612E-2</v>
      </c>
      <c r="G46" s="7">
        <f>serv_rank!G46/171</f>
        <v>7.0175438596491224E-2</v>
      </c>
      <c r="H46" s="7">
        <f>serv_rank!H46/171</f>
        <v>7.6023391812865493E-2</v>
      </c>
      <c r="I46" s="7">
        <f>serv_rank!I46/171</f>
        <v>4.6783625730994149E-2</v>
      </c>
      <c r="J46" s="7">
        <f>serv_rank!J46/171</f>
        <v>2.3391812865497075E-2</v>
      </c>
      <c r="K46" s="7">
        <f>serv_rank!K46/171</f>
        <v>9.3567251461988299E-2</v>
      </c>
      <c r="L46" s="7">
        <f>serv_rank!L46/171</f>
        <v>8.771929824561403E-2</v>
      </c>
      <c r="M46" s="7">
        <f>serv_rank!M46/171</f>
        <v>5.8479532163742687E-2</v>
      </c>
      <c r="N46" s="7">
        <f>serv_rank!N46/171</f>
        <v>5.2631578947368418E-2</v>
      </c>
      <c r="O46" s="7">
        <f>serv_rank!O46/171</f>
        <v>0.10526315789473684</v>
      </c>
      <c r="P46" s="7">
        <f>serv_rank!P46/171</f>
        <v>9.9415204678362568E-2</v>
      </c>
      <c r="Q46" s="7">
        <f>serv_rank!Q46/171</f>
        <v>4.0935672514619881E-2</v>
      </c>
      <c r="R46" s="7">
        <f>serv_rank!R46/171</f>
        <v>8.1871345029239762E-2</v>
      </c>
      <c r="S46" s="7">
        <f>serv_rank!S46/171</f>
        <v>2.9239766081871343E-2</v>
      </c>
    </row>
    <row r="47" spans="1:20" ht="18" customHeight="1" x14ac:dyDescent="0.25">
      <c r="A47" s="5">
        <v>45200</v>
      </c>
      <c r="B47" s="7">
        <f>serv_rank!B47/171</f>
        <v>3.5087719298245612E-2</v>
      </c>
      <c r="C47" s="7">
        <f>serv_rank!C47/171</f>
        <v>1.1695906432748537E-2</v>
      </c>
      <c r="D47" s="7">
        <f>serv_rank!D47/171</f>
        <v>0.10526315789473684</v>
      </c>
      <c r="E47" s="7">
        <f>serv_rank!E47/171</f>
        <v>8.771929824561403E-2</v>
      </c>
      <c r="F47" s="7">
        <f>serv_rank!F47/171</f>
        <v>5.8479532163742687E-2</v>
      </c>
      <c r="G47" s="7">
        <f>serv_rank!G47/171</f>
        <v>8.1871345029239762E-2</v>
      </c>
      <c r="H47" s="7">
        <f>serv_rank!H47/171</f>
        <v>5.2631578947368418E-2</v>
      </c>
      <c r="I47" s="7">
        <f>serv_rank!I47/171</f>
        <v>4.0935672514619881E-2</v>
      </c>
      <c r="J47" s="7">
        <f>serv_rank!J47/171</f>
        <v>4.6783625730994149E-2</v>
      </c>
      <c r="K47" s="7">
        <f>serv_rank!K47/171</f>
        <v>1.7543859649122806E-2</v>
      </c>
      <c r="L47" s="7">
        <f>serv_rank!L47/171</f>
        <v>9.3567251461988299E-2</v>
      </c>
      <c r="M47" s="7">
        <f>serv_rank!M47/171</f>
        <v>2.9239766081871343E-2</v>
      </c>
      <c r="N47" s="7">
        <f>serv_rank!N47/171</f>
        <v>7.6023391812865493E-2</v>
      </c>
      <c r="O47" s="7">
        <f>serv_rank!O47/171</f>
        <v>5.8479532163742687E-3</v>
      </c>
      <c r="P47" s="7">
        <f>serv_rank!P47/171</f>
        <v>9.9415204678362568E-2</v>
      </c>
      <c r="Q47" s="7">
        <f>serv_rank!Q47/171</f>
        <v>7.0175438596491224E-2</v>
      </c>
      <c r="R47" s="7">
        <f>serv_rank!R47/171</f>
        <v>6.4327485380116955E-2</v>
      </c>
      <c r="S47" s="7">
        <f>serv_rank!S47/171</f>
        <v>2.3391812865497075E-2</v>
      </c>
    </row>
    <row r="48" spans="1:20" ht="18" customHeight="1" x14ac:dyDescent="0.25">
      <c r="A48" s="5">
        <v>45231</v>
      </c>
      <c r="B48" s="7">
        <f>serv_rank!B48/171</f>
        <v>6.4327485380116955E-2</v>
      </c>
      <c r="C48" s="7">
        <f>serv_rank!C48/171</f>
        <v>0.10526315789473684</v>
      </c>
      <c r="D48" s="7">
        <f>serv_rank!D48/171</f>
        <v>8.771929824561403E-2</v>
      </c>
      <c r="E48" s="7">
        <f>serv_rank!E48/171</f>
        <v>3.5087719298245612E-2</v>
      </c>
      <c r="F48" s="7">
        <f>serv_rank!F48/171</f>
        <v>2.3391812865497075E-2</v>
      </c>
      <c r="G48" s="7">
        <f>serv_rank!G48/171</f>
        <v>4.6783625730994149E-2</v>
      </c>
      <c r="H48" s="7">
        <f>serv_rank!H48/171</f>
        <v>9.9415204678362568E-2</v>
      </c>
      <c r="I48" s="7">
        <f>serv_rank!I48/171</f>
        <v>5.8479532163742687E-3</v>
      </c>
      <c r="J48" s="7">
        <f>serv_rank!J48/171</f>
        <v>5.2631578947368418E-2</v>
      </c>
      <c r="K48" s="7">
        <f>serv_rank!K48/171</f>
        <v>1.1695906432748537E-2</v>
      </c>
      <c r="L48" s="7">
        <f>serv_rank!L48/171</f>
        <v>5.8479532163742687E-2</v>
      </c>
      <c r="M48" s="7">
        <f>serv_rank!M48/171</f>
        <v>1.7543859649122806E-2</v>
      </c>
      <c r="N48" s="7">
        <f>serv_rank!N48/171</f>
        <v>4.0935672514619881E-2</v>
      </c>
      <c r="O48" s="7">
        <f>serv_rank!O48/171</f>
        <v>9.3567251461988299E-2</v>
      </c>
      <c r="P48" s="7">
        <f>serv_rank!P48/171</f>
        <v>7.6023391812865493E-2</v>
      </c>
      <c r="Q48" s="7">
        <f>serv_rank!Q48/171</f>
        <v>8.1871345029239762E-2</v>
      </c>
      <c r="R48" s="7">
        <f>serv_rank!R48/171</f>
        <v>7.0175438596491224E-2</v>
      </c>
      <c r="S48" s="7">
        <f>serv_rank!S48/171</f>
        <v>2.9239766081871343E-2</v>
      </c>
    </row>
    <row r="49" spans="1:19" ht="18" customHeight="1" x14ac:dyDescent="0.25">
      <c r="A49" s="5">
        <v>45261</v>
      </c>
      <c r="B49" s="7">
        <f>serv_rank!B49/171</f>
        <v>9.9415204678362568E-2</v>
      </c>
      <c r="C49" s="7">
        <f>serv_rank!C49/171</f>
        <v>0.10526315789473684</v>
      </c>
      <c r="D49" s="7">
        <f>serv_rank!D49/171</f>
        <v>1.1695906432748537E-2</v>
      </c>
      <c r="E49" s="7">
        <f>serv_rank!E49/171</f>
        <v>4.6783625730994149E-2</v>
      </c>
      <c r="F49" s="7">
        <f>serv_rank!F49/171</f>
        <v>3.5087719298245612E-2</v>
      </c>
      <c r="G49" s="7">
        <f>serv_rank!G49/171</f>
        <v>5.2631578947368418E-2</v>
      </c>
      <c r="H49" s="7">
        <f>serv_rank!H49/171</f>
        <v>9.3567251461988299E-2</v>
      </c>
      <c r="I49" s="7">
        <f>serv_rank!I49/171</f>
        <v>2.9239766081871343E-2</v>
      </c>
      <c r="J49" s="7">
        <f>serv_rank!J49/171</f>
        <v>4.0935672514619881E-2</v>
      </c>
      <c r="K49" s="7">
        <f>serv_rank!K49/171</f>
        <v>2.3391812865497075E-2</v>
      </c>
      <c r="L49" s="7">
        <f>serv_rank!L49/171</f>
        <v>8.1871345029239762E-2</v>
      </c>
      <c r="M49" s="7">
        <f>serv_rank!M49/171</f>
        <v>6.4327485380116955E-2</v>
      </c>
      <c r="N49" s="7">
        <f>serv_rank!N49/171</f>
        <v>5.8479532163742687E-2</v>
      </c>
      <c r="O49" s="7">
        <f>serv_rank!O49/171</f>
        <v>5.8479532163742687E-3</v>
      </c>
      <c r="P49" s="7">
        <f>serv_rank!P49/171</f>
        <v>7.0175438596491224E-2</v>
      </c>
      <c r="Q49" s="7">
        <f>serv_rank!Q49/171</f>
        <v>8.771929824561403E-2</v>
      </c>
      <c r="R49" s="7">
        <f>serv_rank!R49/171</f>
        <v>7.6023391812865493E-2</v>
      </c>
      <c r="S49" s="7">
        <f>serv_rank!S49/171</f>
        <v>1.7543859649122806E-2</v>
      </c>
    </row>
    <row r="50" spans="1:19" ht="18" customHeight="1" x14ac:dyDescent="0.25">
      <c r="A50" s="5">
        <v>45292</v>
      </c>
      <c r="B50" s="7">
        <f>serv_rank!B50/171</f>
        <v>7.6023391812865493E-2</v>
      </c>
      <c r="C50" s="7">
        <f>serv_rank!C50/171</f>
        <v>9.9415204678362568E-2</v>
      </c>
      <c r="D50" s="7">
        <f>serv_rank!D50/171</f>
        <v>2.9239766081871343E-2</v>
      </c>
      <c r="E50" s="7">
        <f>serv_rank!E50/171</f>
        <v>7.0175438596491224E-2</v>
      </c>
      <c r="F50" s="7">
        <f>serv_rank!F50/171</f>
        <v>5.8479532163742687E-2</v>
      </c>
      <c r="G50" s="7">
        <f>serv_rank!G50/171</f>
        <v>4.0935672514619881E-2</v>
      </c>
      <c r="H50" s="7">
        <f>serv_rank!H50/171</f>
        <v>0.10526315789473684</v>
      </c>
      <c r="I50" s="7">
        <f>serv_rank!I50/171</f>
        <v>5.8479532163742687E-3</v>
      </c>
      <c r="J50" s="7">
        <f>serv_rank!J50/171</f>
        <v>5.2631578947368418E-2</v>
      </c>
      <c r="K50" s="7">
        <f>serv_rank!K50/171</f>
        <v>2.3391812865497075E-2</v>
      </c>
      <c r="L50" s="7">
        <f>serv_rank!L50/171</f>
        <v>6.4327485380116955E-2</v>
      </c>
      <c r="M50" s="7">
        <f>serv_rank!M50/171</f>
        <v>9.3567251461988299E-2</v>
      </c>
      <c r="N50" s="7">
        <f>serv_rank!N50/171</f>
        <v>8.771929824561403E-2</v>
      </c>
      <c r="O50" s="7">
        <f>serv_rank!O50/171</f>
        <v>1.7543859649122806E-2</v>
      </c>
      <c r="P50" s="7">
        <f>serv_rank!P50/171</f>
        <v>1.1695906432748537E-2</v>
      </c>
      <c r="Q50" s="7">
        <f>serv_rank!Q50/171</f>
        <v>4.6783625730994149E-2</v>
      </c>
      <c r="R50" s="7">
        <f>serv_rank!R50/171</f>
        <v>8.1871345029239762E-2</v>
      </c>
      <c r="S50" s="7">
        <f>serv_rank!S50/171</f>
        <v>3.5087719298245612E-2</v>
      </c>
    </row>
    <row r="51" spans="1:19" ht="18" customHeight="1" x14ac:dyDescent="0.25">
      <c r="A51" s="5">
        <v>45323</v>
      </c>
      <c r="B51" s="7">
        <f>serv_rank!B51/171</f>
        <v>8.1871345029239762E-2</v>
      </c>
      <c r="C51" s="7">
        <f>serv_rank!C51/171</f>
        <v>5.2631578947368418E-2</v>
      </c>
      <c r="D51" s="7">
        <f>serv_rank!D51/171</f>
        <v>5.8479532163742687E-3</v>
      </c>
      <c r="E51" s="7">
        <f>serv_rank!E51/171</f>
        <v>0.10526315789473684</v>
      </c>
      <c r="F51" s="7">
        <f>serv_rank!F51/171</f>
        <v>3.5087719298245612E-2</v>
      </c>
      <c r="G51" s="7">
        <f>serv_rank!G51/171</f>
        <v>5.8479532163742687E-2</v>
      </c>
      <c r="H51" s="7">
        <f>serv_rank!H51/171</f>
        <v>8.771929824561403E-2</v>
      </c>
      <c r="I51" s="7">
        <f>serv_rank!I51/171</f>
        <v>4.0935672514619881E-2</v>
      </c>
      <c r="J51" s="7">
        <f>serv_rank!J51/171</f>
        <v>6.4327485380116955E-2</v>
      </c>
      <c r="K51" s="7">
        <f>serv_rank!K51/171</f>
        <v>1.1695906432748537E-2</v>
      </c>
      <c r="L51" s="7">
        <f>serv_rank!L51/171</f>
        <v>2.3391812865497075E-2</v>
      </c>
      <c r="M51" s="7">
        <f>serv_rank!M51/171</f>
        <v>7.0175438596491224E-2</v>
      </c>
      <c r="N51" s="7">
        <f>serv_rank!N51/171</f>
        <v>9.3567251461988299E-2</v>
      </c>
      <c r="O51" s="7">
        <f>serv_rank!O51/171</f>
        <v>1.7543859649122806E-2</v>
      </c>
      <c r="P51" s="7">
        <f>serv_rank!P51/171</f>
        <v>9.9415204678362568E-2</v>
      </c>
      <c r="Q51" s="7">
        <f>serv_rank!Q51/171</f>
        <v>2.9239766081871343E-2</v>
      </c>
      <c r="R51" s="7">
        <f>serv_rank!R51/171</f>
        <v>7.6023391812865493E-2</v>
      </c>
      <c r="S51" s="7">
        <f>serv_rank!S51/171</f>
        <v>4.6783625730994149E-2</v>
      </c>
    </row>
    <row r="52" spans="1:19" ht="18" customHeight="1" x14ac:dyDescent="0.25">
      <c r="A52" s="5">
        <v>45352</v>
      </c>
      <c r="B52" s="7">
        <f>serv_rank!B52/171</f>
        <v>0.10526315789473684</v>
      </c>
      <c r="C52" s="7">
        <f>serv_rank!C52/171</f>
        <v>9.3567251461988299E-2</v>
      </c>
      <c r="D52" s="7">
        <f>serv_rank!D52/171</f>
        <v>3.2163742690058478E-2</v>
      </c>
      <c r="E52" s="7">
        <f>serv_rank!E52/171</f>
        <v>8.1871345029239762E-2</v>
      </c>
      <c r="F52" s="7">
        <f>serv_rank!F52/171</f>
        <v>8.771929824561403E-2</v>
      </c>
      <c r="G52" s="7">
        <f>serv_rank!G52/171</f>
        <v>4.6783625730994149E-2</v>
      </c>
      <c r="H52" s="7">
        <f>serv_rank!H52/171</f>
        <v>4.0935672514619881E-2</v>
      </c>
      <c r="I52" s="7">
        <f>serv_rank!I52/171</f>
        <v>2.3391812865497075E-2</v>
      </c>
      <c r="J52" s="7">
        <f>serv_rank!J52/171</f>
        <v>7.6023391812865493E-2</v>
      </c>
      <c r="K52" s="7">
        <f>serv_rank!K52/171</f>
        <v>5.8479532163742687E-3</v>
      </c>
      <c r="L52" s="7">
        <f>serv_rank!L52/171</f>
        <v>5.2631578947368418E-2</v>
      </c>
      <c r="M52" s="7">
        <f>serv_rank!M52/171</f>
        <v>9.9415204678362568E-2</v>
      </c>
      <c r="N52" s="7">
        <f>serv_rank!N52/171</f>
        <v>3.2163742690058478E-2</v>
      </c>
      <c r="O52" s="7">
        <f>serv_rank!O52/171</f>
        <v>1.7543859649122806E-2</v>
      </c>
      <c r="P52" s="7">
        <f>serv_rank!P52/171</f>
        <v>6.4327485380116955E-2</v>
      </c>
      <c r="Q52" s="7">
        <f>serv_rank!Q52/171</f>
        <v>1.1695906432748537E-2</v>
      </c>
      <c r="R52" s="7">
        <f>serv_rank!R52/171</f>
        <v>7.0175438596491224E-2</v>
      </c>
      <c r="S52" s="7">
        <f>serv_rank!S52/171</f>
        <v>5.8479532163742687E-2</v>
      </c>
    </row>
    <row r="53" spans="1:19" ht="18" customHeight="1" x14ac:dyDescent="0.25">
      <c r="A53" s="5">
        <v>45383</v>
      </c>
      <c r="B53" s="7">
        <f>serv_rank!B53/171</f>
        <v>0.10526315789473684</v>
      </c>
      <c r="C53" s="7">
        <f>serv_rank!C53/171</f>
        <v>9.3567251461988299E-2</v>
      </c>
      <c r="D53" s="7">
        <f>serv_rank!D53/171</f>
        <v>1.7543859649122806E-2</v>
      </c>
      <c r="E53" s="7">
        <f>serv_rank!E53/171</f>
        <v>9.9415204678362568E-2</v>
      </c>
      <c r="F53" s="7">
        <f>serv_rank!F53/171</f>
        <v>7.0175438596491224E-2</v>
      </c>
      <c r="G53" s="7">
        <f>serv_rank!G53/171</f>
        <v>5.8479532163742687E-2</v>
      </c>
      <c r="H53" s="7">
        <f>serv_rank!H53/171</f>
        <v>5.2631578947368418E-2</v>
      </c>
      <c r="I53" s="7">
        <f>serv_rank!I53/171</f>
        <v>1.1695906432748537E-2</v>
      </c>
      <c r="J53" s="7">
        <f>serv_rank!J53/171</f>
        <v>7.6023391812865493E-2</v>
      </c>
      <c r="K53" s="7">
        <f>serv_rank!K53/171</f>
        <v>8.1871345029239762E-2</v>
      </c>
      <c r="L53" s="7">
        <f>serv_rank!L53/171</f>
        <v>5.8479532163742687E-3</v>
      </c>
      <c r="M53" s="7">
        <f>serv_rank!M53/171</f>
        <v>2.9239766081871343E-2</v>
      </c>
      <c r="N53" s="7">
        <f>serv_rank!N53/171</f>
        <v>4.6783625730994149E-2</v>
      </c>
      <c r="O53" s="7">
        <f>serv_rank!O53/171</f>
        <v>2.3391812865497075E-2</v>
      </c>
      <c r="P53" s="7">
        <f>serv_rank!P53/171</f>
        <v>6.4327485380116955E-2</v>
      </c>
      <c r="Q53" s="7">
        <f>serv_rank!Q53/171</f>
        <v>3.5087719298245612E-2</v>
      </c>
      <c r="R53" s="7">
        <f>serv_rank!R53/171</f>
        <v>8.771929824561403E-2</v>
      </c>
      <c r="S53" s="7">
        <f>serv_rank!S53/171</f>
        <v>4.0935672514619881E-2</v>
      </c>
    </row>
    <row r="54" spans="1:19" ht="18" customHeight="1" x14ac:dyDescent="0.25">
      <c r="A54" s="5">
        <v>45413</v>
      </c>
      <c r="B54" s="7">
        <f>serv_rank!B54/171</f>
        <v>2.3391812865497075E-2</v>
      </c>
      <c r="C54" s="7">
        <f>serv_rank!C54/171</f>
        <v>1.1695906432748537E-2</v>
      </c>
      <c r="D54" s="7">
        <f>serv_rank!D54/171</f>
        <v>1.7543859649122806E-2</v>
      </c>
      <c r="E54" s="7">
        <f>serv_rank!E54/171</f>
        <v>7.0175438596491224E-2</v>
      </c>
      <c r="F54" s="7">
        <f>serv_rank!F54/171</f>
        <v>8.771929824561403E-2</v>
      </c>
      <c r="G54" s="7">
        <f>serv_rank!G54/171</f>
        <v>4.6783625730994149E-2</v>
      </c>
      <c r="H54" s="7">
        <f>serv_rank!H54/171</f>
        <v>9.9415204678362568E-2</v>
      </c>
      <c r="I54" s="7">
        <f>serv_rank!I54/171</f>
        <v>4.0935672514619881E-2</v>
      </c>
      <c r="J54" s="7">
        <f>serv_rank!J54/171</f>
        <v>5.2631578947368418E-2</v>
      </c>
      <c r="K54" s="7">
        <f>serv_rank!K54/171</f>
        <v>2.9239766081871343E-2</v>
      </c>
      <c r="L54" s="7">
        <f>serv_rank!L54/171</f>
        <v>9.3567251461988299E-2</v>
      </c>
      <c r="M54" s="7">
        <f>serv_rank!M54/171</f>
        <v>3.5087719298245612E-2</v>
      </c>
      <c r="N54" s="7">
        <f>serv_rank!N54/171</f>
        <v>5.8479532163742687E-2</v>
      </c>
      <c r="O54" s="7">
        <f>serv_rank!O54/171</f>
        <v>0.10526315789473684</v>
      </c>
      <c r="P54" s="7">
        <f>serv_rank!P54/171</f>
        <v>5.8479532163742687E-3</v>
      </c>
      <c r="Q54" s="7">
        <f>serv_rank!Q54/171</f>
        <v>6.4327485380116955E-2</v>
      </c>
      <c r="R54" s="7">
        <f>serv_rank!R54/171</f>
        <v>8.1871345029239762E-2</v>
      </c>
      <c r="S54" s="7">
        <f>serv_rank!S54/171</f>
        <v>7.6023391812865493E-2</v>
      </c>
    </row>
    <row r="55" spans="1:19" ht="18" customHeight="1" x14ac:dyDescent="0.25">
      <c r="A55" s="5">
        <v>45444</v>
      </c>
      <c r="B55" s="7">
        <f>serv_rank!B55/171</f>
        <v>5.5555555555555552E-2</v>
      </c>
      <c r="C55" s="7">
        <f>serv_rank!C55/171</f>
        <v>5.8479532163742687E-3</v>
      </c>
      <c r="D55" s="7">
        <f>serv_rank!D55/171</f>
        <v>5.5555555555555552E-2</v>
      </c>
      <c r="E55" s="7">
        <f>serv_rank!E55/171</f>
        <v>8.771929824561403E-2</v>
      </c>
      <c r="F55" s="7">
        <f>serv_rank!F55/171</f>
        <v>7.0175438596491224E-2</v>
      </c>
      <c r="G55" s="7">
        <f>serv_rank!G55/171</f>
        <v>7.6023391812865493E-2</v>
      </c>
      <c r="H55" s="7">
        <f>serv_rank!H55/171</f>
        <v>9.3567251461988299E-2</v>
      </c>
      <c r="I55" s="7">
        <f>serv_rank!I55/171</f>
        <v>4.6783625730994149E-2</v>
      </c>
      <c r="J55" s="7">
        <f>serv_rank!J55/171</f>
        <v>9.9415204678362568E-2</v>
      </c>
      <c r="K55" s="7">
        <f>serv_rank!K55/171</f>
        <v>2.6315789473684209E-2</v>
      </c>
      <c r="L55" s="7">
        <f>serv_rank!L55/171</f>
        <v>0.10526315789473684</v>
      </c>
      <c r="M55" s="7">
        <f>serv_rank!M55/171</f>
        <v>6.4327485380116955E-2</v>
      </c>
      <c r="N55" s="7">
        <f>serv_rank!N55/171</f>
        <v>1.1695906432748537E-2</v>
      </c>
      <c r="O55" s="7">
        <f>serv_rank!O55/171</f>
        <v>1.7543859649122806E-2</v>
      </c>
      <c r="P55" s="7">
        <f>serv_rank!P55/171</f>
        <v>2.6315789473684209E-2</v>
      </c>
      <c r="Q55" s="7">
        <f>serv_rank!Q55/171</f>
        <v>4.0935672514619881E-2</v>
      </c>
      <c r="R55" s="7">
        <f>serv_rank!R55/171</f>
        <v>8.1871345029239762E-2</v>
      </c>
      <c r="S55" s="7">
        <f>serv_rank!S55/171</f>
        <v>3.5087719298245612E-2</v>
      </c>
    </row>
    <row r="56" spans="1:19" ht="18" customHeight="1" x14ac:dyDescent="0.25">
      <c r="A56" s="5">
        <v>45474</v>
      </c>
      <c r="B56" s="7">
        <f>serv_rank!B56/171</f>
        <v>9.9415204678362568E-2</v>
      </c>
      <c r="C56" s="7">
        <f>serv_rank!C56/171</f>
        <v>5.8479532163742687E-3</v>
      </c>
      <c r="D56" s="7">
        <f>serv_rank!D56/171</f>
        <v>0.10526315789473684</v>
      </c>
      <c r="E56" s="7">
        <f>serv_rank!E56/171</f>
        <v>8.771929824561403E-2</v>
      </c>
      <c r="F56" s="7">
        <f>serv_rank!F56/171</f>
        <v>4.0935672514619881E-2</v>
      </c>
      <c r="G56" s="7">
        <f>serv_rank!G56/171</f>
        <v>6.4327485380116955E-2</v>
      </c>
      <c r="H56" s="7">
        <f>serv_rank!H56/171</f>
        <v>5.8479532163742687E-2</v>
      </c>
      <c r="I56" s="7">
        <f>serv_rank!I56/171</f>
        <v>3.5087719298245612E-2</v>
      </c>
      <c r="J56" s="7">
        <f>serv_rank!J56/171</f>
        <v>8.1871345029239762E-2</v>
      </c>
      <c r="K56" s="7">
        <f>serv_rank!K56/171</f>
        <v>9.3567251461988299E-2</v>
      </c>
      <c r="L56" s="7">
        <f>serv_rank!L56/171</f>
        <v>4.6783625730994149E-2</v>
      </c>
      <c r="M56" s="7">
        <f>serv_rank!M56/171</f>
        <v>2.9239766081871343E-2</v>
      </c>
      <c r="N56" s="7">
        <f>serv_rank!N56/171</f>
        <v>7.0175438596491224E-2</v>
      </c>
      <c r="O56" s="7">
        <f>serv_rank!O56/171</f>
        <v>1.1695906432748537E-2</v>
      </c>
      <c r="P56" s="7">
        <f>serv_rank!P56/171</f>
        <v>2.3391812865497075E-2</v>
      </c>
      <c r="Q56" s="7">
        <f>serv_rank!Q56/171</f>
        <v>7.6023391812865493E-2</v>
      </c>
      <c r="R56" s="7">
        <f>serv_rank!R56/171</f>
        <v>5.2631578947368418E-2</v>
      </c>
      <c r="S56" s="7">
        <f>serv_rank!S56/171</f>
        <v>1.7543859649122806E-2</v>
      </c>
    </row>
    <row r="57" spans="1:19" ht="18" customHeight="1" x14ac:dyDescent="0.25">
      <c r="A57" s="5">
        <v>45505</v>
      </c>
      <c r="B57" s="7">
        <f>serv_rank!B57/171</f>
        <v>2.9239766081871343E-2</v>
      </c>
      <c r="C57" s="7">
        <f>serv_rank!C57/171</f>
        <v>5.8479532163742687E-3</v>
      </c>
      <c r="D57" s="7">
        <f>serv_rank!D57/171</f>
        <v>0.10526315789473684</v>
      </c>
      <c r="E57" s="7">
        <f>serv_rank!E57/171</f>
        <v>1.7543859649122806E-2</v>
      </c>
      <c r="F57" s="7">
        <f>serv_rank!F57/171</f>
        <v>5.8479532163742687E-2</v>
      </c>
      <c r="G57" s="7">
        <f>serv_rank!G57/171</f>
        <v>7.0175438596491224E-2</v>
      </c>
      <c r="H57" s="7">
        <f>serv_rank!H57/171</f>
        <v>7.6023391812865493E-2</v>
      </c>
      <c r="I57" s="7">
        <f>serv_rank!I57/171</f>
        <v>8.1871345029239762E-2</v>
      </c>
      <c r="J57" s="7">
        <f>serv_rank!J57/171</f>
        <v>3.5087719298245612E-2</v>
      </c>
      <c r="K57" s="7">
        <f>serv_rank!K57/171</f>
        <v>9.9415204678362568E-2</v>
      </c>
      <c r="L57" s="7">
        <f>serv_rank!L57/171</f>
        <v>8.771929824561403E-2</v>
      </c>
      <c r="M57" s="7">
        <f>serv_rank!M57/171</f>
        <v>4.0935672514619881E-2</v>
      </c>
      <c r="N57" s="7">
        <f>serv_rank!N57/171</f>
        <v>6.4327485380116955E-2</v>
      </c>
      <c r="O57" s="7">
        <f>serv_rank!O57/171</f>
        <v>4.6783625730994149E-2</v>
      </c>
      <c r="P57" s="7">
        <f>serv_rank!P57/171</f>
        <v>1.1695906432748537E-2</v>
      </c>
      <c r="Q57" s="7">
        <f>serv_rank!Q57/171</f>
        <v>9.3567251461988299E-2</v>
      </c>
      <c r="R57" s="7">
        <f>serv_rank!R57/171</f>
        <v>5.2631578947368418E-2</v>
      </c>
      <c r="S57" s="7">
        <f>serv_rank!S57/171</f>
        <v>2.3391812865497075E-2</v>
      </c>
    </row>
    <row r="58" spans="1:19" ht="18" customHeight="1" x14ac:dyDescent="0.25">
      <c r="A58" s="5">
        <v>45536</v>
      </c>
      <c r="B58" s="7">
        <f>serv_rank!B58/171</f>
        <v>9.3567251461988299E-2</v>
      </c>
      <c r="C58" s="7">
        <f>serv_rank!C58/171</f>
        <v>1.1695906432748537E-2</v>
      </c>
      <c r="D58" s="7">
        <f>serv_rank!D58/171</f>
        <v>3.5087719298245612E-2</v>
      </c>
      <c r="E58" s="7">
        <f>serv_rank!E58/171</f>
        <v>6.4327485380116955E-2</v>
      </c>
      <c r="F58" s="7">
        <f>serv_rank!F58/171</f>
        <v>4.6783625730994149E-2</v>
      </c>
      <c r="G58" s="7">
        <f>serv_rank!G58/171</f>
        <v>7.0175438596491224E-2</v>
      </c>
      <c r="H58" s="7">
        <f>serv_rank!H58/171</f>
        <v>7.6023391812865493E-2</v>
      </c>
      <c r="I58" s="7">
        <f>serv_rank!I58/171</f>
        <v>5.2631578947368418E-2</v>
      </c>
      <c r="J58" s="7">
        <f>serv_rank!J58/171</f>
        <v>9.9415204678362568E-2</v>
      </c>
      <c r="K58" s="7">
        <f>serv_rank!K58/171</f>
        <v>8.771929824561403E-2</v>
      </c>
      <c r="L58" s="7">
        <f>serv_rank!L58/171</f>
        <v>5.8479532163742687E-3</v>
      </c>
      <c r="M58" s="7">
        <f>serv_rank!M58/171</f>
        <v>2.3391812865497075E-2</v>
      </c>
      <c r="N58" s="7">
        <f>serv_rank!N58/171</f>
        <v>8.1871345029239762E-2</v>
      </c>
      <c r="O58" s="7">
        <f>serv_rank!O58/171</f>
        <v>0.10526315789473684</v>
      </c>
      <c r="P58" s="7">
        <f>serv_rank!P58/171</f>
        <v>2.9239766081871343E-2</v>
      </c>
      <c r="Q58" s="7">
        <f>serv_rank!Q58/171</f>
        <v>5.8479532163742687E-2</v>
      </c>
      <c r="R58" s="7">
        <f>serv_rank!R58/171</f>
        <v>4.0935672514619881E-2</v>
      </c>
      <c r="S58" s="7">
        <f>serv_rank!S58/171</f>
        <v>1.7543859649122806E-2</v>
      </c>
    </row>
    <row r="59" spans="1:19" ht="18" customHeight="1" x14ac:dyDescent="0.25">
      <c r="A59" s="5">
        <v>45566</v>
      </c>
      <c r="B59" s="7">
        <f>serv_rank!B59/171</f>
        <v>8.771929824561403E-2</v>
      </c>
      <c r="C59" s="7">
        <f>serv_rank!C59/171</f>
        <v>2.046783625730994E-2</v>
      </c>
      <c r="D59" s="7">
        <f>serv_rank!D59/171</f>
        <v>2.046783625730994E-2</v>
      </c>
      <c r="E59" s="7">
        <f>serv_rank!E59/171</f>
        <v>7.6023391812865493E-2</v>
      </c>
      <c r="F59" s="7">
        <f>serv_rank!F59/171</f>
        <v>4.6783625730994149E-2</v>
      </c>
      <c r="G59" s="7">
        <f>serv_rank!G59/171</f>
        <v>8.1871345029239762E-2</v>
      </c>
      <c r="H59" s="7">
        <f>serv_rank!H59/171</f>
        <v>3.5087719298245612E-2</v>
      </c>
      <c r="I59" s="7">
        <f>serv_rank!I59/171</f>
        <v>9.9415204678362568E-2</v>
      </c>
      <c r="J59" s="7">
        <f>serv_rank!J59/171</f>
        <v>1.1695906432748537E-2</v>
      </c>
      <c r="K59" s="7">
        <f>serv_rank!K59/171</f>
        <v>7.0175438596491224E-2</v>
      </c>
      <c r="L59" s="7">
        <f>serv_rank!L59/171</f>
        <v>5.8479532163742687E-3</v>
      </c>
      <c r="M59" s="7">
        <f>serv_rank!M59/171</f>
        <v>4.0935672514619881E-2</v>
      </c>
      <c r="N59" s="7">
        <f>serv_rank!N59/171</f>
        <v>6.4327485380116955E-2</v>
      </c>
      <c r="O59" s="7">
        <f>serv_rank!O59/171</f>
        <v>5.2631578947368418E-2</v>
      </c>
      <c r="P59" s="7">
        <f>serv_rank!P59/171</f>
        <v>0.10526315789473684</v>
      </c>
      <c r="Q59" s="7">
        <f>serv_rank!Q59/171</f>
        <v>9.3567251461988299E-2</v>
      </c>
      <c r="R59" s="7">
        <f>serv_rank!R59/171</f>
        <v>5.8479532163742687E-2</v>
      </c>
      <c r="S59" s="7">
        <f>serv_rank!S59/171</f>
        <v>2.9239766081871343E-2</v>
      </c>
    </row>
    <row r="60" spans="1:19" ht="18" customHeight="1" x14ac:dyDescent="0.25">
      <c r="A60" s="5">
        <v>45597</v>
      </c>
      <c r="B60" s="7">
        <f>serv_rank!B60/171</f>
        <v>0.10526315789473684</v>
      </c>
      <c r="C60" s="7">
        <f>serv_rank!C60/171</f>
        <v>8.1871345029239762E-2</v>
      </c>
      <c r="D60" s="7">
        <f>serv_rank!D60/171</f>
        <v>9.9415204678362568E-2</v>
      </c>
      <c r="E60" s="7">
        <f>serv_rank!E60/171</f>
        <v>3.5087719298245612E-2</v>
      </c>
      <c r="F60" s="7">
        <f>serv_rank!F60/171</f>
        <v>1.7543859649122806E-2</v>
      </c>
      <c r="G60" s="7">
        <f>serv_rank!G60/171</f>
        <v>7.0175438596491224E-2</v>
      </c>
      <c r="H60" s="7">
        <f>serv_rank!H60/171</f>
        <v>9.3567251461988299E-2</v>
      </c>
      <c r="I60" s="7">
        <f>serv_rank!I60/171</f>
        <v>4.6783625730994149E-2</v>
      </c>
      <c r="J60" s="7">
        <f>serv_rank!J60/171</f>
        <v>6.4327485380116955E-2</v>
      </c>
      <c r="K60" s="7">
        <f>serv_rank!K60/171</f>
        <v>5.8479532163742687E-3</v>
      </c>
      <c r="L60" s="7">
        <f>serv_rank!L60/171</f>
        <v>2.3391812865497075E-2</v>
      </c>
      <c r="M60" s="7">
        <f>serv_rank!M60/171</f>
        <v>4.0935672514619881E-2</v>
      </c>
      <c r="N60" s="7">
        <f>serv_rank!N60/171</f>
        <v>7.6023391812865493E-2</v>
      </c>
      <c r="O60" s="7">
        <f>serv_rank!O60/171</f>
        <v>1.1695906432748537E-2</v>
      </c>
      <c r="P60" s="7">
        <f>serv_rank!P60/171</f>
        <v>5.8479532163742687E-2</v>
      </c>
      <c r="Q60" s="7">
        <f>serv_rank!Q60/171</f>
        <v>5.2631578947368418E-2</v>
      </c>
      <c r="R60" s="7">
        <f>serv_rank!R60/171</f>
        <v>2.9239766081871343E-2</v>
      </c>
      <c r="S60" s="7">
        <f>serv_rank!S60/171</f>
        <v>8.771929824561403E-2</v>
      </c>
    </row>
    <row r="61" spans="1:19" ht="18" customHeight="1" x14ac:dyDescent="0.25">
      <c r="A61" s="5">
        <v>45627</v>
      </c>
      <c r="B61" s="7">
        <f>serv_rank!B61/171</f>
        <v>7.0175438596491224E-2</v>
      </c>
      <c r="C61" s="7">
        <f>serv_rank!C61/171</f>
        <v>1.7543859649122806E-2</v>
      </c>
      <c r="D61" s="7">
        <f>serv_rank!D61/171</f>
        <v>9.9415204678362568E-2</v>
      </c>
      <c r="E61" s="7">
        <f>serv_rank!E61/171</f>
        <v>4.6783625730994149E-2</v>
      </c>
      <c r="F61" s="7">
        <f>serv_rank!F61/171</f>
        <v>1.1695906432748537E-2</v>
      </c>
      <c r="G61" s="7">
        <f>serv_rank!G61/171</f>
        <v>0.10526315789473684</v>
      </c>
      <c r="H61" s="7">
        <f>serv_rank!H61/171</f>
        <v>8.771929824561403E-2</v>
      </c>
      <c r="I61" s="7">
        <f>serv_rank!I61/171</f>
        <v>2.9239766081871343E-2</v>
      </c>
      <c r="J61" s="7">
        <f>serv_rank!J61/171</f>
        <v>3.5087719298245612E-2</v>
      </c>
      <c r="K61" s="7">
        <f>serv_rank!K61/171</f>
        <v>4.6783625730994149E-2</v>
      </c>
      <c r="L61" s="7">
        <f>serv_rank!L61/171</f>
        <v>4.6783625730994149E-2</v>
      </c>
      <c r="M61" s="7">
        <f>serv_rank!M61/171</f>
        <v>2.3391812865497075E-2</v>
      </c>
      <c r="N61" s="7">
        <f>serv_rank!N61/171</f>
        <v>7.6023391812865493E-2</v>
      </c>
      <c r="O61" s="7">
        <f>serv_rank!O61/171</f>
        <v>5.8479532163742687E-3</v>
      </c>
      <c r="P61" s="7">
        <f>serv_rank!P61/171</f>
        <v>9.3567251461988299E-2</v>
      </c>
      <c r="Q61" s="7">
        <f>serv_rank!Q61/171</f>
        <v>8.1871345029239762E-2</v>
      </c>
      <c r="R61" s="7">
        <f>serv_rank!R61/171</f>
        <v>5.8479532163742687E-2</v>
      </c>
      <c r="S61" s="7">
        <f>serv_rank!S61/171</f>
        <v>6.4327485380116955E-2</v>
      </c>
    </row>
    <row r="62" spans="1:19" ht="18" customHeight="1" x14ac:dyDescent="0.25">
      <c r="A62" s="5">
        <v>45658</v>
      </c>
      <c r="B62" s="7">
        <f>serv_rank!B62/171</f>
        <v>9.9415204678362568E-2</v>
      </c>
      <c r="C62" s="7">
        <f>serv_rank!C62/171</f>
        <v>0.10526315789473684</v>
      </c>
      <c r="D62" s="7">
        <f>serv_rank!D62/171</f>
        <v>2.3391812865497075E-2</v>
      </c>
      <c r="E62" s="7">
        <f>serv_rank!E62/171</f>
        <v>4.6783625730994149E-2</v>
      </c>
      <c r="F62" s="7">
        <f>serv_rank!F62/171</f>
        <v>7.0175438596491224E-2</v>
      </c>
      <c r="G62" s="7">
        <f>serv_rank!G62/171</f>
        <v>8.1871345029239762E-2</v>
      </c>
      <c r="H62" s="7">
        <f>serv_rank!H62/171</f>
        <v>7.6023391812865493E-2</v>
      </c>
      <c r="I62" s="7">
        <f>serv_rank!I62/171</f>
        <v>5.2631578947368418E-2</v>
      </c>
      <c r="J62" s="7">
        <f>serv_rank!J62/171</f>
        <v>4.0935672514619881E-2</v>
      </c>
      <c r="K62" s="7">
        <f>serv_rank!K62/171</f>
        <v>9.3567251461988299E-2</v>
      </c>
      <c r="L62" s="7">
        <f>serv_rank!L62/171</f>
        <v>5.8479532163742687E-3</v>
      </c>
      <c r="M62" s="7">
        <f>serv_rank!M62/171</f>
        <v>1.7543859649122806E-2</v>
      </c>
      <c r="N62" s="7">
        <f>serv_rank!N62/171</f>
        <v>3.5087719298245612E-2</v>
      </c>
      <c r="O62" s="7">
        <f>serv_rank!O62/171</f>
        <v>1.1695906432748537E-2</v>
      </c>
      <c r="P62" s="7">
        <f>serv_rank!P62/171</f>
        <v>5.8479532163742687E-2</v>
      </c>
      <c r="Q62" s="7">
        <f>serv_rank!Q62/171</f>
        <v>6.4327485380116955E-2</v>
      </c>
      <c r="R62" s="7">
        <f>serv_rank!R62/171</f>
        <v>2.9239766081871343E-2</v>
      </c>
      <c r="S62" s="7">
        <f>serv_rank!S62/171</f>
        <v>8.771929824561403E-2</v>
      </c>
    </row>
    <row r="63" spans="1:19" ht="18" customHeight="1" x14ac:dyDescent="0.25">
      <c r="A63" s="5">
        <v>45689</v>
      </c>
      <c r="B63" s="7">
        <f>serv_rank!B63/171</f>
        <v>4.6783625730994149E-2</v>
      </c>
      <c r="C63" s="7">
        <f>serv_rank!C63/171</f>
        <v>8.1871345029239762E-2</v>
      </c>
      <c r="D63" s="7">
        <f>serv_rank!D63/171</f>
        <v>2.3391812865497075E-2</v>
      </c>
      <c r="E63" s="7">
        <f>serv_rank!E63/171</f>
        <v>5.8479532163742687E-2</v>
      </c>
      <c r="F63" s="7">
        <f>serv_rank!F63/171</f>
        <v>1.7543859649122806E-2</v>
      </c>
      <c r="G63" s="7">
        <f>serv_rank!G63/171</f>
        <v>9.9415204678362568E-2</v>
      </c>
      <c r="H63" s="7">
        <f>serv_rank!H63/171</f>
        <v>6.4327485380116955E-2</v>
      </c>
      <c r="I63" s="7">
        <f>serv_rank!I63/171</f>
        <v>3.5087719298245612E-2</v>
      </c>
      <c r="J63" s="7">
        <f>serv_rank!J63/171</f>
        <v>5.8479532163742687E-3</v>
      </c>
      <c r="K63" s="7">
        <f>serv_rank!K63/171</f>
        <v>7.6023391812865493E-2</v>
      </c>
      <c r="L63" s="7">
        <f>serv_rank!L63/171</f>
        <v>0.10526315789473684</v>
      </c>
      <c r="M63" s="7">
        <f>serv_rank!M63/171</f>
        <v>4.0935672514619881E-2</v>
      </c>
      <c r="N63" s="7">
        <f>serv_rank!N63/171</f>
        <v>2.9239766081871343E-2</v>
      </c>
      <c r="O63" s="7">
        <f>serv_rank!O63/171</f>
        <v>7.0175438596491224E-2</v>
      </c>
      <c r="P63" s="7">
        <f>serv_rank!P63/171</f>
        <v>1.1695906432748537E-2</v>
      </c>
      <c r="Q63" s="7">
        <f>serv_rank!Q63/171</f>
        <v>5.2631578947368418E-2</v>
      </c>
      <c r="R63" s="7">
        <f>serv_rank!R63/171</f>
        <v>8.771929824561403E-2</v>
      </c>
      <c r="S63" s="7">
        <f>serv_rank!S63/171</f>
        <v>9.3567251461988299E-2</v>
      </c>
    </row>
    <row r="64" spans="1:19" ht="18" customHeight="1" x14ac:dyDescent="0.25">
      <c r="A64" s="5">
        <v>45717</v>
      </c>
      <c r="B64" s="7">
        <f>serv_rank!B64/171</f>
        <v>0.10526315789473684</v>
      </c>
      <c r="C64" s="7">
        <f>serv_rank!C64/171</f>
        <v>7.0175438596491224E-2</v>
      </c>
      <c r="D64" s="7">
        <f>serv_rank!D64/171</f>
        <v>2.3391812865497075E-2</v>
      </c>
      <c r="E64" s="7">
        <f>serv_rank!E64/171</f>
        <v>6.4327485380116955E-2</v>
      </c>
      <c r="F64" s="7">
        <f>serv_rank!F64/171</f>
        <v>2.9239766081871343E-2</v>
      </c>
      <c r="G64" s="7">
        <f>serv_rank!G64/171</f>
        <v>9.3567251461988299E-2</v>
      </c>
      <c r="H64" s="7">
        <f>serv_rank!H64/171</f>
        <v>3.5087719298245612E-2</v>
      </c>
      <c r="I64" s="7">
        <f>serv_rank!I64/171</f>
        <v>4.0935672514619881E-2</v>
      </c>
      <c r="J64" s="7">
        <f>serv_rank!J64/171</f>
        <v>5.8479532163742687E-3</v>
      </c>
      <c r="K64" s="7">
        <f>serv_rank!K64/171</f>
        <v>4.6783625730994149E-2</v>
      </c>
      <c r="L64" s="7">
        <f>serv_rank!L64/171</f>
        <v>1.7543859649122806E-2</v>
      </c>
      <c r="M64" s="7">
        <f>serv_rank!M64/171</f>
        <v>1.1695906432748537E-2</v>
      </c>
      <c r="N64" s="7">
        <f>serv_rank!N64/171</f>
        <v>8.1871345029239762E-2</v>
      </c>
      <c r="O64" s="7">
        <f>serv_rank!O64/171</f>
        <v>5.8479532163742687E-2</v>
      </c>
      <c r="P64" s="7">
        <f>serv_rank!P64/171</f>
        <v>5.2631578947368418E-2</v>
      </c>
      <c r="Q64" s="7">
        <f>serv_rank!Q64/171</f>
        <v>9.9415204678362568E-2</v>
      </c>
      <c r="R64" s="7">
        <f>serv_rank!R64/171</f>
        <v>7.6023391812865493E-2</v>
      </c>
      <c r="S64" s="7">
        <f>serv_rank!S64/171</f>
        <v>8.771929824561403E-2</v>
      </c>
    </row>
    <row r="65" spans="1:19" ht="18" customHeight="1" x14ac:dyDescent="0.25">
      <c r="A65" s="5">
        <v>45748</v>
      </c>
      <c r="B65" s="7">
        <f>serv_rank!B65/171</f>
        <v>0.10526315789473684</v>
      </c>
      <c r="C65" s="7">
        <f>serv_rank!C65/171</f>
        <v>5.8479532163742687E-3</v>
      </c>
      <c r="D65" s="7">
        <f>serv_rank!D65/171</f>
        <v>7.6023391812865493E-2</v>
      </c>
      <c r="E65" s="7">
        <f>serv_rank!E65/171</f>
        <v>3.5087719298245612E-2</v>
      </c>
      <c r="F65" s="7">
        <f>serv_rank!F65/171</f>
        <v>5.2631578947368418E-2</v>
      </c>
      <c r="G65" s="7">
        <f>serv_rank!G65/171</f>
        <v>1.7543859649122806E-2</v>
      </c>
      <c r="H65" s="7">
        <f>serv_rank!H65/171</f>
        <v>7.0175438596491224E-2</v>
      </c>
      <c r="I65" s="7">
        <f>serv_rank!I65/171</f>
        <v>5.8479532163742687E-2</v>
      </c>
      <c r="J65" s="7">
        <f>serv_rank!J65/171</f>
        <v>2.3391812865497075E-2</v>
      </c>
      <c r="K65" s="7">
        <f>serv_rank!K65/171</f>
        <v>9.3567251461988299E-2</v>
      </c>
      <c r="L65" s="7">
        <f>serv_rank!L65/171</f>
        <v>4.0935672514619881E-2</v>
      </c>
      <c r="M65" s="7">
        <f>serv_rank!M65/171</f>
        <v>1.1695906432748537E-2</v>
      </c>
      <c r="N65" s="7">
        <f>serv_rank!N65/171</f>
        <v>2.9239766081871343E-2</v>
      </c>
      <c r="O65" s="7">
        <f>serv_rank!O65/171</f>
        <v>8.771929824561403E-2</v>
      </c>
      <c r="P65" s="7">
        <f>serv_rank!P65/171</f>
        <v>8.1871345029239762E-2</v>
      </c>
      <c r="Q65" s="7">
        <f>serv_rank!Q65/171</f>
        <v>6.4327485380116955E-2</v>
      </c>
      <c r="R65" s="7">
        <f>serv_rank!R65/171</f>
        <v>4.6783625730994149E-2</v>
      </c>
      <c r="S65" s="7">
        <f>serv_rank!S65/171</f>
        <v>9.9415204678362568E-2</v>
      </c>
    </row>
    <row r="66" spans="1:19" ht="18" customHeight="1" x14ac:dyDescent="0.25">
      <c r="A66" s="5">
        <v>45778</v>
      </c>
      <c r="B66" s="7">
        <f>serv_rank!B66/171</f>
        <v>0.10526315789473684</v>
      </c>
      <c r="C66" s="7">
        <f>serv_rank!C66/171</f>
        <v>2.3391812865497075E-2</v>
      </c>
      <c r="D66" s="7">
        <f>serv_rank!D66/171</f>
        <v>9.9415204678362568E-2</v>
      </c>
      <c r="E66" s="7">
        <f>serv_rank!E66/171</f>
        <v>3.5087719298245612E-2</v>
      </c>
      <c r="F66" s="7">
        <f>serv_rank!F66/171</f>
        <v>7.6023391812865493E-2</v>
      </c>
      <c r="G66" s="7">
        <f>serv_rank!G66/171</f>
        <v>2.9239766081871343E-2</v>
      </c>
      <c r="H66" s="7">
        <f>serv_rank!H66/171</f>
        <v>5.8479532163742687E-2</v>
      </c>
      <c r="I66" s="7">
        <f>serv_rank!I66/171</f>
        <v>6.4327485380116955E-2</v>
      </c>
      <c r="J66" s="7">
        <f>serv_rank!J66/171</f>
        <v>1.7543859649122806E-2</v>
      </c>
      <c r="K66" s="7">
        <f>serv_rank!K66/171</f>
        <v>8.771929824561403E-2</v>
      </c>
      <c r="L66" s="7">
        <f>serv_rank!L66/171</f>
        <v>5.8479532163742687E-3</v>
      </c>
      <c r="M66" s="7">
        <f>serv_rank!M66/171</f>
        <v>5.2631578947368418E-2</v>
      </c>
      <c r="N66" s="7">
        <f>serv_rank!N66/171</f>
        <v>9.3567251461988299E-2</v>
      </c>
      <c r="O66" s="7">
        <f>serv_rank!O66/171</f>
        <v>7.0175438596491224E-2</v>
      </c>
      <c r="P66" s="7">
        <f>serv_rank!P66/171</f>
        <v>1.1695906432748537E-2</v>
      </c>
      <c r="Q66" s="7">
        <f>serv_rank!Q66/171</f>
        <v>4.0935672514619881E-2</v>
      </c>
      <c r="R66" s="7">
        <f>serv_rank!R66/171</f>
        <v>8.1871345029239762E-2</v>
      </c>
      <c r="S66" s="7">
        <f>serv_rank!S66/171</f>
        <v>4.6783625730994149E-2</v>
      </c>
    </row>
    <row r="67" spans="1:19" ht="18" customHeight="1" x14ac:dyDescent="0.25">
      <c r="A67" s="5">
        <v>45809</v>
      </c>
      <c r="B67" s="7">
        <f>serv_rank!B67/171</f>
        <v>4.3859649122807015E-2</v>
      </c>
      <c r="C67" s="7">
        <f>serv_rank!C67/171</f>
        <v>5.8479532163742687E-3</v>
      </c>
      <c r="D67" s="7">
        <f>serv_rank!D67/171</f>
        <v>8.771929824561403E-2</v>
      </c>
      <c r="E67" s="7">
        <f>serv_rank!E67/171</f>
        <v>1.1695906432748537E-2</v>
      </c>
      <c r="F67" s="7">
        <f>serv_rank!F67/171</f>
        <v>3.5087719298245612E-2</v>
      </c>
      <c r="G67" s="7">
        <f>serv_rank!G67/171</f>
        <v>4.3859649122807015E-2</v>
      </c>
      <c r="H67" s="7">
        <f>serv_rank!H67/171</f>
        <v>2.3391812865497075E-2</v>
      </c>
      <c r="I67" s="7">
        <f>serv_rank!I67/171</f>
        <v>5.8479532163742687E-2</v>
      </c>
      <c r="J67" s="7">
        <f>serv_rank!J67/171</f>
        <v>8.1871345029239762E-2</v>
      </c>
      <c r="K67" s="7">
        <f>serv_rank!K67/171</f>
        <v>1.7543859649122806E-2</v>
      </c>
      <c r="L67" s="7">
        <f>serv_rank!L67/171</f>
        <v>0.10526315789473684</v>
      </c>
      <c r="M67" s="7">
        <f>serv_rank!M67/171</f>
        <v>2.9239766081871343E-2</v>
      </c>
      <c r="N67" s="7">
        <f>serv_rank!N67/171</f>
        <v>7.0175438596491224E-2</v>
      </c>
      <c r="O67" s="7">
        <f>serv_rank!O67/171</f>
        <v>5.2631578947368418E-2</v>
      </c>
      <c r="P67" s="7">
        <f>serv_rank!P67/171</f>
        <v>6.4327485380116955E-2</v>
      </c>
      <c r="Q67" s="7">
        <f>serv_rank!Q67/171</f>
        <v>9.9415204678362568E-2</v>
      </c>
      <c r="R67" s="7">
        <f>serv_rank!R67/171</f>
        <v>9.3567251461988299E-2</v>
      </c>
      <c r="S67" s="7">
        <f>serv_rank!S67/171</f>
        <v>7.6023391812865493E-2</v>
      </c>
    </row>
    <row r="68" spans="1:19" ht="18" customHeight="1" x14ac:dyDescent="0.25">
      <c r="A68" s="5">
        <v>45839</v>
      </c>
      <c r="B68" s="7">
        <f>serv_rank!B68/171</f>
        <v>5.8479532163742687E-3</v>
      </c>
      <c r="C68" s="7">
        <f>serv_rank!C68/171</f>
        <v>2.9239766081871343E-2</v>
      </c>
      <c r="D68" s="7">
        <f>serv_rank!D68/171</f>
        <v>3.5087719298245612E-2</v>
      </c>
      <c r="E68" s="7">
        <f>serv_rank!E68/171</f>
        <v>1.1695906432748537E-2</v>
      </c>
      <c r="F68" s="7">
        <f>serv_rank!F68/171</f>
        <v>2.3391812865497075E-2</v>
      </c>
      <c r="G68" s="7">
        <f>serv_rank!G68/171</f>
        <v>9.3567251461988299E-2</v>
      </c>
      <c r="H68" s="7">
        <f>serv_rank!H68/171</f>
        <v>4.6783625730994149E-2</v>
      </c>
      <c r="I68" s="7">
        <f>serv_rank!I68/171</f>
        <v>5.8479532163742687E-2</v>
      </c>
      <c r="J68" s="7">
        <f>serv_rank!J68/171</f>
        <v>7.6023391812865493E-2</v>
      </c>
      <c r="K68" s="7">
        <f>serv_rank!K68/171</f>
        <v>1.7543859649122806E-2</v>
      </c>
      <c r="L68" s="7">
        <f>serv_rank!L68/171</f>
        <v>8.1871345029239762E-2</v>
      </c>
      <c r="M68" s="7">
        <f>serv_rank!M68/171</f>
        <v>4.0935672514619881E-2</v>
      </c>
      <c r="N68" s="7">
        <f>serv_rank!N68/171</f>
        <v>7.0175438596491224E-2</v>
      </c>
      <c r="O68" s="7">
        <f>serv_rank!O68/171</f>
        <v>6.4327485380116955E-2</v>
      </c>
      <c r="P68" s="7">
        <f>serv_rank!P68/171</f>
        <v>8.771929824561403E-2</v>
      </c>
      <c r="Q68" s="7">
        <f>serv_rank!Q68/171</f>
        <v>0.10526315789473684</v>
      </c>
      <c r="R68" s="7">
        <f>serv_rank!R68/171</f>
        <v>5.2631578947368418E-2</v>
      </c>
      <c r="S68" s="7">
        <f>serv_rank!S68/171</f>
        <v>9.9415204678362568E-2</v>
      </c>
    </row>
    <row r="69" spans="1:19" ht="18" customHeight="1" x14ac:dyDescent="0.25">
      <c r="A69" s="5">
        <v>45870</v>
      </c>
      <c r="B69" s="7">
        <f>serv_rank!B69/171</f>
        <v>5.8479532163742687E-3</v>
      </c>
      <c r="C69" s="7">
        <f>serv_rank!C69/171</f>
        <v>3.2163742690058478E-2</v>
      </c>
      <c r="D69" s="7">
        <f>serv_rank!D69/171</f>
        <v>9.3567251461988299E-2</v>
      </c>
      <c r="E69" s="7">
        <f>serv_rank!E69/171</f>
        <v>2.3391812865497075E-2</v>
      </c>
      <c r="F69" s="7">
        <f>serv_rank!F69/171</f>
        <v>7.6023391812865493E-2</v>
      </c>
      <c r="G69" s="7">
        <f>serv_rank!G69/171</f>
        <v>3.2163742690058478E-2</v>
      </c>
      <c r="H69" s="7">
        <f>serv_rank!H69/171</f>
        <v>5.2631578947368418E-2</v>
      </c>
      <c r="I69" s="7">
        <f>serv_rank!I69/171</f>
        <v>0.10526315789473684</v>
      </c>
      <c r="J69" s="7">
        <f>serv_rank!J69/171</f>
        <v>1.1695906432748537E-2</v>
      </c>
      <c r="K69" s="7">
        <f>serv_rank!K69/171</f>
        <v>8.771929824561403E-2</v>
      </c>
      <c r="L69" s="7">
        <f>serv_rank!L69/171</f>
        <v>1.7543859649122806E-2</v>
      </c>
      <c r="M69" s="7">
        <f>serv_rank!M69/171</f>
        <v>7.0175438596491224E-2</v>
      </c>
      <c r="N69" s="7">
        <f>serv_rank!N69/171</f>
        <v>4.6783625730994149E-2</v>
      </c>
      <c r="O69" s="7">
        <f>serv_rank!O69/171</f>
        <v>4.0935672514619881E-2</v>
      </c>
      <c r="P69" s="7">
        <f>serv_rank!P69/171</f>
        <v>6.4327485380116955E-2</v>
      </c>
      <c r="Q69" s="7">
        <f>serv_rank!Q69/171</f>
        <v>8.1871345029239762E-2</v>
      </c>
      <c r="R69" s="7">
        <f>serv_rank!R69/171</f>
        <v>5.8479532163742687E-2</v>
      </c>
      <c r="S69" s="7">
        <f>serv_rank!S69/171</f>
        <v>9.9415204678362568E-2</v>
      </c>
    </row>
    <row r="70" spans="1:19" ht="18" customHeight="1" x14ac:dyDescent="0.25">
      <c r="A70" s="5">
        <v>45901</v>
      </c>
      <c r="B70" s="7">
        <f>serv_rank!B70/171</f>
        <v>0.10526315789473684</v>
      </c>
      <c r="C70" s="7">
        <f>serv_rank!C70/171</f>
        <v>1.1695906432748537E-2</v>
      </c>
      <c r="D70" s="7">
        <f>serv_rank!D70/171</f>
        <v>4.6783625730994149E-2</v>
      </c>
      <c r="E70" s="7">
        <f>serv_rank!E70/171</f>
        <v>1.7543859649122806E-2</v>
      </c>
      <c r="F70" s="7">
        <f>serv_rank!F70/171</f>
        <v>7.6023391812865493E-2</v>
      </c>
      <c r="G70" s="7">
        <f>serv_rank!G70/171</f>
        <v>6.4327485380116955E-2</v>
      </c>
      <c r="H70" s="7">
        <f>serv_rank!H70/171</f>
        <v>9.9415204678362568E-2</v>
      </c>
      <c r="I70" s="7">
        <f>serv_rank!I70/171</f>
        <v>8.771929824561403E-2</v>
      </c>
      <c r="J70" s="7">
        <f>serv_rank!J70/171</f>
        <v>2.3391812865497075E-2</v>
      </c>
      <c r="K70" s="7">
        <f>serv_rank!K70/171</f>
        <v>5.8479532163742687E-3</v>
      </c>
      <c r="L70" s="7">
        <f>serv_rank!L70/171</f>
        <v>9.3567251461988299E-2</v>
      </c>
      <c r="M70" s="7">
        <f>serv_rank!M70/171</f>
        <v>2.9239766081871343E-2</v>
      </c>
      <c r="N70" s="7">
        <f>serv_rank!N70/171</f>
        <v>8.1871345029239762E-2</v>
      </c>
      <c r="O70" s="7">
        <f>serv_rank!O70/171</f>
        <v>4.0935672514619881E-2</v>
      </c>
      <c r="P70" s="7">
        <f>serv_rank!P70/171</f>
        <v>3.5087719298245612E-2</v>
      </c>
      <c r="Q70" s="7">
        <f>serv_rank!Q70/171</f>
        <v>5.8479532163742687E-2</v>
      </c>
      <c r="R70" s="7">
        <f>serv_rank!R70/171</f>
        <v>5.2631578947368418E-2</v>
      </c>
      <c r="S70" s="7">
        <f>serv_rank!S70/171</f>
        <v>7.0175438596491224E-2</v>
      </c>
    </row>
    <row r="71" spans="1:19" ht="18" customHeight="1" x14ac:dyDescent="0.25">
      <c r="A71" s="5">
        <v>45931</v>
      </c>
      <c r="B71" s="7">
        <f>serv_rank!B71/171</f>
        <v>0.10526315789473684</v>
      </c>
      <c r="C71" s="7">
        <f>serv_rank!C71/171</f>
        <v>6.4327485380116955E-2</v>
      </c>
      <c r="D71" s="7">
        <f>serv_rank!D71/171</f>
        <v>5.8479532163742687E-3</v>
      </c>
      <c r="E71" s="7">
        <f>serv_rank!E71/171</f>
        <v>2.9239766081871343E-2</v>
      </c>
      <c r="F71" s="7">
        <f>serv_rank!F71/171</f>
        <v>4.6783625730994149E-2</v>
      </c>
      <c r="G71" s="7">
        <f>serv_rank!G71/171</f>
        <v>1.7543859649122806E-2</v>
      </c>
      <c r="H71" s="7">
        <f>serv_rank!H71/171</f>
        <v>8.1871345029239762E-2</v>
      </c>
      <c r="I71" s="7">
        <f>serv_rank!I71/171</f>
        <v>5.8479532163742687E-2</v>
      </c>
      <c r="J71" s="7">
        <f>serv_rank!J71/171</f>
        <v>1.1695906432748537E-2</v>
      </c>
      <c r="K71" s="7">
        <f>serv_rank!K71/171</f>
        <v>4.0935672514619881E-2</v>
      </c>
      <c r="L71" s="7">
        <f>serv_rank!L71/171</f>
        <v>3.5087719298245612E-2</v>
      </c>
      <c r="M71" s="7">
        <f>serv_rank!M71/171</f>
        <v>5.2631578947368418E-2</v>
      </c>
      <c r="N71" s="7">
        <f>serv_rank!N71/171</f>
        <v>2.3391812865497075E-2</v>
      </c>
      <c r="O71" s="7">
        <f>serv_rank!O71/171</f>
        <v>8.771929824561403E-2</v>
      </c>
      <c r="P71" s="7">
        <f>serv_rank!P71/171</f>
        <v>9.9415204678362568E-2</v>
      </c>
      <c r="Q71" s="7">
        <f>serv_rank!Q71/171</f>
        <v>7.0175438596491224E-2</v>
      </c>
      <c r="R71" s="7">
        <f>serv_rank!R71/171</f>
        <v>7.6023391812865493E-2</v>
      </c>
      <c r="S71" s="7">
        <f>serv_rank!S71/171</f>
        <v>9.3567251461988299E-2</v>
      </c>
    </row>
    <row r="72" spans="1:19" ht="18" customHeight="1" x14ac:dyDescent="0.25"/>
    <row r="73" spans="1:19" ht="18" customHeight="1" x14ac:dyDescent="0.25"/>
    <row r="74" spans="1:19" ht="18" customHeight="1" x14ac:dyDescent="0.25"/>
    <row r="75" spans="1:19" ht="18" customHeight="1" x14ac:dyDescent="0.25"/>
    <row r="76" spans="1:19" ht="18" customHeight="1" x14ac:dyDescent="0.25"/>
    <row r="77" spans="1:19" ht="18" customHeight="1" x14ac:dyDescent="0.25"/>
    <row r="78" spans="1:19" ht="18" customHeight="1" x14ac:dyDescent="0.25"/>
    <row r="79" spans="1:19" ht="18" customHeight="1" x14ac:dyDescent="0.25"/>
    <row r="80" spans="1:19"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sheetData>
  <hyperlinks>
    <hyperlink ref="Q1" r:id="rId1" display="Textile Mills" xr:uid="{354AF24C-253F-4F99-858F-B075787D872D}"/>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7E2E-885F-4070-A5DC-4D8FE1877843}">
  <sheetPr>
    <tabColor rgb="FFFF0000"/>
  </sheetPr>
  <dimension ref="A1:S98"/>
  <sheetViews>
    <sheetView showGridLines="0" workbookViewId="0">
      <pane xSplit="1" ySplit="1" topLeftCell="B62" activePane="bottomRight" state="frozen"/>
      <selection pane="topRight" activeCell="C1" sqref="C1"/>
      <selection pane="bottomLeft" activeCell="A3" sqref="A3"/>
      <selection pane="bottomRight" activeCell="A71" sqref="A71"/>
    </sheetView>
  </sheetViews>
  <sheetFormatPr defaultRowHeight="15" x14ac:dyDescent="0.25"/>
  <cols>
    <col min="1" max="16384" width="9.140625" style="1"/>
  </cols>
  <sheetData>
    <row r="1" spans="1:19" ht="75.75" customHeight="1" x14ac:dyDescent="0.25">
      <c r="A1" s="3" t="s">
        <v>0</v>
      </c>
      <c r="B1" s="2" t="s">
        <v>109</v>
      </c>
      <c r="C1" s="2" t="s">
        <v>110</v>
      </c>
      <c r="D1" s="2" t="s">
        <v>111</v>
      </c>
      <c r="E1" s="2" t="s">
        <v>112</v>
      </c>
      <c r="F1" s="2" t="s">
        <v>113</v>
      </c>
      <c r="G1" s="2" t="s">
        <v>114</v>
      </c>
      <c r="H1" s="2" t="s">
        <v>115</v>
      </c>
      <c r="I1" s="2" t="s">
        <v>116</v>
      </c>
      <c r="J1" s="2" t="s">
        <v>117</v>
      </c>
      <c r="K1" s="2" t="s">
        <v>118</v>
      </c>
      <c r="L1" s="2" t="s">
        <v>119</v>
      </c>
      <c r="M1" s="2" t="s">
        <v>120</v>
      </c>
      <c r="N1" s="2" t="s">
        <v>121</v>
      </c>
      <c r="O1" s="2" t="s">
        <v>122</v>
      </c>
      <c r="P1" s="2" t="s">
        <v>123</v>
      </c>
      <c r="Q1" s="2" t="s">
        <v>124</v>
      </c>
      <c r="R1" s="2" t="s">
        <v>125</v>
      </c>
      <c r="S1" s="2" t="s">
        <v>126</v>
      </c>
    </row>
    <row r="2" spans="1:19" ht="18" customHeight="1" x14ac:dyDescent="0.25">
      <c r="A2" s="5">
        <v>43831</v>
      </c>
      <c r="B2" s="4">
        <v>8</v>
      </c>
      <c r="C2" s="4">
        <v>10</v>
      </c>
      <c r="D2" s="4">
        <v>0</v>
      </c>
      <c r="E2" s="4">
        <v>2</v>
      </c>
      <c r="F2" s="4">
        <v>3</v>
      </c>
      <c r="G2" s="4">
        <v>6</v>
      </c>
      <c r="H2" s="4">
        <v>5</v>
      </c>
      <c r="I2" s="4">
        <v>0</v>
      </c>
      <c r="J2" s="4">
        <v>9</v>
      </c>
      <c r="K2" s="4">
        <v>0</v>
      </c>
      <c r="L2" s="4">
        <v>-2</v>
      </c>
      <c r="M2" s="4">
        <v>-1</v>
      </c>
      <c r="N2" s="4">
        <v>7</v>
      </c>
      <c r="O2" s="4">
        <v>-4</v>
      </c>
      <c r="P2" s="4">
        <v>-3</v>
      </c>
      <c r="Q2" s="4">
        <v>0</v>
      </c>
      <c r="R2" s="4">
        <v>4</v>
      </c>
      <c r="S2" s="4">
        <v>1</v>
      </c>
    </row>
    <row r="3" spans="1:19" ht="18" customHeight="1" x14ac:dyDescent="0.25">
      <c r="A3" s="5">
        <v>43862</v>
      </c>
      <c r="B3" s="4">
        <v>16</v>
      </c>
      <c r="C3" s="4">
        <v>9</v>
      </c>
      <c r="D3" s="4">
        <v>-1</v>
      </c>
      <c r="E3" s="4">
        <v>12</v>
      </c>
      <c r="F3" s="4">
        <v>4</v>
      </c>
      <c r="G3" s="4">
        <v>10</v>
      </c>
      <c r="H3" s="4">
        <v>5</v>
      </c>
      <c r="I3" s="4">
        <v>2</v>
      </c>
      <c r="J3" s="4">
        <v>14</v>
      </c>
      <c r="K3" s="4">
        <v>13</v>
      </c>
      <c r="L3" s="4">
        <v>6</v>
      </c>
      <c r="M3" s="4">
        <v>3</v>
      </c>
      <c r="N3" s="4">
        <v>8</v>
      </c>
      <c r="O3" s="4">
        <v>15</v>
      </c>
      <c r="P3" s="4">
        <v>0</v>
      </c>
      <c r="Q3" s="4">
        <v>11</v>
      </c>
      <c r="R3" s="4">
        <v>1</v>
      </c>
      <c r="S3" s="4">
        <v>7</v>
      </c>
    </row>
    <row r="4" spans="1:19" ht="18" customHeight="1" x14ac:dyDescent="0.25">
      <c r="A4" s="5">
        <v>43891</v>
      </c>
      <c r="B4" s="4">
        <v>3</v>
      </c>
      <c r="C4" s="4">
        <v>0</v>
      </c>
      <c r="D4" s="4">
        <v>-8</v>
      </c>
      <c r="E4" s="4">
        <v>1</v>
      </c>
      <c r="F4" s="4">
        <v>-6</v>
      </c>
      <c r="G4" s="4">
        <v>0</v>
      </c>
      <c r="H4" s="4">
        <v>4</v>
      </c>
      <c r="I4" s="4">
        <v>-1</v>
      </c>
      <c r="J4" s="4">
        <v>-2</v>
      </c>
      <c r="K4" s="4">
        <v>-3</v>
      </c>
      <c r="L4" s="4">
        <v>-9</v>
      </c>
      <c r="M4" s="4">
        <v>-5</v>
      </c>
      <c r="N4" s="4">
        <v>2</v>
      </c>
      <c r="O4" s="4">
        <v>5</v>
      </c>
      <c r="P4" s="4">
        <v>-7</v>
      </c>
      <c r="Q4" s="4">
        <v>0</v>
      </c>
      <c r="R4" s="4">
        <v>0</v>
      </c>
      <c r="S4" s="4">
        <v>-4</v>
      </c>
    </row>
    <row r="5" spans="1:19" ht="18" customHeight="1" x14ac:dyDescent="0.25">
      <c r="A5" s="5">
        <v>43922</v>
      </c>
      <c r="B5" s="4">
        <v>-2</v>
      </c>
      <c r="C5" s="4">
        <v>-15</v>
      </c>
      <c r="D5" s="4">
        <v>-16</v>
      </c>
      <c r="E5" s="4">
        <v>-7</v>
      </c>
      <c r="F5" s="4">
        <v>-9</v>
      </c>
      <c r="G5" s="4">
        <v>1</v>
      </c>
      <c r="H5" s="4">
        <v>-1</v>
      </c>
      <c r="I5" s="4">
        <v>-5</v>
      </c>
      <c r="J5" s="4">
        <v>-3</v>
      </c>
      <c r="K5" s="4">
        <v>-13</v>
      </c>
      <c r="L5" s="4">
        <v>-8</v>
      </c>
      <c r="M5" s="4">
        <v>-10</v>
      </c>
      <c r="N5" s="4">
        <v>2</v>
      </c>
      <c r="O5" s="4">
        <v>-6</v>
      </c>
      <c r="P5" s="4">
        <v>-14</v>
      </c>
      <c r="Q5" s="4">
        <v>-4</v>
      </c>
      <c r="R5" s="4">
        <v>-12</v>
      </c>
      <c r="S5" s="4">
        <v>-11</v>
      </c>
    </row>
    <row r="6" spans="1:19" ht="18" customHeight="1" x14ac:dyDescent="0.25">
      <c r="A6" s="5">
        <v>43952</v>
      </c>
      <c r="B6" s="4">
        <v>-5</v>
      </c>
      <c r="C6" s="4">
        <v>1</v>
      </c>
      <c r="D6" s="4">
        <v>-9</v>
      </c>
      <c r="E6" s="4">
        <v>-8</v>
      </c>
      <c r="F6" s="4">
        <v>-12</v>
      </c>
      <c r="G6" s="4">
        <v>0</v>
      </c>
      <c r="H6" s="4">
        <v>-3</v>
      </c>
      <c r="I6" s="4">
        <v>0</v>
      </c>
      <c r="J6" s="4">
        <v>-11</v>
      </c>
      <c r="K6" s="4">
        <v>-14</v>
      </c>
      <c r="L6" s="4">
        <v>-13</v>
      </c>
      <c r="M6" s="4">
        <v>-7</v>
      </c>
      <c r="N6" s="4">
        <v>-1</v>
      </c>
      <c r="O6" s="4">
        <v>0</v>
      </c>
      <c r="P6" s="4">
        <v>-2</v>
      </c>
      <c r="Q6" s="4">
        <v>-4</v>
      </c>
      <c r="R6" s="4">
        <v>-10</v>
      </c>
      <c r="S6" s="4">
        <v>-6</v>
      </c>
    </row>
    <row r="7" spans="1:19" ht="18" customHeight="1" x14ac:dyDescent="0.25">
      <c r="A7" s="5">
        <v>43983</v>
      </c>
      <c r="B7" s="4">
        <v>14</v>
      </c>
      <c r="C7" s="4">
        <v>15</v>
      </c>
      <c r="D7" s="4">
        <v>11</v>
      </c>
      <c r="E7" s="4">
        <v>7</v>
      </c>
      <c r="F7" s="4">
        <v>0</v>
      </c>
      <c r="G7" s="4">
        <v>2</v>
      </c>
      <c r="H7" s="4">
        <v>10</v>
      </c>
      <c r="I7" s="4">
        <v>4</v>
      </c>
      <c r="J7" s="4">
        <v>3</v>
      </c>
      <c r="K7" s="4">
        <v>0</v>
      </c>
      <c r="L7" s="4">
        <v>-1</v>
      </c>
      <c r="M7" s="4">
        <v>5</v>
      </c>
      <c r="N7" s="4">
        <v>1</v>
      </c>
      <c r="O7" s="4">
        <v>13</v>
      </c>
      <c r="P7" s="4">
        <v>9</v>
      </c>
      <c r="Q7" s="4">
        <v>6</v>
      </c>
      <c r="R7" s="4">
        <v>8</v>
      </c>
      <c r="S7" s="4">
        <v>12</v>
      </c>
    </row>
    <row r="8" spans="1:19" ht="18" customHeight="1" x14ac:dyDescent="0.25">
      <c r="A8" s="5">
        <v>44013</v>
      </c>
      <c r="B8" s="4">
        <v>0</v>
      </c>
      <c r="C8" s="4">
        <v>0</v>
      </c>
      <c r="D8" s="4">
        <v>9</v>
      </c>
      <c r="E8" s="4">
        <v>5</v>
      </c>
      <c r="F8" s="4">
        <v>8</v>
      </c>
      <c r="G8" s="4">
        <v>2</v>
      </c>
      <c r="H8" s="4">
        <v>11</v>
      </c>
      <c r="I8" s="4">
        <v>0</v>
      </c>
      <c r="J8" s="4">
        <v>4</v>
      </c>
      <c r="K8" s="4">
        <v>-2</v>
      </c>
      <c r="L8" s="4">
        <v>0</v>
      </c>
      <c r="M8" s="4">
        <v>-1</v>
      </c>
      <c r="N8" s="4">
        <v>6</v>
      </c>
      <c r="O8" s="4">
        <v>7</v>
      </c>
      <c r="P8" s="4">
        <v>12</v>
      </c>
      <c r="Q8" s="4">
        <v>3</v>
      </c>
      <c r="R8" s="4">
        <v>1</v>
      </c>
      <c r="S8" s="4">
        <v>10</v>
      </c>
    </row>
    <row r="9" spans="1:19" ht="18" customHeight="1" x14ac:dyDescent="0.25">
      <c r="A9" s="5">
        <v>44044</v>
      </c>
      <c r="B9" s="4">
        <v>9</v>
      </c>
      <c r="C9" s="4">
        <v>-4</v>
      </c>
      <c r="D9" s="4">
        <v>12</v>
      </c>
      <c r="E9" s="4">
        <v>1</v>
      </c>
      <c r="F9" s="4">
        <v>7</v>
      </c>
      <c r="G9" s="4">
        <v>4</v>
      </c>
      <c r="H9" s="4">
        <v>8</v>
      </c>
      <c r="I9" s="4">
        <v>-2</v>
      </c>
      <c r="J9" s="4">
        <v>6</v>
      </c>
      <c r="K9" s="4">
        <v>-5</v>
      </c>
      <c r="L9" s="4">
        <v>0</v>
      </c>
      <c r="M9" s="4">
        <v>-1</v>
      </c>
      <c r="N9" s="4">
        <v>10</v>
      </c>
      <c r="O9" s="4">
        <v>-3</v>
      </c>
      <c r="P9" s="4">
        <v>3</v>
      </c>
      <c r="Q9" s="4">
        <v>2</v>
      </c>
      <c r="R9" s="4">
        <v>11</v>
      </c>
      <c r="S9" s="4">
        <v>5</v>
      </c>
    </row>
    <row r="10" spans="1:19" ht="18" customHeight="1" x14ac:dyDescent="0.25">
      <c r="A10" s="5">
        <v>44094</v>
      </c>
      <c r="B10" s="4">
        <v>5</v>
      </c>
      <c r="C10" s="4">
        <v>-2</v>
      </c>
      <c r="D10" s="4">
        <v>14</v>
      </c>
      <c r="E10" s="4">
        <v>0</v>
      </c>
      <c r="F10" s="4">
        <v>9</v>
      </c>
      <c r="G10" s="4">
        <v>2</v>
      </c>
      <c r="H10" s="4">
        <v>11</v>
      </c>
      <c r="I10" s="4">
        <v>1</v>
      </c>
      <c r="J10" s="4">
        <v>8</v>
      </c>
      <c r="K10" s="4">
        <v>4</v>
      </c>
      <c r="L10" s="4">
        <v>7</v>
      </c>
      <c r="M10" s="4">
        <v>0</v>
      </c>
      <c r="N10" s="4">
        <v>3</v>
      </c>
      <c r="O10" s="4">
        <v>13</v>
      </c>
      <c r="P10" s="4">
        <v>-1</v>
      </c>
      <c r="Q10" s="4">
        <v>6</v>
      </c>
      <c r="R10" s="4">
        <v>12</v>
      </c>
      <c r="S10" s="4">
        <v>10</v>
      </c>
    </row>
    <row r="11" spans="1:19" ht="18" customHeight="1" x14ac:dyDescent="0.25">
      <c r="A11" s="5">
        <v>44105</v>
      </c>
      <c r="B11" s="4">
        <v>12</v>
      </c>
      <c r="C11" s="4">
        <v>8</v>
      </c>
      <c r="D11" s="4">
        <v>0</v>
      </c>
      <c r="E11" s="4">
        <v>14</v>
      </c>
      <c r="F11" s="4">
        <v>10</v>
      </c>
      <c r="G11" s="4">
        <v>9</v>
      </c>
      <c r="H11" s="4">
        <v>13</v>
      </c>
      <c r="I11" s="4">
        <v>1</v>
      </c>
      <c r="J11" s="4">
        <v>11</v>
      </c>
      <c r="K11" s="4">
        <v>7</v>
      </c>
      <c r="L11" s="4">
        <v>5</v>
      </c>
      <c r="M11" s="4">
        <v>6</v>
      </c>
      <c r="N11" s="4">
        <v>-1</v>
      </c>
      <c r="O11" s="4">
        <v>0</v>
      </c>
      <c r="P11" s="4">
        <v>4</v>
      </c>
      <c r="Q11" s="4">
        <v>15</v>
      </c>
      <c r="R11" s="4">
        <v>2</v>
      </c>
      <c r="S11" s="4">
        <v>3</v>
      </c>
    </row>
    <row r="12" spans="1:19" ht="18" customHeight="1" x14ac:dyDescent="0.25">
      <c r="A12" s="5">
        <v>44136</v>
      </c>
      <c r="B12" s="4">
        <v>4</v>
      </c>
      <c r="C12" s="4">
        <v>0</v>
      </c>
      <c r="D12" s="4">
        <v>-3</v>
      </c>
      <c r="E12" s="4">
        <v>7</v>
      </c>
      <c r="F12" s="4">
        <v>3</v>
      </c>
      <c r="G12" s="4">
        <v>9</v>
      </c>
      <c r="H12" s="4">
        <v>10</v>
      </c>
      <c r="I12" s="4">
        <v>-1</v>
      </c>
      <c r="J12" s="4">
        <v>12</v>
      </c>
      <c r="K12" s="4">
        <v>11</v>
      </c>
      <c r="L12" s="4">
        <v>-2</v>
      </c>
      <c r="M12" s="4">
        <v>8</v>
      </c>
      <c r="N12" s="4">
        <v>1</v>
      </c>
      <c r="O12" s="4">
        <v>0</v>
      </c>
      <c r="P12" s="4">
        <v>6</v>
      </c>
      <c r="Q12" s="4">
        <v>13</v>
      </c>
      <c r="R12" s="4">
        <v>5</v>
      </c>
      <c r="S12" s="4">
        <v>2</v>
      </c>
    </row>
    <row r="13" spans="1:19" ht="18" customHeight="1" x14ac:dyDescent="0.25">
      <c r="A13" s="5">
        <v>44166</v>
      </c>
      <c r="B13" s="4">
        <v>-2</v>
      </c>
      <c r="C13" s="4">
        <v>-3</v>
      </c>
      <c r="D13" s="4">
        <v>-5</v>
      </c>
      <c r="E13" s="4">
        <v>3</v>
      </c>
      <c r="F13" s="4">
        <v>0</v>
      </c>
      <c r="G13" s="4">
        <v>5</v>
      </c>
      <c r="H13" s="4">
        <v>8</v>
      </c>
      <c r="I13" s="4">
        <v>4</v>
      </c>
      <c r="J13" s="4">
        <v>10</v>
      </c>
      <c r="K13" s="4">
        <v>0</v>
      </c>
      <c r="L13" s="4">
        <v>-1</v>
      </c>
      <c r="M13" s="4">
        <v>1</v>
      </c>
      <c r="N13" s="4">
        <v>2</v>
      </c>
      <c r="O13" s="4">
        <v>-4</v>
      </c>
      <c r="P13" s="4">
        <v>9</v>
      </c>
      <c r="Q13" s="4">
        <v>7</v>
      </c>
      <c r="R13" s="4">
        <v>0</v>
      </c>
      <c r="S13" s="4">
        <v>6</v>
      </c>
    </row>
    <row r="14" spans="1:19" ht="18" customHeight="1" x14ac:dyDescent="0.25">
      <c r="A14" s="5">
        <v>44197</v>
      </c>
      <c r="B14" s="4">
        <v>-2</v>
      </c>
      <c r="C14" s="4">
        <v>6</v>
      </c>
      <c r="D14" s="4">
        <v>-3</v>
      </c>
      <c r="E14" s="4">
        <v>4</v>
      </c>
      <c r="F14" s="4">
        <v>-1</v>
      </c>
      <c r="G14" s="4">
        <v>7</v>
      </c>
      <c r="H14" s="4">
        <v>0</v>
      </c>
      <c r="I14" s="4">
        <v>2</v>
      </c>
      <c r="J14" s="4">
        <v>0</v>
      </c>
      <c r="K14" s="4">
        <v>0</v>
      </c>
      <c r="L14" s="4">
        <v>0</v>
      </c>
      <c r="M14" s="4">
        <v>1</v>
      </c>
      <c r="N14" s="4">
        <v>0</v>
      </c>
      <c r="O14" s="4">
        <v>8</v>
      </c>
      <c r="P14" s="4">
        <v>0</v>
      </c>
      <c r="Q14" s="4">
        <v>3</v>
      </c>
      <c r="R14" s="4">
        <v>0</v>
      </c>
      <c r="S14" s="4">
        <v>5</v>
      </c>
    </row>
    <row r="15" spans="1:19" ht="18" customHeight="1" x14ac:dyDescent="0.25">
      <c r="A15" s="5">
        <v>44228</v>
      </c>
      <c r="B15" s="4">
        <v>10</v>
      </c>
      <c r="C15" s="4">
        <v>0</v>
      </c>
      <c r="D15" s="4">
        <v>0</v>
      </c>
      <c r="E15" s="4">
        <v>9</v>
      </c>
      <c r="F15" s="4">
        <v>3</v>
      </c>
      <c r="G15" s="4">
        <v>2</v>
      </c>
      <c r="H15" s="4">
        <v>1</v>
      </c>
      <c r="I15" s="4">
        <v>0</v>
      </c>
      <c r="J15" s="4">
        <v>5</v>
      </c>
      <c r="K15" s="4">
        <v>0</v>
      </c>
      <c r="L15" s="4">
        <v>-1</v>
      </c>
      <c r="M15" s="4">
        <v>6</v>
      </c>
      <c r="N15" s="4">
        <v>8</v>
      </c>
      <c r="O15" s="4">
        <v>-2</v>
      </c>
      <c r="P15" s="4">
        <v>0</v>
      </c>
      <c r="Q15" s="4">
        <v>7</v>
      </c>
      <c r="R15" s="4">
        <v>4</v>
      </c>
      <c r="S15" s="4">
        <v>11</v>
      </c>
    </row>
    <row r="16" spans="1:19" ht="18" customHeight="1" x14ac:dyDescent="0.25">
      <c r="A16" s="5">
        <v>44256</v>
      </c>
      <c r="B16" s="4">
        <v>13</v>
      </c>
      <c r="C16" s="4">
        <v>6</v>
      </c>
      <c r="D16" s="4">
        <v>17</v>
      </c>
      <c r="E16" s="4">
        <v>3</v>
      </c>
      <c r="F16" s="4">
        <v>1</v>
      </c>
      <c r="G16" s="4">
        <v>4</v>
      </c>
      <c r="H16" s="4">
        <v>10</v>
      </c>
      <c r="I16" s="4">
        <v>2</v>
      </c>
      <c r="J16" s="4">
        <v>15</v>
      </c>
      <c r="K16" s="4">
        <v>16</v>
      </c>
      <c r="L16" s="4">
        <v>0</v>
      </c>
      <c r="M16" s="4">
        <v>9</v>
      </c>
      <c r="N16" s="4">
        <v>11</v>
      </c>
      <c r="O16" s="4">
        <v>5</v>
      </c>
      <c r="P16" s="4">
        <v>8</v>
      </c>
      <c r="Q16" s="4">
        <v>7</v>
      </c>
      <c r="R16" s="4">
        <v>12</v>
      </c>
      <c r="S16" s="4">
        <v>14</v>
      </c>
    </row>
    <row r="17" spans="1:19" ht="18" customHeight="1" x14ac:dyDescent="0.25">
      <c r="A17" s="5">
        <v>44287</v>
      </c>
      <c r="B17" s="4">
        <v>1</v>
      </c>
      <c r="C17" s="4">
        <v>-1</v>
      </c>
      <c r="D17" s="4">
        <v>17</v>
      </c>
      <c r="E17" s="4">
        <v>7</v>
      </c>
      <c r="F17" s="4">
        <v>6</v>
      </c>
      <c r="G17" s="4">
        <v>4</v>
      </c>
      <c r="H17" s="4">
        <v>5</v>
      </c>
      <c r="I17" s="4">
        <v>2</v>
      </c>
      <c r="J17" s="4">
        <v>15</v>
      </c>
      <c r="K17" s="4">
        <v>8</v>
      </c>
      <c r="L17" s="4">
        <v>14</v>
      </c>
      <c r="M17" s="4">
        <v>3</v>
      </c>
      <c r="N17" s="4">
        <v>11</v>
      </c>
      <c r="O17" s="4">
        <v>10</v>
      </c>
      <c r="P17" s="4">
        <v>12</v>
      </c>
      <c r="Q17" s="4">
        <v>9</v>
      </c>
      <c r="R17" s="4">
        <v>13</v>
      </c>
      <c r="S17" s="4">
        <v>16</v>
      </c>
    </row>
    <row r="18" spans="1:19" ht="18" customHeight="1" x14ac:dyDescent="0.25">
      <c r="A18" s="5">
        <v>44317</v>
      </c>
      <c r="B18" s="4">
        <v>3</v>
      </c>
      <c r="C18" s="4">
        <v>5</v>
      </c>
      <c r="D18" s="4">
        <v>11</v>
      </c>
      <c r="E18" s="4">
        <v>13</v>
      </c>
      <c r="F18" s="4">
        <v>7</v>
      </c>
      <c r="G18" s="4">
        <v>16</v>
      </c>
      <c r="H18" s="4">
        <v>12</v>
      </c>
      <c r="I18" s="4">
        <v>10</v>
      </c>
      <c r="J18" s="4">
        <v>9</v>
      </c>
      <c r="K18" s="4">
        <v>14</v>
      </c>
      <c r="L18" s="4">
        <v>8</v>
      </c>
      <c r="M18" s="4">
        <v>2</v>
      </c>
      <c r="N18" s="4">
        <v>1</v>
      </c>
      <c r="O18" s="4">
        <v>4</v>
      </c>
      <c r="P18" s="4">
        <v>18</v>
      </c>
      <c r="Q18" s="4">
        <v>15</v>
      </c>
      <c r="R18" s="4">
        <v>6</v>
      </c>
      <c r="S18" s="4">
        <v>17</v>
      </c>
    </row>
    <row r="19" spans="1:19" ht="18" customHeight="1" x14ac:dyDescent="0.25">
      <c r="A19" s="5">
        <v>44348</v>
      </c>
      <c r="B19" s="4">
        <v>10</v>
      </c>
      <c r="C19" s="4">
        <v>-1</v>
      </c>
      <c r="D19" s="4">
        <v>16</v>
      </c>
      <c r="E19" s="4">
        <v>1</v>
      </c>
      <c r="F19" s="4">
        <v>3</v>
      </c>
      <c r="G19" s="4">
        <v>5</v>
      </c>
      <c r="H19" s="4">
        <v>7</v>
      </c>
      <c r="I19" s="4">
        <v>6</v>
      </c>
      <c r="J19" s="4">
        <v>15</v>
      </c>
      <c r="K19" s="4">
        <v>9</v>
      </c>
      <c r="L19" s="4">
        <v>13</v>
      </c>
      <c r="M19" s="4">
        <v>2</v>
      </c>
      <c r="N19" s="4">
        <v>4</v>
      </c>
      <c r="O19" s="4">
        <v>0</v>
      </c>
      <c r="P19" s="4">
        <v>11</v>
      </c>
      <c r="Q19" s="4">
        <v>14</v>
      </c>
      <c r="R19" s="4">
        <v>8</v>
      </c>
      <c r="S19" s="4">
        <v>12</v>
      </c>
    </row>
    <row r="20" spans="1:19" ht="18" customHeight="1" x14ac:dyDescent="0.25">
      <c r="A20" s="5">
        <v>44378</v>
      </c>
      <c r="B20" s="4">
        <v>10</v>
      </c>
      <c r="C20" s="4">
        <v>0</v>
      </c>
      <c r="D20" s="4">
        <v>16</v>
      </c>
      <c r="E20" s="4">
        <v>1</v>
      </c>
      <c r="F20" s="4">
        <v>4</v>
      </c>
      <c r="G20" s="4">
        <v>5</v>
      </c>
      <c r="H20" s="4">
        <v>9</v>
      </c>
      <c r="I20" s="4">
        <v>3</v>
      </c>
      <c r="J20" s="4">
        <v>14</v>
      </c>
      <c r="K20" s="4">
        <v>-1</v>
      </c>
      <c r="L20" s="4">
        <v>12</v>
      </c>
      <c r="M20" s="4">
        <v>2</v>
      </c>
      <c r="N20" s="4">
        <v>11</v>
      </c>
      <c r="O20" s="4">
        <v>13</v>
      </c>
      <c r="P20" s="4">
        <v>7</v>
      </c>
      <c r="Q20" s="4">
        <v>6</v>
      </c>
      <c r="R20" s="4">
        <v>8</v>
      </c>
      <c r="S20" s="4">
        <v>15</v>
      </c>
    </row>
    <row r="21" spans="1:19" ht="18" customHeight="1" x14ac:dyDescent="0.25">
      <c r="A21" s="5">
        <v>44409</v>
      </c>
      <c r="B21" s="4">
        <v>12</v>
      </c>
      <c r="C21" s="4">
        <v>0</v>
      </c>
      <c r="D21" s="4">
        <v>-3</v>
      </c>
      <c r="E21" s="4">
        <v>9</v>
      </c>
      <c r="F21" s="4">
        <v>10</v>
      </c>
      <c r="G21" s="4">
        <v>5</v>
      </c>
      <c r="H21" s="4">
        <v>6</v>
      </c>
      <c r="I21" s="4">
        <v>13</v>
      </c>
      <c r="J21" s="4">
        <v>0</v>
      </c>
      <c r="K21" s="4">
        <v>7</v>
      </c>
      <c r="L21" s="4">
        <v>8</v>
      </c>
      <c r="M21" s="4">
        <v>1</v>
      </c>
      <c r="N21" s="4">
        <v>4</v>
      </c>
      <c r="O21" s="4">
        <v>-2</v>
      </c>
      <c r="P21" s="4">
        <v>11</v>
      </c>
      <c r="Q21" s="4">
        <v>2</v>
      </c>
      <c r="R21" s="4">
        <v>3</v>
      </c>
      <c r="S21" s="4">
        <v>-1</v>
      </c>
    </row>
    <row r="22" spans="1:19" ht="18" customHeight="1" x14ac:dyDescent="0.25">
      <c r="A22" s="5">
        <v>44440</v>
      </c>
      <c r="B22" s="4">
        <v>3</v>
      </c>
      <c r="C22" s="4">
        <v>-1</v>
      </c>
      <c r="D22" s="4">
        <v>16</v>
      </c>
      <c r="E22" s="4">
        <v>8</v>
      </c>
      <c r="F22" s="4">
        <v>13</v>
      </c>
      <c r="G22" s="4">
        <v>3</v>
      </c>
      <c r="H22" s="4">
        <v>5</v>
      </c>
      <c r="I22" s="4">
        <v>4</v>
      </c>
      <c r="J22" s="4">
        <v>7</v>
      </c>
      <c r="K22" s="4">
        <v>11</v>
      </c>
      <c r="L22" s="4">
        <v>15</v>
      </c>
      <c r="M22" s="4">
        <v>12</v>
      </c>
      <c r="N22" s="4">
        <v>9</v>
      </c>
      <c r="O22" s="4">
        <v>14</v>
      </c>
      <c r="P22" s="4">
        <v>17</v>
      </c>
      <c r="Q22" s="4">
        <v>10</v>
      </c>
      <c r="R22" s="4">
        <v>6</v>
      </c>
      <c r="S22" s="4">
        <v>1</v>
      </c>
    </row>
    <row r="23" spans="1:19" ht="18" customHeight="1" x14ac:dyDescent="0.25">
      <c r="A23" s="5">
        <v>44470</v>
      </c>
      <c r="B23" s="4">
        <v>9</v>
      </c>
      <c r="C23" s="4">
        <v>0</v>
      </c>
      <c r="D23" s="4">
        <v>8</v>
      </c>
      <c r="E23" s="4">
        <v>5</v>
      </c>
      <c r="F23" s="4">
        <v>4</v>
      </c>
      <c r="G23" s="4">
        <v>3</v>
      </c>
      <c r="H23" s="4">
        <v>7</v>
      </c>
      <c r="I23" s="4">
        <v>11</v>
      </c>
      <c r="J23" s="4">
        <v>10</v>
      </c>
      <c r="K23" s="4">
        <v>0</v>
      </c>
      <c r="L23" s="4">
        <v>14</v>
      </c>
      <c r="M23" s="4">
        <v>2</v>
      </c>
      <c r="N23" s="4">
        <v>1</v>
      </c>
      <c r="O23" s="4">
        <v>13</v>
      </c>
      <c r="P23" s="4">
        <v>16</v>
      </c>
      <c r="Q23" s="4">
        <v>15</v>
      </c>
      <c r="R23" s="4">
        <v>12</v>
      </c>
      <c r="S23" s="4">
        <v>6</v>
      </c>
    </row>
    <row r="24" spans="1:19" ht="18" customHeight="1" x14ac:dyDescent="0.25">
      <c r="A24" s="5">
        <v>44501</v>
      </c>
      <c r="B24" s="4">
        <v>3</v>
      </c>
      <c r="C24" s="4">
        <v>10</v>
      </c>
      <c r="D24" s="4">
        <v>9</v>
      </c>
      <c r="E24" s="4">
        <v>15</v>
      </c>
      <c r="F24" s="4">
        <v>1</v>
      </c>
      <c r="G24" s="4">
        <v>5</v>
      </c>
      <c r="H24" s="4">
        <v>12</v>
      </c>
      <c r="I24" s="4">
        <v>2</v>
      </c>
      <c r="J24" s="4">
        <v>16</v>
      </c>
      <c r="K24" s="4">
        <v>13</v>
      </c>
      <c r="L24" s="4">
        <v>8</v>
      </c>
      <c r="M24" s="4">
        <v>4</v>
      </c>
      <c r="N24" s="4">
        <v>11</v>
      </c>
      <c r="O24" s="4">
        <v>7</v>
      </c>
      <c r="P24" s="4">
        <v>17</v>
      </c>
      <c r="Q24" s="4">
        <v>18</v>
      </c>
      <c r="R24" s="4">
        <v>6</v>
      </c>
      <c r="S24" s="4">
        <v>14</v>
      </c>
    </row>
    <row r="25" spans="1:19" ht="18" customHeight="1" x14ac:dyDescent="0.25">
      <c r="A25" s="5">
        <v>44531</v>
      </c>
      <c r="B25" s="4">
        <v>12</v>
      </c>
      <c r="C25" s="4">
        <v>-2</v>
      </c>
      <c r="D25" s="4">
        <v>8</v>
      </c>
      <c r="E25" s="4">
        <v>13</v>
      </c>
      <c r="F25" s="4">
        <v>-1</v>
      </c>
      <c r="G25" s="4">
        <v>4</v>
      </c>
      <c r="H25" s="4">
        <v>5</v>
      </c>
      <c r="I25" s="4">
        <v>0</v>
      </c>
      <c r="J25" s="4">
        <v>9</v>
      </c>
      <c r="K25" s="4">
        <v>-3</v>
      </c>
      <c r="L25" s="4">
        <v>7</v>
      </c>
      <c r="M25" s="4">
        <v>3</v>
      </c>
      <c r="N25" s="4">
        <v>1</v>
      </c>
      <c r="O25" s="4">
        <v>0</v>
      </c>
      <c r="P25" s="4">
        <v>6</v>
      </c>
      <c r="Q25" s="4">
        <v>10</v>
      </c>
      <c r="R25" s="4">
        <v>2</v>
      </c>
      <c r="S25" s="4">
        <v>11</v>
      </c>
    </row>
    <row r="26" spans="1:19" ht="18" customHeight="1" x14ac:dyDescent="0.25">
      <c r="A26" s="5">
        <v>44562</v>
      </c>
      <c r="B26" s="4">
        <v>-3</v>
      </c>
      <c r="C26" s="4">
        <v>0</v>
      </c>
      <c r="D26" s="4">
        <v>-4</v>
      </c>
      <c r="E26" s="4">
        <v>9</v>
      </c>
      <c r="F26" s="4">
        <v>1</v>
      </c>
      <c r="G26" s="4">
        <v>3</v>
      </c>
      <c r="H26" s="4">
        <v>7</v>
      </c>
      <c r="I26" s="4">
        <v>-2</v>
      </c>
      <c r="J26" s="4">
        <v>6</v>
      </c>
      <c r="K26" s="4">
        <v>0</v>
      </c>
      <c r="L26" s="4">
        <v>0</v>
      </c>
      <c r="M26" s="4">
        <v>4</v>
      </c>
      <c r="N26" s="4">
        <v>8</v>
      </c>
      <c r="O26" s="4">
        <v>0</v>
      </c>
      <c r="P26" s="4">
        <v>10</v>
      </c>
      <c r="Q26" s="4">
        <v>2</v>
      </c>
      <c r="R26" s="4">
        <v>5</v>
      </c>
      <c r="S26" s="4">
        <v>-1</v>
      </c>
    </row>
    <row r="27" spans="1:19" ht="18" customHeight="1" x14ac:dyDescent="0.25">
      <c r="A27" s="5">
        <v>44593</v>
      </c>
      <c r="B27" s="4">
        <v>-3</v>
      </c>
      <c r="C27" s="4">
        <v>0</v>
      </c>
      <c r="D27" s="4">
        <v>-2</v>
      </c>
      <c r="E27" s="4">
        <v>10</v>
      </c>
      <c r="F27" s="4">
        <v>9</v>
      </c>
      <c r="G27" s="4">
        <v>5</v>
      </c>
      <c r="H27" s="4">
        <v>0</v>
      </c>
      <c r="I27" s="4">
        <v>-1</v>
      </c>
      <c r="J27" s="4">
        <v>11</v>
      </c>
      <c r="K27" s="4">
        <v>7</v>
      </c>
      <c r="L27" s="4">
        <v>0</v>
      </c>
      <c r="M27" s="4">
        <v>2</v>
      </c>
      <c r="N27" s="4">
        <v>4</v>
      </c>
      <c r="O27" s="4">
        <v>0</v>
      </c>
      <c r="P27" s="4">
        <v>1</v>
      </c>
      <c r="Q27" s="4">
        <v>6</v>
      </c>
      <c r="R27" s="4">
        <v>8</v>
      </c>
      <c r="S27" s="4">
        <v>3</v>
      </c>
    </row>
    <row r="28" spans="1:19" ht="18" customHeight="1" x14ac:dyDescent="0.25">
      <c r="A28" s="5">
        <v>44621</v>
      </c>
      <c r="B28" s="4">
        <v>5</v>
      </c>
      <c r="C28" s="4">
        <v>-2</v>
      </c>
      <c r="D28" s="4">
        <v>15</v>
      </c>
      <c r="E28" s="4">
        <v>7</v>
      </c>
      <c r="F28" s="4">
        <v>14</v>
      </c>
      <c r="G28" s="4">
        <v>3</v>
      </c>
      <c r="H28" s="4">
        <v>-1</v>
      </c>
      <c r="I28" s="4">
        <v>6</v>
      </c>
      <c r="J28" s="4">
        <v>12</v>
      </c>
      <c r="K28" s="4">
        <v>9</v>
      </c>
      <c r="L28" s="4">
        <v>8</v>
      </c>
      <c r="M28" s="4">
        <v>4</v>
      </c>
      <c r="N28" s="4">
        <v>2</v>
      </c>
      <c r="O28" s="4">
        <v>11</v>
      </c>
      <c r="P28" s="4">
        <v>0</v>
      </c>
      <c r="Q28" s="4">
        <v>1</v>
      </c>
      <c r="R28" s="4">
        <v>10</v>
      </c>
      <c r="S28" s="4">
        <v>13</v>
      </c>
    </row>
    <row r="29" spans="1:19" ht="18" customHeight="1" x14ac:dyDescent="0.25">
      <c r="A29" s="5">
        <v>44652</v>
      </c>
      <c r="B29" s="4">
        <v>10</v>
      </c>
      <c r="C29" s="4">
        <v>0</v>
      </c>
      <c r="D29" s="4">
        <v>0</v>
      </c>
      <c r="E29" s="4">
        <v>5</v>
      </c>
      <c r="F29" s="4">
        <v>9</v>
      </c>
      <c r="G29" s="4">
        <v>1</v>
      </c>
      <c r="H29" s="4">
        <v>3</v>
      </c>
      <c r="I29" s="4">
        <v>-1</v>
      </c>
      <c r="J29" s="4">
        <v>12</v>
      </c>
      <c r="K29" s="4">
        <v>0</v>
      </c>
      <c r="L29" s="4">
        <v>2</v>
      </c>
      <c r="M29" s="4">
        <v>7</v>
      </c>
      <c r="N29" s="4">
        <v>6</v>
      </c>
      <c r="O29" s="4">
        <v>11</v>
      </c>
      <c r="P29" s="4">
        <v>0</v>
      </c>
      <c r="Q29" s="4">
        <v>8</v>
      </c>
      <c r="R29" s="4">
        <v>13</v>
      </c>
      <c r="S29" s="4">
        <v>4</v>
      </c>
    </row>
    <row r="30" spans="1:19" ht="18" customHeight="1" x14ac:dyDescent="0.25">
      <c r="A30" s="5">
        <v>44682</v>
      </c>
      <c r="B30" s="4">
        <v>5</v>
      </c>
      <c r="C30" s="4">
        <v>-2</v>
      </c>
      <c r="D30" s="4">
        <v>14</v>
      </c>
      <c r="E30" s="4">
        <v>15</v>
      </c>
      <c r="F30" s="4">
        <v>13</v>
      </c>
      <c r="G30" s="4">
        <v>4</v>
      </c>
      <c r="H30" s="4">
        <v>2</v>
      </c>
      <c r="I30" s="4">
        <v>-1</v>
      </c>
      <c r="J30" s="4">
        <v>11</v>
      </c>
      <c r="K30" s="4">
        <v>12</v>
      </c>
      <c r="L30" s="4">
        <v>3</v>
      </c>
      <c r="M30" s="4">
        <v>8</v>
      </c>
      <c r="N30" s="4">
        <v>1</v>
      </c>
      <c r="O30" s="4">
        <v>10</v>
      </c>
      <c r="P30" s="4">
        <v>0</v>
      </c>
      <c r="Q30" s="4">
        <v>6</v>
      </c>
      <c r="R30" s="4">
        <v>9</v>
      </c>
      <c r="S30" s="4">
        <v>7</v>
      </c>
    </row>
    <row r="31" spans="1:19" ht="18" customHeight="1" x14ac:dyDescent="0.25">
      <c r="A31" s="5">
        <v>44713</v>
      </c>
      <c r="B31" s="4">
        <v>13</v>
      </c>
      <c r="C31" s="4">
        <v>0</v>
      </c>
      <c r="D31" s="4">
        <v>9</v>
      </c>
      <c r="E31" s="4">
        <v>-2</v>
      </c>
      <c r="F31" s="4">
        <v>-1</v>
      </c>
      <c r="G31" s="4">
        <v>3</v>
      </c>
      <c r="H31" s="4">
        <v>5</v>
      </c>
      <c r="I31" s="4">
        <v>0</v>
      </c>
      <c r="J31" s="4">
        <v>11</v>
      </c>
      <c r="K31" s="4">
        <v>12</v>
      </c>
      <c r="L31" s="4">
        <v>10</v>
      </c>
      <c r="M31" s="4">
        <v>2</v>
      </c>
      <c r="N31" s="4">
        <v>1</v>
      </c>
      <c r="O31" s="4">
        <v>7</v>
      </c>
      <c r="P31" s="4">
        <v>0</v>
      </c>
      <c r="Q31" s="4">
        <v>8</v>
      </c>
      <c r="R31" s="4">
        <v>6</v>
      </c>
      <c r="S31" s="4">
        <v>4</v>
      </c>
    </row>
    <row r="32" spans="1:19" ht="18" customHeight="1" x14ac:dyDescent="0.25">
      <c r="A32" s="5">
        <v>44743</v>
      </c>
      <c r="B32" s="4">
        <v>-4</v>
      </c>
      <c r="C32" s="4">
        <v>-5</v>
      </c>
      <c r="D32" s="4">
        <v>0</v>
      </c>
      <c r="E32" s="4">
        <v>3</v>
      </c>
      <c r="F32" s="4">
        <v>9</v>
      </c>
      <c r="G32" s="4">
        <v>0</v>
      </c>
      <c r="H32" s="4">
        <v>1</v>
      </c>
      <c r="I32" s="4">
        <v>-2</v>
      </c>
      <c r="J32" s="4">
        <v>4</v>
      </c>
      <c r="K32" s="4">
        <v>10</v>
      </c>
      <c r="L32" s="4">
        <v>6</v>
      </c>
      <c r="M32" s="4">
        <v>2</v>
      </c>
      <c r="N32" s="4">
        <v>8</v>
      </c>
      <c r="O32" s="4">
        <v>11</v>
      </c>
      <c r="P32" s="4">
        <v>-3</v>
      </c>
      <c r="Q32" s="4">
        <v>7</v>
      </c>
      <c r="R32" s="4">
        <v>5</v>
      </c>
      <c r="S32" s="4">
        <v>-1</v>
      </c>
    </row>
    <row r="33" spans="1:19" ht="18" customHeight="1" x14ac:dyDescent="0.25">
      <c r="A33" s="5">
        <v>44774</v>
      </c>
      <c r="B33" s="4">
        <v>0</v>
      </c>
      <c r="C33" s="4">
        <v>-1</v>
      </c>
      <c r="D33" s="4">
        <v>0</v>
      </c>
      <c r="E33" s="4">
        <v>0</v>
      </c>
      <c r="F33" s="4">
        <v>12</v>
      </c>
      <c r="G33" s="4">
        <v>2</v>
      </c>
      <c r="H33" s="4">
        <v>4</v>
      </c>
      <c r="I33" s="4">
        <v>10</v>
      </c>
      <c r="J33" s="4">
        <v>3</v>
      </c>
      <c r="K33" s="4">
        <v>11</v>
      </c>
      <c r="L33" s="4">
        <v>0</v>
      </c>
      <c r="M33" s="4">
        <v>1</v>
      </c>
      <c r="N33" s="4">
        <v>7</v>
      </c>
      <c r="O33" s="4">
        <v>8</v>
      </c>
      <c r="P33" s="4">
        <v>5</v>
      </c>
      <c r="Q33" s="4">
        <v>0</v>
      </c>
      <c r="R33" s="4">
        <v>9</v>
      </c>
      <c r="S33" s="4">
        <v>6</v>
      </c>
    </row>
    <row r="34" spans="1:19" ht="18" customHeight="1" x14ac:dyDescent="0.25">
      <c r="A34" s="5">
        <v>44805</v>
      </c>
      <c r="B34" s="4">
        <v>0</v>
      </c>
      <c r="C34" s="4">
        <v>4</v>
      </c>
      <c r="D34" s="4">
        <v>-2</v>
      </c>
      <c r="E34" s="4">
        <v>0</v>
      </c>
      <c r="F34" s="4">
        <v>10</v>
      </c>
      <c r="G34" s="4">
        <v>2</v>
      </c>
      <c r="H34" s="4">
        <v>5</v>
      </c>
      <c r="I34" s="4">
        <v>8</v>
      </c>
      <c r="J34" s="4">
        <v>0</v>
      </c>
      <c r="K34" s="4">
        <v>13</v>
      </c>
      <c r="L34" s="4">
        <v>12</v>
      </c>
      <c r="M34" s="4">
        <v>3</v>
      </c>
      <c r="N34" s="4">
        <v>7</v>
      </c>
      <c r="O34" s="4">
        <v>9</v>
      </c>
      <c r="P34" s="4">
        <v>11</v>
      </c>
      <c r="Q34" s="4">
        <v>-1</v>
      </c>
      <c r="R34" s="4">
        <v>1</v>
      </c>
      <c r="S34" s="4">
        <v>6</v>
      </c>
    </row>
    <row r="35" spans="1:19" ht="18" customHeight="1" x14ac:dyDescent="0.25">
      <c r="A35" s="5">
        <v>44835</v>
      </c>
      <c r="B35" s="4">
        <v>7</v>
      </c>
      <c r="C35" s="4">
        <v>9</v>
      </c>
      <c r="D35" s="4">
        <v>0</v>
      </c>
      <c r="E35" s="4">
        <v>5</v>
      </c>
      <c r="F35" s="4">
        <v>2</v>
      </c>
      <c r="G35" s="4">
        <v>4</v>
      </c>
      <c r="H35" s="4">
        <v>1</v>
      </c>
      <c r="I35" s="4">
        <v>12</v>
      </c>
      <c r="J35" s="4">
        <v>0</v>
      </c>
      <c r="K35" s="4">
        <v>13</v>
      </c>
      <c r="L35" s="4">
        <v>11</v>
      </c>
      <c r="M35" s="4">
        <v>6</v>
      </c>
      <c r="N35" s="4">
        <v>0</v>
      </c>
      <c r="O35" s="4">
        <v>-2</v>
      </c>
      <c r="P35" s="4">
        <v>8</v>
      </c>
      <c r="Q35" s="4">
        <v>10</v>
      </c>
      <c r="R35" s="4">
        <v>3</v>
      </c>
      <c r="S35" s="4">
        <v>-1</v>
      </c>
    </row>
    <row r="36" spans="1:19" ht="18" customHeight="1" x14ac:dyDescent="0.25">
      <c r="A36" s="5">
        <v>44866</v>
      </c>
      <c r="B36" s="4">
        <v>9</v>
      </c>
      <c r="C36" s="4">
        <v>8</v>
      </c>
      <c r="D36" s="4">
        <v>0</v>
      </c>
      <c r="E36" s="4">
        <v>3</v>
      </c>
      <c r="F36" s="4">
        <v>-1</v>
      </c>
      <c r="G36" s="4">
        <v>0</v>
      </c>
      <c r="H36" s="4">
        <v>4</v>
      </c>
      <c r="I36" s="4">
        <v>-2</v>
      </c>
      <c r="J36" s="4">
        <v>-4</v>
      </c>
      <c r="K36" s="4">
        <v>7</v>
      </c>
      <c r="L36" s="4">
        <v>11</v>
      </c>
      <c r="M36" s="4">
        <v>2</v>
      </c>
      <c r="N36" s="4">
        <v>6</v>
      </c>
      <c r="O36" s="4">
        <v>12</v>
      </c>
      <c r="P36" s="4">
        <v>10</v>
      </c>
      <c r="Q36" s="4">
        <v>5</v>
      </c>
      <c r="R36" s="4">
        <v>1</v>
      </c>
      <c r="S36" s="4">
        <v>-3</v>
      </c>
    </row>
    <row r="37" spans="1:19" ht="18" customHeight="1" x14ac:dyDescent="0.25">
      <c r="A37" s="5">
        <v>44896</v>
      </c>
      <c r="B37" s="4">
        <v>0</v>
      </c>
      <c r="C37" s="4">
        <v>0</v>
      </c>
      <c r="D37" s="4">
        <v>-7</v>
      </c>
      <c r="E37" s="4">
        <v>-2</v>
      </c>
      <c r="F37" s="4">
        <v>-4</v>
      </c>
      <c r="G37" s="4">
        <v>0</v>
      </c>
      <c r="H37" s="4">
        <v>4</v>
      </c>
      <c r="I37" s="4">
        <v>-5</v>
      </c>
      <c r="J37" s="4">
        <v>3</v>
      </c>
      <c r="K37" s="4">
        <v>0</v>
      </c>
      <c r="L37" s="4">
        <v>-6</v>
      </c>
      <c r="M37" s="4">
        <v>-1</v>
      </c>
      <c r="N37" s="4">
        <v>0</v>
      </c>
      <c r="O37" s="4">
        <v>-8</v>
      </c>
      <c r="P37" s="4">
        <v>2</v>
      </c>
      <c r="Q37" s="4">
        <v>5</v>
      </c>
      <c r="R37" s="4">
        <v>1</v>
      </c>
      <c r="S37" s="4">
        <v>-3</v>
      </c>
    </row>
    <row r="38" spans="1:19" ht="18" customHeight="1" x14ac:dyDescent="0.25">
      <c r="A38" s="5">
        <v>44927</v>
      </c>
      <c r="B38" s="1">
        <v>10</v>
      </c>
      <c r="C38" s="1">
        <v>11</v>
      </c>
      <c r="D38" s="1">
        <v>0</v>
      </c>
      <c r="E38" s="1">
        <v>0</v>
      </c>
      <c r="F38" s="1">
        <v>7</v>
      </c>
      <c r="G38" s="1">
        <v>2</v>
      </c>
      <c r="H38" s="1">
        <v>1</v>
      </c>
      <c r="I38" s="1">
        <v>-3</v>
      </c>
      <c r="J38" s="1">
        <v>5</v>
      </c>
      <c r="K38" s="1">
        <v>-2</v>
      </c>
      <c r="L38" s="1">
        <v>8</v>
      </c>
      <c r="M38" s="1">
        <v>3</v>
      </c>
      <c r="N38" s="1">
        <v>6</v>
      </c>
      <c r="O38" s="1">
        <v>4</v>
      </c>
      <c r="P38" s="1">
        <v>0</v>
      </c>
      <c r="Q38" s="1">
        <v>-4</v>
      </c>
      <c r="R38" s="1">
        <v>9</v>
      </c>
      <c r="S38" s="1">
        <v>-1</v>
      </c>
    </row>
    <row r="39" spans="1:19" ht="18" customHeight="1" x14ac:dyDescent="0.25">
      <c r="A39" s="5">
        <v>44958</v>
      </c>
      <c r="B39" s="1">
        <v>5</v>
      </c>
      <c r="C39" s="1">
        <v>13</v>
      </c>
      <c r="D39" s="1">
        <v>0</v>
      </c>
      <c r="E39" s="1">
        <v>12</v>
      </c>
      <c r="F39" s="1">
        <v>7</v>
      </c>
      <c r="G39" s="1">
        <v>4</v>
      </c>
      <c r="H39" s="1">
        <v>1</v>
      </c>
      <c r="I39" s="1">
        <v>-2</v>
      </c>
      <c r="J39" s="1">
        <v>3</v>
      </c>
      <c r="K39" s="1">
        <v>-3</v>
      </c>
      <c r="L39" s="1">
        <v>11</v>
      </c>
      <c r="M39" s="1">
        <v>9</v>
      </c>
      <c r="N39" s="1">
        <v>10</v>
      </c>
      <c r="O39" s="1">
        <v>14</v>
      </c>
      <c r="P39" s="1">
        <v>6</v>
      </c>
      <c r="Q39" s="1">
        <v>2</v>
      </c>
      <c r="R39" s="1">
        <v>8</v>
      </c>
      <c r="S39" s="1">
        <v>-1</v>
      </c>
    </row>
    <row r="40" spans="1:19" ht="18" customHeight="1" x14ac:dyDescent="0.25">
      <c r="A40" s="5">
        <v>44986</v>
      </c>
      <c r="B40" s="1">
        <v>12</v>
      </c>
      <c r="C40" s="1">
        <v>5</v>
      </c>
      <c r="D40" s="1">
        <v>11</v>
      </c>
      <c r="E40" s="1">
        <v>7</v>
      </c>
      <c r="F40" s="1">
        <v>6</v>
      </c>
      <c r="G40" s="1">
        <v>-2</v>
      </c>
      <c r="H40" s="1">
        <v>1</v>
      </c>
      <c r="I40" s="1">
        <v>8</v>
      </c>
      <c r="J40" s="1">
        <v>2</v>
      </c>
      <c r="K40" s="1">
        <v>4</v>
      </c>
      <c r="L40" s="1">
        <v>10</v>
      </c>
      <c r="M40" s="1">
        <v>3</v>
      </c>
      <c r="N40" s="1">
        <v>9</v>
      </c>
      <c r="O40" s="1">
        <v>-4</v>
      </c>
      <c r="P40" s="1">
        <v>-3</v>
      </c>
      <c r="Q40" s="1">
        <v>0</v>
      </c>
      <c r="R40" s="1">
        <v>0</v>
      </c>
      <c r="S40" s="1">
        <v>-1</v>
      </c>
    </row>
    <row r="41" spans="1:19" ht="18" customHeight="1" x14ac:dyDescent="0.25">
      <c r="A41" s="5">
        <v>45017</v>
      </c>
      <c r="B41" s="1">
        <v>14</v>
      </c>
      <c r="C41" s="1">
        <v>0</v>
      </c>
      <c r="D41" s="1">
        <v>16</v>
      </c>
      <c r="E41" s="1">
        <v>1</v>
      </c>
      <c r="F41" s="1">
        <v>9</v>
      </c>
      <c r="G41" s="1">
        <v>8</v>
      </c>
      <c r="H41" s="1">
        <v>12</v>
      </c>
      <c r="I41" s="1">
        <v>2</v>
      </c>
      <c r="J41" s="1">
        <v>3</v>
      </c>
      <c r="K41" s="1">
        <v>-1</v>
      </c>
      <c r="L41" s="1">
        <v>15</v>
      </c>
      <c r="M41" s="1">
        <v>5</v>
      </c>
      <c r="N41" s="1">
        <v>11</v>
      </c>
      <c r="O41" s="1">
        <v>10</v>
      </c>
      <c r="P41" s="1">
        <v>13</v>
      </c>
      <c r="Q41" s="1">
        <v>6</v>
      </c>
      <c r="R41" s="1">
        <v>4</v>
      </c>
      <c r="S41" s="1">
        <v>7</v>
      </c>
    </row>
    <row r="42" spans="1:19" ht="18" customHeight="1" x14ac:dyDescent="0.25">
      <c r="A42" s="5">
        <v>45047</v>
      </c>
      <c r="B42" s="1">
        <v>11</v>
      </c>
      <c r="C42" s="1">
        <v>0</v>
      </c>
      <c r="D42" s="1">
        <v>0</v>
      </c>
      <c r="E42" s="1">
        <v>4</v>
      </c>
      <c r="F42" s="1">
        <v>8</v>
      </c>
      <c r="G42" s="1">
        <v>1</v>
      </c>
      <c r="H42" s="1">
        <v>0</v>
      </c>
      <c r="I42" s="1">
        <v>0</v>
      </c>
      <c r="J42" s="1">
        <v>10</v>
      </c>
      <c r="K42" s="1">
        <v>0</v>
      </c>
      <c r="L42" s="1">
        <v>9</v>
      </c>
      <c r="M42" s="1">
        <v>7</v>
      </c>
      <c r="N42" s="1">
        <v>2</v>
      </c>
      <c r="O42" s="1">
        <v>0</v>
      </c>
      <c r="P42" s="1">
        <v>5</v>
      </c>
      <c r="Q42" s="1">
        <v>3</v>
      </c>
      <c r="R42" s="1">
        <v>6</v>
      </c>
      <c r="S42" s="1">
        <v>-1</v>
      </c>
    </row>
    <row r="43" spans="1:19" ht="18" customHeight="1" x14ac:dyDescent="0.25">
      <c r="A43" s="5">
        <v>45078</v>
      </c>
      <c r="B43" s="1">
        <v>13</v>
      </c>
      <c r="C43" s="1">
        <v>-3</v>
      </c>
      <c r="D43" s="1">
        <v>12</v>
      </c>
      <c r="E43" s="1">
        <v>4</v>
      </c>
      <c r="F43" s="1">
        <v>11</v>
      </c>
      <c r="G43" s="1">
        <v>6</v>
      </c>
      <c r="H43" s="1">
        <v>2</v>
      </c>
      <c r="I43" s="1">
        <v>-1</v>
      </c>
      <c r="J43" s="1">
        <v>7</v>
      </c>
      <c r="K43" s="1">
        <v>-4</v>
      </c>
      <c r="L43" s="1">
        <v>5</v>
      </c>
      <c r="M43" s="1">
        <v>3</v>
      </c>
      <c r="N43" s="1">
        <v>10</v>
      </c>
      <c r="O43" s="1">
        <v>0</v>
      </c>
      <c r="P43" s="1">
        <v>-2</v>
      </c>
      <c r="Q43" s="1">
        <v>8</v>
      </c>
      <c r="R43" s="1">
        <v>1</v>
      </c>
      <c r="S43" s="1">
        <v>9</v>
      </c>
    </row>
    <row r="44" spans="1:19" ht="18" customHeight="1" x14ac:dyDescent="0.25">
      <c r="A44" s="5">
        <v>45108</v>
      </c>
      <c r="B44" s="1">
        <v>12</v>
      </c>
      <c r="C44" s="1">
        <v>-1</v>
      </c>
      <c r="D44" s="1">
        <v>-3</v>
      </c>
      <c r="E44" s="1">
        <v>8</v>
      </c>
      <c r="F44" s="1">
        <v>7</v>
      </c>
      <c r="G44" s="1">
        <v>1</v>
      </c>
      <c r="H44" s="1">
        <v>2</v>
      </c>
      <c r="I44" s="1">
        <v>6</v>
      </c>
      <c r="J44" s="1">
        <v>10</v>
      </c>
      <c r="K44" s="1">
        <v>-2</v>
      </c>
      <c r="L44" s="1">
        <v>13</v>
      </c>
      <c r="M44" s="1">
        <v>4</v>
      </c>
      <c r="N44" s="1">
        <v>9</v>
      </c>
      <c r="O44" s="1">
        <v>0</v>
      </c>
      <c r="P44" s="1">
        <v>0</v>
      </c>
      <c r="Q44" s="1">
        <v>11</v>
      </c>
      <c r="R44" s="1">
        <v>3</v>
      </c>
      <c r="S44" s="1">
        <v>5</v>
      </c>
    </row>
    <row r="45" spans="1:19" ht="18" customHeight="1" x14ac:dyDescent="0.25">
      <c r="A45" s="5">
        <v>45139</v>
      </c>
      <c r="B45" s="1">
        <v>12</v>
      </c>
      <c r="C45" s="1">
        <v>-3</v>
      </c>
      <c r="D45" s="1">
        <v>8</v>
      </c>
      <c r="E45" s="1">
        <v>-2</v>
      </c>
      <c r="F45" s="1">
        <v>7</v>
      </c>
      <c r="G45" s="1">
        <v>2</v>
      </c>
      <c r="H45" s="1">
        <v>-1</v>
      </c>
      <c r="I45" s="1">
        <v>4</v>
      </c>
      <c r="J45" s="1">
        <v>0</v>
      </c>
      <c r="K45" s="1">
        <v>0</v>
      </c>
      <c r="L45" s="1">
        <v>11</v>
      </c>
      <c r="M45" s="1">
        <v>0</v>
      </c>
      <c r="N45" s="1">
        <v>5</v>
      </c>
      <c r="O45" s="1">
        <v>10</v>
      </c>
      <c r="P45" s="1">
        <v>9</v>
      </c>
      <c r="Q45" s="1">
        <v>6</v>
      </c>
      <c r="R45" s="1">
        <v>3</v>
      </c>
      <c r="S45" s="1">
        <v>1</v>
      </c>
    </row>
    <row r="46" spans="1:19" ht="18" customHeight="1" x14ac:dyDescent="0.25">
      <c r="A46" s="5">
        <v>45170</v>
      </c>
      <c r="B46" s="1">
        <v>-2</v>
      </c>
      <c r="C46" s="1">
        <v>-4</v>
      </c>
      <c r="D46" s="1">
        <v>-3</v>
      </c>
      <c r="E46" s="1">
        <v>1</v>
      </c>
      <c r="F46" s="1">
        <v>5</v>
      </c>
      <c r="G46" s="1">
        <v>4</v>
      </c>
      <c r="H46" s="1">
        <v>7</v>
      </c>
      <c r="I46" s="1">
        <v>10</v>
      </c>
      <c r="J46" s="1">
        <v>-1</v>
      </c>
      <c r="K46" s="1">
        <v>9</v>
      </c>
      <c r="L46" s="1">
        <v>8</v>
      </c>
      <c r="M46" s="1">
        <v>0</v>
      </c>
      <c r="N46" s="1">
        <v>6</v>
      </c>
      <c r="O46" s="1">
        <v>0</v>
      </c>
      <c r="P46" s="1">
        <v>12</v>
      </c>
      <c r="Q46" s="1">
        <v>11</v>
      </c>
      <c r="R46" s="1">
        <v>3</v>
      </c>
      <c r="S46" s="1">
        <v>2</v>
      </c>
    </row>
    <row r="47" spans="1:19" ht="18" customHeight="1" x14ac:dyDescent="0.25">
      <c r="A47" s="5">
        <v>45200</v>
      </c>
      <c r="B47" s="1">
        <v>5</v>
      </c>
      <c r="C47" s="1">
        <v>-3</v>
      </c>
      <c r="D47" s="1">
        <v>10</v>
      </c>
      <c r="E47" s="1">
        <v>-2</v>
      </c>
      <c r="F47" s="1">
        <v>9</v>
      </c>
      <c r="G47" s="1">
        <v>11</v>
      </c>
      <c r="H47" s="1">
        <v>3</v>
      </c>
      <c r="I47" s="1">
        <v>1</v>
      </c>
      <c r="J47" s="1">
        <v>0</v>
      </c>
      <c r="K47" s="1">
        <v>0</v>
      </c>
      <c r="L47" s="1">
        <v>8</v>
      </c>
      <c r="M47" s="1">
        <v>-1</v>
      </c>
      <c r="N47" s="1">
        <v>7</v>
      </c>
      <c r="O47" s="1">
        <v>-4</v>
      </c>
      <c r="P47" s="1">
        <v>12</v>
      </c>
      <c r="Q47" s="1">
        <v>6</v>
      </c>
      <c r="R47" s="1">
        <v>4</v>
      </c>
      <c r="S47" s="1">
        <v>2</v>
      </c>
    </row>
    <row r="48" spans="1:19" ht="18" customHeight="1" x14ac:dyDescent="0.25">
      <c r="A48" s="5">
        <v>45231</v>
      </c>
      <c r="B48" s="1">
        <v>0</v>
      </c>
      <c r="C48" s="1">
        <v>11</v>
      </c>
      <c r="D48" s="1">
        <v>0</v>
      </c>
      <c r="E48" s="1">
        <v>3</v>
      </c>
      <c r="F48" s="1">
        <v>2</v>
      </c>
      <c r="G48" s="1">
        <v>6</v>
      </c>
      <c r="H48" s="1">
        <v>7</v>
      </c>
      <c r="I48" s="1">
        <v>-2</v>
      </c>
      <c r="J48" s="1">
        <v>4</v>
      </c>
      <c r="K48" s="1">
        <v>0</v>
      </c>
      <c r="L48" s="1">
        <v>0</v>
      </c>
      <c r="M48" s="1">
        <v>-1</v>
      </c>
      <c r="N48" s="1">
        <v>5</v>
      </c>
      <c r="O48" s="1">
        <v>10</v>
      </c>
      <c r="P48" s="1">
        <v>9</v>
      </c>
      <c r="Q48" s="1">
        <v>8</v>
      </c>
      <c r="R48" s="1">
        <v>1</v>
      </c>
      <c r="S48" s="1">
        <v>0</v>
      </c>
    </row>
    <row r="49" spans="1:19" ht="18" customHeight="1" x14ac:dyDescent="0.25">
      <c r="A49" s="5">
        <v>45261</v>
      </c>
      <c r="B49" s="1">
        <v>8</v>
      </c>
      <c r="C49" s="1">
        <v>9</v>
      </c>
      <c r="D49" s="1">
        <v>-5</v>
      </c>
      <c r="E49" s="1">
        <v>-2</v>
      </c>
      <c r="F49" s="1">
        <v>-3</v>
      </c>
      <c r="G49" s="1">
        <v>3</v>
      </c>
      <c r="H49" s="1">
        <v>6</v>
      </c>
      <c r="I49" s="1">
        <v>0</v>
      </c>
      <c r="J49" s="1">
        <v>4</v>
      </c>
      <c r="K49" s="1">
        <v>-4</v>
      </c>
      <c r="L49" s="1">
        <v>5</v>
      </c>
      <c r="M49" s="1">
        <v>-1</v>
      </c>
      <c r="N49" s="1">
        <v>0</v>
      </c>
      <c r="O49" s="1">
        <v>-6</v>
      </c>
      <c r="P49" s="1">
        <v>2</v>
      </c>
      <c r="Q49" s="1">
        <v>7</v>
      </c>
      <c r="R49" s="1">
        <v>1</v>
      </c>
      <c r="S49" s="1">
        <v>0</v>
      </c>
    </row>
    <row r="50" spans="1:19" ht="18" customHeight="1" x14ac:dyDescent="0.25">
      <c r="A50" s="5">
        <v>45292</v>
      </c>
      <c r="B50" s="1">
        <v>0</v>
      </c>
      <c r="C50" s="1">
        <v>8</v>
      </c>
      <c r="D50" s="1">
        <v>-3</v>
      </c>
      <c r="E50" s="1">
        <v>0</v>
      </c>
      <c r="F50" s="1">
        <v>4</v>
      </c>
      <c r="G50" s="1">
        <v>1</v>
      </c>
      <c r="H50" s="1">
        <v>6</v>
      </c>
      <c r="I50" s="1">
        <v>-4</v>
      </c>
      <c r="J50" s="1">
        <v>0</v>
      </c>
      <c r="K50" s="1">
        <v>-5</v>
      </c>
      <c r="L50" s="1">
        <v>0</v>
      </c>
      <c r="M50" s="1">
        <v>7</v>
      </c>
      <c r="N50" s="1">
        <v>3</v>
      </c>
      <c r="O50" s="1">
        <v>-2</v>
      </c>
      <c r="P50" s="1">
        <v>-6</v>
      </c>
      <c r="Q50" s="1">
        <v>-1</v>
      </c>
      <c r="R50" s="1">
        <v>5</v>
      </c>
      <c r="S50" s="1">
        <v>2</v>
      </c>
    </row>
    <row r="51" spans="1:19" ht="18" customHeight="1" x14ac:dyDescent="0.25">
      <c r="A51" s="5">
        <v>45323</v>
      </c>
      <c r="B51" s="1">
        <v>11</v>
      </c>
      <c r="C51" s="1">
        <v>0</v>
      </c>
      <c r="D51" s="1">
        <v>-1</v>
      </c>
      <c r="E51" s="1">
        <v>8</v>
      </c>
      <c r="F51" s="1">
        <v>1</v>
      </c>
      <c r="G51" s="1">
        <v>7</v>
      </c>
      <c r="H51" s="1">
        <v>6</v>
      </c>
      <c r="I51" s="1">
        <v>12</v>
      </c>
      <c r="J51" s="1">
        <v>10</v>
      </c>
      <c r="K51" s="1">
        <v>0</v>
      </c>
      <c r="L51" s="1">
        <v>0</v>
      </c>
      <c r="M51" s="1">
        <v>3</v>
      </c>
      <c r="N51" s="1">
        <v>9</v>
      </c>
      <c r="O51" s="1">
        <v>0</v>
      </c>
      <c r="P51" s="1">
        <v>13</v>
      </c>
      <c r="Q51" s="1">
        <v>4</v>
      </c>
      <c r="R51" s="1">
        <v>5</v>
      </c>
      <c r="S51" s="1">
        <v>2</v>
      </c>
    </row>
    <row r="52" spans="1:19" ht="18" customHeight="1" x14ac:dyDescent="0.25">
      <c r="A52" s="5">
        <v>45352</v>
      </c>
      <c r="B52" s="1">
        <v>8</v>
      </c>
      <c r="C52" s="1">
        <v>7</v>
      </c>
      <c r="D52" s="1">
        <v>0</v>
      </c>
      <c r="E52" s="1">
        <v>2</v>
      </c>
      <c r="F52" s="1">
        <v>5</v>
      </c>
      <c r="G52" s="1">
        <v>3</v>
      </c>
      <c r="H52" s="1">
        <v>1</v>
      </c>
      <c r="I52" s="1">
        <v>0</v>
      </c>
      <c r="J52" s="1">
        <v>0</v>
      </c>
      <c r="K52" s="1">
        <v>-2</v>
      </c>
      <c r="L52" s="1">
        <v>6</v>
      </c>
      <c r="M52" s="1">
        <v>11</v>
      </c>
      <c r="N52" s="1">
        <v>-1</v>
      </c>
      <c r="O52" s="1">
        <v>0</v>
      </c>
      <c r="P52" s="1">
        <v>9</v>
      </c>
      <c r="Q52" s="1">
        <v>0</v>
      </c>
      <c r="R52" s="1">
        <v>4</v>
      </c>
      <c r="S52" s="1">
        <v>10</v>
      </c>
    </row>
    <row r="53" spans="1:19" ht="18" customHeight="1" x14ac:dyDescent="0.25">
      <c r="A53" s="5">
        <v>45383</v>
      </c>
      <c r="B53" s="1">
        <v>12</v>
      </c>
      <c r="C53" s="1">
        <v>11</v>
      </c>
      <c r="D53" s="1">
        <v>0</v>
      </c>
      <c r="E53" s="1">
        <v>9</v>
      </c>
      <c r="F53" s="1">
        <v>3</v>
      </c>
      <c r="G53" s="1">
        <v>5</v>
      </c>
      <c r="H53" s="1">
        <v>1</v>
      </c>
      <c r="I53" s="1">
        <v>-2</v>
      </c>
      <c r="J53" s="1">
        <v>0</v>
      </c>
      <c r="K53" s="1">
        <v>8</v>
      </c>
      <c r="L53" s="1">
        <v>-3</v>
      </c>
      <c r="M53" s="1">
        <v>-1</v>
      </c>
      <c r="N53" s="1">
        <v>2</v>
      </c>
      <c r="O53" s="1">
        <v>6</v>
      </c>
      <c r="P53" s="1">
        <v>4</v>
      </c>
      <c r="Q53" s="1">
        <v>0</v>
      </c>
      <c r="R53" s="1">
        <v>7</v>
      </c>
      <c r="S53" s="1">
        <v>10</v>
      </c>
    </row>
    <row r="54" spans="1:19" ht="18" customHeight="1" x14ac:dyDescent="0.25">
      <c r="A54" s="5">
        <v>45413</v>
      </c>
      <c r="B54" s="1">
        <v>0</v>
      </c>
      <c r="C54" s="1">
        <v>0</v>
      </c>
      <c r="D54" s="1">
        <v>-3</v>
      </c>
      <c r="E54" s="1">
        <v>1</v>
      </c>
      <c r="F54" s="1">
        <v>8</v>
      </c>
      <c r="G54" s="1">
        <v>6</v>
      </c>
      <c r="H54" s="1">
        <v>5</v>
      </c>
      <c r="I54" s="1">
        <v>2</v>
      </c>
      <c r="J54" s="1">
        <v>0</v>
      </c>
      <c r="K54" s="1">
        <v>0</v>
      </c>
      <c r="L54" s="1">
        <v>10</v>
      </c>
      <c r="M54" s="1">
        <v>-1</v>
      </c>
      <c r="N54" s="1">
        <v>3</v>
      </c>
      <c r="O54" s="1">
        <v>0</v>
      </c>
      <c r="P54" s="1">
        <v>-2</v>
      </c>
      <c r="Q54" s="1">
        <v>4</v>
      </c>
      <c r="R54" s="1">
        <v>7</v>
      </c>
      <c r="S54" s="1">
        <v>9</v>
      </c>
    </row>
    <row r="55" spans="1:19" ht="18" customHeight="1" x14ac:dyDescent="0.25">
      <c r="A55" s="5">
        <v>45444</v>
      </c>
      <c r="B55" s="1">
        <v>-5</v>
      </c>
      <c r="C55" s="1">
        <v>-6</v>
      </c>
      <c r="D55" s="1">
        <v>-4</v>
      </c>
      <c r="E55" s="1">
        <v>5</v>
      </c>
      <c r="F55" s="1">
        <v>-3</v>
      </c>
      <c r="G55" s="1">
        <v>0</v>
      </c>
      <c r="H55" s="1">
        <v>1</v>
      </c>
      <c r="I55" s="1">
        <v>-1</v>
      </c>
      <c r="J55" s="1">
        <v>3</v>
      </c>
      <c r="K55" s="1">
        <v>0</v>
      </c>
      <c r="L55" s="1">
        <v>0</v>
      </c>
      <c r="M55" s="1">
        <v>0</v>
      </c>
      <c r="N55" s="1">
        <v>-2</v>
      </c>
      <c r="O55" s="1">
        <v>0</v>
      </c>
      <c r="P55" s="1">
        <v>-7</v>
      </c>
      <c r="Q55" s="1">
        <v>0</v>
      </c>
      <c r="R55" s="1">
        <v>4</v>
      </c>
      <c r="S55" s="1">
        <v>2</v>
      </c>
    </row>
    <row r="56" spans="1:19" ht="18" customHeight="1" x14ac:dyDescent="0.25">
      <c r="A56" s="5">
        <v>45474</v>
      </c>
      <c r="B56" s="1">
        <v>8</v>
      </c>
      <c r="C56" s="1">
        <v>-6</v>
      </c>
      <c r="D56" s="1">
        <v>10</v>
      </c>
      <c r="E56" s="1">
        <v>7</v>
      </c>
      <c r="F56" s="1">
        <v>1</v>
      </c>
      <c r="G56" s="1">
        <v>4</v>
      </c>
      <c r="H56" s="1">
        <v>-1</v>
      </c>
      <c r="I56" s="1">
        <v>-4</v>
      </c>
      <c r="J56" s="1">
        <v>5</v>
      </c>
      <c r="K56" s="1">
        <v>9</v>
      </c>
      <c r="L56" s="1">
        <v>0</v>
      </c>
      <c r="M56" s="1">
        <v>-2</v>
      </c>
      <c r="N56" s="1">
        <v>6</v>
      </c>
      <c r="O56" s="1">
        <v>-5</v>
      </c>
      <c r="P56" s="1">
        <v>0</v>
      </c>
      <c r="Q56" s="1">
        <v>3</v>
      </c>
      <c r="R56" s="1">
        <v>2</v>
      </c>
      <c r="S56" s="1">
        <v>-3</v>
      </c>
    </row>
    <row r="57" spans="1:19" ht="18" customHeight="1" x14ac:dyDescent="0.25">
      <c r="A57" s="5">
        <v>45505</v>
      </c>
      <c r="B57" s="1">
        <v>-3</v>
      </c>
      <c r="C57" s="1">
        <v>-5</v>
      </c>
      <c r="D57" s="1">
        <v>8</v>
      </c>
      <c r="E57" s="1">
        <v>-4</v>
      </c>
      <c r="F57" s="1">
        <v>4</v>
      </c>
      <c r="G57" s="1">
        <v>5</v>
      </c>
      <c r="H57" s="1">
        <v>1</v>
      </c>
      <c r="I57" s="1">
        <v>6</v>
      </c>
      <c r="J57" s="1">
        <v>0</v>
      </c>
      <c r="K57" s="1">
        <v>0</v>
      </c>
      <c r="L57" s="1">
        <v>7</v>
      </c>
      <c r="M57" s="1">
        <v>-2</v>
      </c>
      <c r="N57" s="1">
        <v>3</v>
      </c>
      <c r="O57" s="1">
        <v>0</v>
      </c>
      <c r="P57" s="1">
        <v>0</v>
      </c>
      <c r="Q57" s="1">
        <v>2</v>
      </c>
      <c r="R57" s="1">
        <v>-1</v>
      </c>
      <c r="S57" s="1">
        <v>0</v>
      </c>
    </row>
    <row r="58" spans="1:19" ht="18" customHeight="1" x14ac:dyDescent="0.25">
      <c r="A58" s="5">
        <v>45536</v>
      </c>
      <c r="B58" s="1">
        <v>8</v>
      </c>
      <c r="C58" s="1">
        <v>-2</v>
      </c>
      <c r="D58" s="1">
        <v>0</v>
      </c>
      <c r="E58" s="1">
        <v>1</v>
      </c>
      <c r="F58" s="1">
        <v>7</v>
      </c>
      <c r="G58" s="1">
        <v>6</v>
      </c>
      <c r="H58" s="1">
        <v>3</v>
      </c>
      <c r="I58" s="1">
        <v>4</v>
      </c>
      <c r="J58" s="1">
        <v>10</v>
      </c>
      <c r="K58" s="1">
        <v>0</v>
      </c>
      <c r="L58" s="1">
        <v>-3</v>
      </c>
      <c r="M58" s="1">
        <v>0</v>
      </c>
      <c r="N58" s="1">
        <v>9</v>
      </c>
      <c r="O58" s="1">
        <v>11</v>
      </c>
      <c r="P58" s="1">
        <v>5</v>
      </c>
      <c r="Q58" s="1">
        <v>2</v>
      </c>
      <c r="R58" s="1">
        <v>0</v>
      </c>
      <c r="S58" s="1">
        <v>-1</v>
      </c>
    </row>
    <row r="59" spans="1:19" ht="18" customHeight="1" x14ac:dyDescent="0.25">
      <c r="A59" s="5">
        <v>45566</v>
      </c>
      <c r="B59" s="1">
        <v>12</v>
      </c>
      <c r="C59" s="1">
        <v>-3</v>
      </c>
      <c r="D59" s="1">
        <v>0</v>
      </c>
      <c r="E59" s="1">
        <v>4</v>
      </c>
      <c r="F59" s="1">
        <v>3</v>
      </c>
      <c r="G59" s="1">
        <v>11</v>
      </c>
      <c r="H59" s="1">
        <v>-1</v>
      </c>
      <c r="I59" s="1">
        <v>10</v>
      </c>
      <c r="J59" s="1">
        <v>5</v>
      </c>
      <c r="K59" s="1">
        <v>0</v>
      </c>
      <c r="L59" s="1">
        <v>8</v>
      </c>
      <c r="M59" s="1">
        <v>1</v>
      </c>
      <c r="N59" s="1">
        <v>6</v>
      </c>
      <c r="O59" s="1">
        <v>0</v>
      </c>
      <c r="P59" s="1">
        <v>7</v>
      </c>
      <c r="Q59" s="1">
        <v>9</v>
      </c>
      <c r="R59" s="1">
        <v>2</v>
      </c>
      <c r="S59" s="1">
        <v>-2</v>
      </c>
    </row>
    <row r="60" spans="1:19" ht="18" customHeight="1" x14ac:dyDescent="0.25">
      <c r="A60" s="5">
        <v>45597</v>
      </c>
      <c r="B60" s="1">
        <v>12</v>
      </c>
      <c r="C60" s="1">
        <v>6</v>
      </c>
      <c r="D60" s="1">
        <v>13</v>
      </c>
      <c r="E60" s="1">
        <v>0</v>
      </c>
      <c r="F60" s="1">
        <v>-1</v>
      </c>
      <c r="G60" s="1">
        <v>3</v>
      </c>
      <c r="H60" s="1">
        <v>5</v>
      </c>
      <c r="I60" s="1">
        <v>9</v>
      </c>
      <c r="J60" s="1">
        <v>11</v>
      </c>
      <c r="K60" s="1">
        <v>-3</v>
      </c>
      <c r="L60" s="1">
        <v>0</v>
      </c>
      <c r="M60" s="1">
        <v>4</v>
      </c>
      <c r="N60" s="1">
        <v>10</v>
      </c>
      <c r="O60" s="1">
        <v>-2</v>
      </c>
      <c r="P60" s="1">
        <v>7</v>
      </c>
      <c r="Q60" s="1">
        <v>2</v>
      </c>
      <c r="R60" s="1">
        <v>1</v>
      </c>
      <c r="S60" s="1">
        <v>8</v>
      </c>
    </row>
    <row r="61" spans="1:19" ht="18" customHeight="1" x14ac:dyDescent="0.25">
      <c r="A61" s="5">
        <v>45627</v>
      </c>
      <c r="B61" s="1">
        <v>0</v>
      </c>
      <c r="C61" s="1">
        <v>0</v>
      </c>
      <c r="D61" s="1">
        <v>7</v>
      </c>
      <c r="E61" s="1">
        <v>-3</v>
      </c>
      <c r="F61" s="1">
        <v>-4</v>
      </c>
      <c r="G61" s="1">
        <v>6</v>
      </c>
      <c r="H61" s="1">
        <v>2</v>
      </c>
      <c r="I61" s="1">
        <v>-2</v>
      </c>
      <c r="J61" s="1">
        <v>0</v>
      </c>
      <c r="K61" s="1">
        <v>0</v>
      </c>
      <c r="L61" s="1">
        <v>0</v>
      </c>
      <c r="M61" s="1">
        <v>-1</v>
      </c>
      <c r="N61" s="1">
        <v>3</v>
      </c>
      <c r="O61" s="1">
        <v>-6</v>
      </c>
      <c r="P61" s="1">
        <v>4</v>
      </c>
      <c r="Q61" s="1">
        <v>5</v>
      </c>
      <c r="R61" s="1">
        <v>1</v>
      </c>
      <c r="S61" s="1">
        <v>0</v>
      </c>
    </row>
    <row r="62" spans="1:19" ht="18" customHeight="1" x14ac:dyDescent="0.25">
      <c r="A62" s="5">
        <v>45658</v>
      </c>
      <c r="B62" s="1">
        <v>10</v>
      </c>
      <c r="C62" s="1">
        <v>9</v>
      </c>
      <c r="D62" s="1">
        <v>0</v>
      </c>
      <c r="E62" s="1">
        <v>2</v>
      </c>
      <c r="F62" s="1">
        <v>8</v>
      </c>
      <c r="G62" s="1">
        <v>7</v>
      </c>
      <c r="H62" s="1">
        <v>4</v>
      </c>
      <c r="I62" s="1">
        <v>-2</v>
      </c>
      <c r="J62" s="1">
        <v>-1</v>
      </c>
      <c r="L62" s="1">
        <v>-4</v>
      </c>
      <c r="M62" s="1">
        <v>-3</v>
      </c>
      <c r="N62" s="1">
        <v>3</v>
      </c>
      <c r="O62" s="1">
        <v>-5</v>
      </c>
      <c r="P62" s="1">
        <v>1</v>
      </c>
      <c r="Q62" s="1">
        <v>5</v>
      </c>
      <c r="R62" s="1">
        <v>0</v>
      </c>
      <c r="S62" s="1">
        <v>6</v>
      </c>
    </row>
    <row r="63" spans="1:19" ht="18" customHeight="1" x14ac:dyDescent="0.25">
      <c r="A63" s="5">
        <v>45689</v>
      </c>
      <c r="B63" s="1">
        <v>-3</v>
      </c>
      <c r="C63" s="1">
        <v>0</v>
      </c>
      <c r="D63" s="1">
        <v>8</v>
      </c>
      <c r="E63" s="1">
        <v>10</v>
      </c>
      <c r="F63" s="1">
        <v>-1</v>
      </c>
      <c r="G63" s="1">
        <v>9</v>
      </c>
      <c r="H63" s="1">
        <v>6</v>
      </c>
      <c r="I63" s="1">
        <v>0</v>
      </c>
      <c r="J63" s="1">
        <v>-4</v>
      </c>
      <c r="K63" s="1">
        <v>11</v>
      </c>
      <c r="L63" s="1">
        <v>7</v>
      </c>
      <c r="M63" s="1">
        <v>1</v>
      </c>
      <c r="N63" s="1">
        <v>3</v>
      </c>
      <c r="O63" s="1">
        <v>0</v>
      </c>
      <c r="P63" s="1">
        <v>-2</v>
      </c>
      <c r="Q63" s="1">
        <v>2</v>
      </c>
      <c r="R63" s="1">
        <v>4</v>
      </c>
      <c r="S63" s="1">
        <v>5</v>
      </c>
    </row>
    <row r="64" spans="1:19" ht="18" customHeight="1" x14ac:dyDescent="0.25">
      <c r="A64" s="5">
        <v>45717</v>
      </c>
      <c r="B64" s="1">
        <v>6</v>
      </c>
      <c r="C64" s="1">
        <v>0</v>
      </c>
      <c r="D64" s="1">
        <v>0</v>
      </c>
      <c r="E64" s="1">
        <v>0</v>
      </c>
      <c r="F64" s="1">
        <v>-1</v>
      </c>
      <c r="G64" s="1">
        <v>5</v>
      </c>
      <c r="H64" s="1">
        <v>1</v>
      </c>
      <c r="I64" s="1">
        <v>2</v>
      </c>
      <c r="J64" s="1">
        <v>-2</v>
      </c>
      <c r="K64" s="1">
        <v>0</v>
      </c>
      <c r="L64" s="1">
        <v>0</v>
      </c>
      <c r="M64" s="1">
        <v>-4</v>
      </c>
      <c r="N64" s="1">
        <v>4</v>
      </c>
      <c r="O64" s="1">
        <v>-3</v>
      </c>
      <c r="P64" s="1">
        <v>3</v>
      </c>
      <c r="Q64" s="1">
        <v>9</v>
      </c>
      <c r="R64" s="1">
        <v>7</v>
      </c>
      <c r="S64" s="1">
        <v>8</v>
      </c>
    </row>
    <row r="65" spans="1:19" ht="18" customHeight="1" x14ac:dyDescent="0.25">
      <c r="A65" s="5">
        <v>45748</v>
      </c>
      <c r="B65" s="1">
        <v>8</v>
      </c>
      <c r="C65" s="1">
        <v>0</v>
      </c>
      <c r="D65" s="1">
        <v>0</v>
      </c>
      <c r="E65" s="1">
        <v>-3</v>
      </c>
      <c r="F65" s="1">
        <v>5</v>
      </c>
      <c r="G65" s="1">
        <v>-2</v>
      </c>
      <c r="H65" s="1">
        <v>1</v>
      </c>
      <c r="I65" s="1">
        <v>3</v>
      </c>
      <c r="J65" s="1">
        <v>-4</v>
      </c>
      <c r="K65" s="1">
        <v>0</v>
      </c>
      <c r="L65" s="1">
        <v>0</v>
      </c>
      <c r="M65" s="1">
        <v>-5</v>
      </c>
      <c r="N65" s="1">
        <v>-1</v>
      </c>
      <c r="O65" s="1">
        <v>4</v>
      </c>
      <c r="P65" s="1">
        <v>2</v>
      </c>
      <c r="Q65" s="1">
        <v>6</v>
      </c>
      <c r="R65" s="1">
        <v>0</v>
      </c>
      <c r="S65" s="1">
        <v>7</v>
      </c>
    </row>
    <row r="66" spans="1:19" ht="18" customHeight="1" x14ac:dyDescent="0.25">
      <c r="A66" s="5">
        <v>45778</v>
      </c>
      <c r="B66" s="1">
        <v>6</v>
      </c>
      <c r="C66" s="1">
        <v>0</v>
      </c>
      <c r="D66" s="1">
        <v>5</v>
      </c>
      <c r="E66" s="1">
        <v>-1</v>
      </c>
      <c r="F66" s="1">
        <v>3</v>
      </c>
      <c r="G66" s="1">
        <v>0</v>
      </c>
      <c r="H66" s="1">
        <v>0</v>
      </c>
      <c r="I66" s="1">
        <v>1</v>
      </c>
      <c r="J66" s="1">
        <v>-6</v>
      </c>
      <c r="K66" s="1">
        <v>-7</v>
      </c>
      <c r="L66" s="1">
        <v>-4</v>
      </c>
      <c r="M66" s="1">
        <v>0</v>
      </c>
      <c r="N66" s="1">
        <v>4</v>
      </c>
      <c r="O66" s="1">
        <v>-5</v>
      </c>
      <c r="P66" s="1">
        <v>-2</v>
      </c>
      <c r="Q66" s="1">
        <v>0</v>
      </c>
      <c r="R66" s="1">
        <v>2</v>
      </c>
      <c r="S66" s="1">
        <v>-3</v>
      </c>
    </row>
    <row r="67" spans="1:19" ht="18" customHeight="1" x14ac:dyDescent="0.25">
      <c r="A67" s="5">
        <v>45809</v>
      </c>
      <c r="B67" s="1">
        <v>0</v>
      </c>
      <c r="C67" s="1">
        <v>-4</v>
      </c>
      <c r="D67" s="1">
        <v>0</v>
      </c>
      <c r="E67" s="1">
        <v>-1</v>
      </c>
      <c r="F67" s="1">
        <v>1</v>
      </c>
      <c r="G67" s="1">
        <v>7</v>
      </c>
      <c r="H67" s="1">
        <v>0</v>
      </c>
      <c r="I67" s="1">
        <v>0</v>
      </c>
      <c r="J67" s="1">
        <v>0</v>
      </c>
      <c r="K67" s="1">
        <v>-3</v>
      </c>
      <c r="L67" s="1">
        <v>8</v>
      </c>
      <c r="M67" s="1">
        <v>6</v>
      </c>
      <c r="N67" s="1">
        <v>2</v>
      </c>
      <c r="O67" s="1">
        <v>-2</v>
      </c>
      <c r="P67" s="1">
        <v>0</v>
      </c>
      <c r="Q67" s="1">
        <v>5</v>
      </c>
      <c r="R67" s="1">
        <v>3</v>
      </c>
    </row>
    <row r="68" spans="1:19" ht="18" customHeight="1" x14ac:dyDescent="0.25">
      <c r="A68" s="5">
        <v>45839</v>
      </c>
      <c r="B68" s="1">
        <v>0</v>
      </c>
      <c r="C68" s="1">
        <v>-4</v>
      </c>
      <c r="D68" s="1">
        <v>0</v>
      </c>
      <c r="E68" s="1">
        <v>-1</v>
      </c>
      <c r="F68" s="1">
        <v>1</v>
      </c>
      <c r="G68" s="1">
        <v>7</v>
      </c>
      <c r="H68" s="1">
        <v>0</v>
      </c>
      <c r="I68" s="1">
        <v>0</v>
      </c>
      <c r="J68" s="1">
        <v>0</v>
      </c>
      <c r="K68" s="1">
        <v>-3</v>
      </c>
      <c r="L68" s="1">
        <v>8</v>
      </c>
      <c r="M68" s="1">
        <v>6</v>
      </c>
      <c r="N68" s="1">
        <v>2</v>
      </c>
      <c r="O68" s="1">
        <v>-2</v>
      </c>
      <c r="P68" s="1">
        <v>0</v>
      </c>
      <c r="Q68" s="1">
        <v>5</v>
      </c>
      <c r="R68" s="1">
        <v>3</v>
      </c>
    </row>
    <row r="69" spans="1:19" ht="18" customHeight="1" x14ac:dyDescent="0.25">
      <c r="A69" s="5">
        <v>45870</v>
      </c>
      <c r="B69" s="1">
        <v>-1</v>
      </c>
      <c r="C69" s="1">
        <v>0</v>
      </c>
      <c r="D69" s="1">
        <v>11</v>
      </c>
      <c r="E69" s="1">
        <v>-2</v>
      </c>
      <c r="F69" s="1">
        <v>12</v>
      </c>
      <c r="G69" s="1">
        <v>4</v>
      </c>
      <c r="H69" s="1">
        <v>5</v>
      </c>
      <c r="I69" s="1">
        <v>10</v>
      </c>
      <c r="J69" s="1">
        <v>6</v>
      </c>
      <c r="K69" s="1">
        <v>0</v>
      </c>
      <c r="L69" s="1">
        <v>0</v>
      </c>
      <c r="M69" s="1">
        <v>2</v>
      </c>
      <c r="N69" s="1">
        <v>3</v>
      </c>
      <c r="O69" s="1">
        <v>1</v>
      </c>
      <c r="P69" s="1">
        <v>8</v>
      </c>
      <c r="Q69" s="1">
        <v>9</v>
      </c>
      <c r="R69" s="1">
        <v>7</v>
      </c>
      <c r="S69" s="1">
        <v>13</v>
      </c>
    </row>
    <row r="70" spans="1:19" ht="18" customHeight="1" x14ac:dyDescent="0.25">
      <c r="A70" s="5">
        <v>45901</v>
      </c>
      <c r="B70" s="1">
        <v>9</v>
      </c>
      <c r="C70" s="1">
        <v>-4</v>
      </c>
      <c r="D70" s="1">
        <v>0</v>
      </c>
      <c r="E70" s="1">
        <v>-5</v>
      </c>
      <c r="F70" s="1">
        <v>3</v>
      </c>
      <c r="G70" s="1">
        <v>2</v>
      </c>
      <c r="H70" s="1">
        <v>7</v>
      </c>
      <c r="I70" s="1">
        <v>5</v>
      </c>
      <c r="J70" s="1">
        <v>-2</v>
      </c>
      <c r="K70" s="1">
        <v>0</v>
      </c>
      <c r="L70" s="1">
        <v>8</v>
      </c>
      <c r="M70" s="1">
        <v>-1</v>
      </c>
      <c r="N70" s="1">
        <v>6</v>
      </c>
      <c r="O70" s="1">
        <v>-6</v>
      </c>
      <c r="P70" s="1">
        <v>-3</v>
      </c>
      <c r="Q70" s="1">
        <v>0</v>
      </c>
      <c r="R70" s="1">
        <v>1</v>
      </c>
      <c r="S70" s="1">
        <v>4</v>
      </c>
    </row>
    <row r="71" spans="1:19" ht="18" customHeight="1" x14ac:dyDescent="0.25">
      <c r="A71" s="5">
        <v>45931</v>
      </c>
      <c r="B71" s="1">
        <v>12</v>
      </c>
      <c r="C71" s="1">
        <v>8</v>
      </c>
      <c r="D71" s="1">
        <v>-5</v>
      </c>
      <c r="E71" s="1">
        <v>-4</v>
      </c>
      <c r="F71" s="1">
        <v>1</v>
      </c>
      <c r="G71" s="1">
        <v>-2</v>
      </c>
      <c r="H71" s="1">
        <v>5</v>
      </c>
      <c r="I71" s="1">
        <v>3</v>
      </c>
      <c r="J71" s="1">
        <v>-3</v>
      </c>
      <c r="K71" s="1">
        <v>0</v>
      </c>
      <c r="L71" s="1">
        <v>7</v>
      </c>
      <c r="M71" s="1">
        <v>4</v>
      </c>
      <c r="N71" s="1">
        <v>-1</v>
      </c>
      <c r="O71" s="1">
        <v>9</v>
      </c>
      <c r="P71" s="1">
        <v>11</v>
      </c>
      <c r="Q71" s="1">
        <v>6</v>
      </c>
      <c r="R71" s="1">
        <v>2</v>
      </c>
      <c r="S71" s="1">
        <v>10</v>
      </c>
    </row>
    <row r="72" spans="1:19" ht="18" customHeight="1" x14ac:dyDescent="0.25"/>
    <row r="73" spans="1:19" ht="18" customHeight="1" x14ac:dyDescent="0.25"/>
    <row r="74" spans="1:19" ht="18" customHeight="1" x14ac:dyDescent="0.25"/>
    <row r="75" spans="1:19" ht="18" customHeight="1" x14ac:dyDescent="0.25"/>
    <row r="76" spans="1:19" ht="18" customHeight="1" x14ac:dyDescent="0.25"/>
    <row r="77" spans="1:19" ht="18" customHeight="1" x14ac:dyDescent="0.25"/>
    <row r="78" spans="1:19" ht="18" customHeight="1" x14ac:dyDescent="0.25"/>
    <row r="79" spans="1:19" ht="18" customHeight="1" x14ac:dyDescent="0.25"/>
    <row r="80" spans="1:19"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sheetData>
  <hyperlinks>
    <hyperlink ref="Q1" r:id="rId1" display="Textile Mills" xr:uid="{BF7C6D87-4748-4FB1-AA70-0B5A52A6BC83}"/>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9EBC-0597-40E9-8A93-585160797B38}">
  <sheetPr>
    <tabColor rgb="FFFFFF00"/>
  </sheetPr>
  <dimension ref="B1:F1163"/>
  <sheetViews>
    <sheetView showGridLines="0" zoomScaleNormal="100" workbookViewId="0">
      <pane xSplit="1" ySplit="2" topLeftCell="B626" activePane="bottomRight" state="frozen"/>
      <selection pane="topRight" activeCell="B1" sqref="B1"/>
      <selection pane="bottomLeft" activeCell="A3" sqref="A3"/>
      <selection pane="bottomRight" activeCell="F639" sqref="F639"/>
    </sheetView>
  </sheetViews>
  <sheetFormatPr defaultRowHeight="16.5" customHeight="1" x14ac:dyDescent="0.25"/>
  <cols>
    <col min="1" max="1" width="3.140625" style="8" customWidth="1"/>
    <col min="2" max="2" width="9.85546875" style="1" customWidth="1"/>
    <col min="3" max="3" width="9.140625" style="1"/>
    <col min="4" max="4" width="0" style="1" hidden="1" customWidth="1"/>
    <col min="5" max="5" width="44.5703125" style="8" bestFit="1" customWidth="1"/>
    <col min="6" max="6" width="152.5703125" style="46" customWidth="1"/>
    <col min="7" max="16384" width="9.140625" style="8"/>
  </cols>
  <sheetData>
    <row r="1" spans="2:6" ht="15" x14ac:dyDescent="0.25"/>
    <row r="2" spans="2:6" ht="19.5" customHeight="1" x14ac:dyDescent="0.25">
      <c r="B2" s="10" t="s">
        <v>127</v>
      </c>
      <c r="C2" s="10" t="s">
        <v>130</v>
      </c>
      <c r="D2" s="10" t="s">
        <v>131</v>
      </c>
      <c r="E2" s="9" t="s">
        <v>128</v>
      </c>
      <c r="F2" s="47" t="s">
        <v>129</v>
      </c>
    </row>
    <row r="3" spans="2:6" ht="18" customHeight="1" x14ac:dyDescent="0.25">
      <c r="B3" s="11">
        <v>45017</v>
      </c>
      <c r="C3" s="1" t="s">
        <v>132</v>
      </c>
      <c r="D3" s="1">
        <v>-1</v>
      </c>
      <c r="E3" s="8" t="s">
        <v>136</v>
      </c>
      <c r="F3" s="46" t="s">
        <v>154</v>
      </c>
    </row>
    <row r="4" spans="2:6" ht="18" customHeight="1" x14ac:dyDescent="0.25">
      <c r="B4" s="11">
        <v>45017</v>
      </c>
      <c r="C4" s="1" t="s">
        <v>132</v>
      </c>
      <c r="D4" s="1">
        <v>-1</v>
      </c>
      <c r="E4" s="8" t="s">
        <v>134</v>
      </c>
      <c r="F4" s="46" t="s">
        <v>153</v>
      </c>
    </row>
    <row r="5" spans="2:6" ht="18" customHeight="1" x14ac:dyDescent="0.25">
      <c r="B5" s="11">
        <v>45017</v>
      </c>
      <c r="C5" s="1" t="s">
        <v>132</v>
      </c>
      <c r="D5" s="1">
        <v>-1</v>
      </c>
      <c r="E5" s="8" t="s">
        <v>152</v>
      </c>
      <c r="F5" s="46" t="s">
        <v>160</v>
      </c>
    </row>
    <row r="6" spans="2:6" ht="18" customHeight="1" x14ac:dyDescent="0.25">
      <c r="B6" s="11">
        <v>45017</v>
      </c>
      <c r="C6" s="1" t="s">
        <v>132</v>
      </c>
      <c r="D6" s="1">
        <v>1</v>
      </c>
      <c r="E6" s="8" t="s">
        <v>144</v>
      </c>
      <c r="F6" s="46" t="s">
        <v>158</v>
      </c>
    </row>
    <row r="7" spans="2:6" ht="18" customHeight="1" x14ac:dyDescent="0.25">
      <c r="B7" s="11">
        <v>45017</v>
      </c>
      <c r="C7" s="1" t="s">
        <v>132</v>
      </c>
      <c r="D7" s="1">
        <v>-1</v>
      </c>
      <c r="E7" s="8" t="s">
        <v>140</v>
      </c>
      <c r="F7" s="46" t="s">
        <v>155</v>
      </c>
    </row>
    <row r="8" spans="2:6" ht="18" customHeight="1" x14ac:dyDescent="0.25">
      <c r="B8" s="11">
        <v>45017</v>
      </c>
      <c r="C8" s="1" t="s">
        <v>132</v>
      </c>
      <c r="D8" s="1">
        <v>-1</v>
      </c>
      <c r="E8" s="8" t="s">
        <v>142</v>
      </c>
      <c r="F8" s="46" t="s">
        <v>157</v>
      </c>
    </row>
    <row r="9" spans="2:6" ht="18" customHeight="1" x14ac:dyDescent="0.25">
      <c r="B9" s="11">
        <v>45017</v>
      </c>
      <c r="C9" s="1" t="s">
        <v>132</v>
      </c>
      <c r="D9" s="1">
        <v>-1</v>
      </c>
      <c r="E9" s="8" t="s">
        <v>150</v>
      </c>
      <c r="F9" s="46" t="s">
        <v>159</v>
      </c>
    </row>
    <row r="10" spans="2:6" ht="18" customHeight="1" x14ac:dyDescent="0.25">
      <c r="B10" s="11">
        <v>45017</v>
      </c>
      <c r="C10" s="1" t="s">
        <v>132</v>
      </c>
      <c r="D10" s="1">
        <v>-1</v>
      </c>
      <c r="E10" s="8" t="s">
        <v>148</v>
      </c>
      <c r="F10" s="46" t="s">
        <v>161</v>
      </c>
    </row>
    <row r="11" spans="2:6" ht="18" customHeight="1" x14ac:dyDescent="0.25">
      <c r="B11" s="11">
        <v>45017</v>
      </c>
      <c r="C11" s="1" t="s">
        <v>132</v>
      </c>
      <c r="D11" s="1">
        <v>0</v>
      </c>
      <c r="E11" s="8" t="s">
        <v>163</v>
      </c>
      <c r="F11" s="46" t="s">
        <v>162</v>
      </c>
    </row>
    <row r="12" spans="2:6" ht="18" customHeight="1" x14ac:dyDescent="0.25">
      <c r="B12" s="11">
        <v>45017</v>
      </c>
      <c r="C12" s="1" t="s">
        <v>132</v>
      </c>
      <c r="D12" s="1">
        <v>1</v>
      </c>
      <c r="E12" s="8" t="s">
        <v>137</v>
      </c>
      <c r="F12" s="46" t="s">
        <v>156</v>
      </c>
    </row>
    <row r="13" spans="2:6" ht="18" customHeight="1" x14ac:dyDescent="0.25">
      <c r="B13" s="11">
        <v>45017</v>
      </c>
      <c r="C13" s="1" t="s">
        <v>164</v>
      </c>
      <c r="D13" s="1">
        <v>1</v>
      </c>
      <c r="E13" s="8" t="s">
        <v>166</v>
      </c>
      <c r="F13" s="46" t="s">
        <v>189</v>
      </c>
    </row>
    <row r="14" spans="2:6" ht="18" customHeight="1" x14ac:dyDescent="0.25">
      <c r="B14" s="11">
        <v>45017</v>
      </c>
      <c r="C14" s="1" t="s">
        <v>164</v>
      </c>
      <c r="D14" s="1">
        <v>1</v>
      </c>
      <c r="E14" s="8" t="s">
        <v>168</v>
      </c>
      <c r="F14" s="46" t="s">
        <v>190</v>
      </c>
    </row>
    <row r="15" spans="2:6" ht="18" customHeight="1" x14ac:dyDescent="0.25">
      <c r="B15" s="11">
        <v>45017</v>
      </c>
      <c r="C15" s="1" t="s">
        <v>164</v>
      </c>
      <c r="D15" s="1">
        <v>1</v>
      </c>
      <c r="E15" s="8" t="s">
        <v>192</v>
      </c>
      <c r="F15" s="46" t="s">
        <v>191</v>
      </c>
    </row>
    <row r="16" spans="2:6" ht="18" customHeight="1" x14ac:dyDescent="0.25">
      <c r="B16" s="11">
        <v>45017</v>
      </c>
      <c r="C16" s="1" t="s">
        <v>164</v>
      </c>
      <c r="D16" s="1">
        <v>1</v>
      </c>
      <c r="E16" s="8" t="s">
        <v>172</v>
      </c>
      <c r="F16" s="46" t="s">
        <v>193</v>
      </c>
    </row>
    <row r="17" spans="2:6" ht="18" customHeight="1" x14ac:dyDescent="0.25">
      <c r="B17" s="11">
        <v>45017</v>
      </c>
      <c r="C17" s="1" t="s">
        <v>164</v>
      </c>
      <c r="D17" s="1">
        <v>0</v>
      </c>
      <c r="E17" s="8" t="s">
        <v>176</v>
      </c>
      <c r="F17" s="46" t="s">
        <v>194</v>
      </c>
    </row>
    <row r="18" spans="2:6" ht="18" customHeight="1" x14ac:dyDescent="0.25">
      <c r="B18" s="11">
        <v>45017</v>
      </c>
      <c r="C18" s="1" t="s">
        <v>164</v>
      </c>
      <c r="D18" s="1">
        <v>1</v>
      </c>
      <c r="E18" s="8" t="s">
        <v>178</v>
      </c>
      <c r="F18" s="46" t="s">
        <v>195</v>
      </c>
    </row>
    <row r="19" spans="2:6" ht="18" customHeight="1" x14ac:dyDescent="0.25">
      <c r="B19" s="11">
        <v>45017</v>
      </c>
      <c r="C19" s="1" t="s">
        <v>164</v>
      </c>
      <c r="D19" s="1">
        <v>1</v>
      </c>
      <c r="E19" s="8" t="s">
        <v>180</v>
      </c>
      <c r="F19" s="46" t="s">
        <v>196</v>
      </c>
    </row>
    <row r="20" spans="2:6" ht="18" customHeight="1" x14ac:dyDescent="0.25">
      <c r="B20" s="11">
        <v>45017</v>
      </c>
      <c r="C20" s="1" t="s">
        <v>164</v>
      </c>
      <c r="D20" s="1">
        <v>1</v>
      </c>
      <c r="E20" s="8" t="s">
        <v>182</v>
      </c>
      <c r="F20" s="46" t="s">
        <v>197</v>
      </c>
    </row>
    <row r="21" spans="2:6" ht="18" customHeight="1" x14ac:dyDescent="0.25">
      <c r="B21" s="11">
        <v>45017</v>
      </c>
      <c r="C21" s="1" t="s">
        <v>164</v>
      </c>
      <c r="D21" s="1">
        <v>1</v>
      </c>
      <c r="E21" s="8" t="s">
        <v>184</v>
      </c>
      <c r="F21" s="46" t="s">
        <v>199</v>
      </c>
    </row>
    <row r="22" spans="2:6" ht="18" customHeight="1" x14ac:dyDescent="0.25">
      <c r="B22" s="11">
        <v>45017</v>
      </c>
      <c r="C22" s="1" t="s">
        <v>164</v>
      </c>
      <c r="D22" s="1">
        <v>1</v>
      </c>
      <c r="E22" s="8" t="s">
        <v>186</v>
      </c>
      <c r="F22" s="46" t="s">
        <v>198</v>
      </c>
    </row>
    <row r="23" spans="2:6" ht="18" customHeight="1" x14ac:dyDescent="0.25">
      <c r="B23" s="11">
        <v>45017</v>
      </c>
      <c r="C23" s="1" t="s">
        <v>164</v>
      </c>
      <c r="D23" s="1">
        <v>-1</v>
      </c>
      <c r="E23" s="8" t="s">
        <v>188</v>
      </c>
      <c r="F23" s="46" t="s">
        <v>200</v>
      </c>
    </row>
    <row r="24" spans="2:6" ht="18" customHeight="1" x14ac:dyDescent="0.25">
      <c r="B24" s="11">
        <v>45047</v>
      </c>
      <c r="C24" s="1" t="s">
        <v>132</v>
      </c>
      <c r="D24" s="1">
        <v>-1</v>
      </c>
      <c r="E24" s="8" t="s">
        <v>136</v>
      </c>
      <c r="F24" s="46" t="s">
        <v>135</v>
      </c>
    </row>
    <row r="25" spans="2:6" ht="18" customHeight="1" x14ac:dyDescent="0.25">
      <c r="B25" s="11">
        <v>45047</v>
      </c>
      <c r="C25" s="1" t="s">
        <v>132</v>
      </c>
      <c r="D25" s="1">
        <v>-1</v>
      </c>
      <c r="E25" s="8" t="s">
        <v>134</v>
      </c>
      <c r="F25" s="46" t="s">
        <v>133</v>
      </c>
    </row>
    <row r="26" spans="2:6" ht="18" customHeight="1" x14ac:dyDescent="0.25">
      <c r="B26" s="11">
        <v>45047</v>
      </c>
      <c r="C26" s="1" t="s">
        <v>132</v>
      </c>
      <c r="D26" s="1">
        <v>-1</v>
      </c>
      <c r="E26" s="8" t="s">
        <v>152</v>
      </c>
      <c r="F26" s="46" t="s">
        <v>151</v>
      </c>
    </row>
    <row r="27" spans="2:6" ht="18" customHeight="1" x14ac:dyDescent="0.25">
      <c r="B27" s="11">
        <v>45047</v>
      </c>
      <c r="C27" s="1" t="s">
        <v>132</v>
      </c>
      <c r="D27" s="1">
        <v>1</v>
      </c>
      <c r="E27" s="8" t="s">
        <v>144</v>
      </c>
      <c r="F27" s="46" t="s">
        <v>143</v>
      </c>
    </row>
    <row r="28" spans="2:6" ht="18" customHeight="1" x14ac:dyDescent="0.25">
      <c r="B28" s="11">
        <v>45047</v>
      </c>
      <c r="C28" s="1" t="s">
        <v>132</v>
      </c>
      <c r="D28" s="1">
        <v>-1</v>
      </c>
      <c r="E28" s="8" t="s">
        <v>140</v>
      </c>
      <c r="F28" s="46" t="s">
        <v>139</v>
      </c>
    </row>
    <row r="29" spans="2:6" ht="18" customHeight="1" x14ac:dyDescent="0.25">
      <c r="B29" s="11">
        <v>45047</v>
      </c>
      <c r="C29" s="1" t="s">
        <v>132</v>
      </c>
      <c r="D29" s="1">
        <v>1</v>
      </c>
      <c r="E29" s="8" t="s">
        <v>146</v>
      </c>
      <c r="F29" s="46" t="s">
        <v>145</v>
      </c>
    </row>
    <row r="30" spans="2:6" ht="18" customHeight="1" x14ac:dyDescent="0.25">
      <c r="B30" s="11">
        <v>45047</v>
      </c>
      <c r="C30" s="1" t="s">
        <v>132</v>
      </c>
      <c r="D30" s="1">
        <v>-1</v>
      </c>
      <c r="E30" s="8" t="s">
        <v>142</v>
      </c>
      <c r="F30" s="46" t="s">
        <v>141</v>
      </c>
    </row>
    <row r="31" spans="2:6" ht="18" customHeight="1" x14ac:dyDescent="0.25">
      <c r="B31" s="11">
        <v>45047</v>
      </c>
      <c r="C31" s="1" t="s">
        <v>132</v>
      </c>
      <c r="D31" s="1">
        <v>-1</v>
      </c>
      <c r="E31" s="8" t="s">
        <v>150</v>
      </c>
      <c r="F31" s="46" t="s">
        <v>149</v>
      </c>
    </row>
    <row r="32" spans="2:6" ht="18" customHeight="1" x14ac:dyDescent="0.25">
      <c r="B32" s="11">
        <v>45047</v>
      </c>
      <c r="C32" s="1" t="s">
        <v>132</v>
      </c>
      <c r="D32" s="1">
        <v>-1</v>
      </c>
      <c r="E32" s="8" t="s">
        <v>148</v>
      </c>
      <c r="F32" s="46" t="s">
        <v>147</v>
      </c>
    </row>
    <row r="33" spans="2:6" ht="18" customHeight="1" x14ac:dyDescent="0.25">
      <c r="B33" s="11">
        <v>45047</v>
      </c>
      <c r="C33" s="1" t="s">
        <v>132</v>
      </c>
      <c r="D33" s="1">
        <v>1</v>
      </c>
      <c r="E33" s="8" t="s">
        <v>137</v>
      </c>
      <c r="F33" s="46" t="s">
        <v>138</v>
      </c>
    </row>
    <row r="34" spans="2:6" ht="18" customHeight="1" x14ac:dyDescent="0.25">
      <c r="B34" s="11">
        <v>45047</v>
      </c>
      <c r="C34" s="1" t="s">
        <v>164</v>
      </c>
      <c r="D34" s="1">
        <v>1</v>
      </c>
      <c r="E34" s="8" t="s">
        <v>166</v>
      </c>
      <c r="F34" s="46" t="s">
        <v>165</v>
      </c>
    </row>
    <row r="35" spans="2:6" ht="18" customHeight="1" x14ac:dyDescent="0.25">
      <c r="B35" s="11">
        <v>45047</v>
      </c>
      <c r="C35" s="1" t="s">
        <v>164</v>
      </c>
      <c r="D35" s="1">
        <v>1</v>
      </c>
      <c r="E35" s="8" t="s">
        <v>168</v>
      </c>
      <c r="F35" s="46" t="s">
        <v>167</v>
      </c>
    </row>
    <row r="36" spans="2:6" ht="18" customHeight="1" x14ac:dyDescent="0.25">
      <c r="B36" s="11">
        <v>45047</v>
      </c>
      <c r="C36" s="1" t="s">
        <v>164</v>
      </c>
      <c r="D36" s="1">
        <v>1</v>
      </c>
      <c r="E36" s="8" t="s">
        <v>170</v>
      </c>
      <c r="F36" s="46" t="s">
        <v>169</v>
      </c>
    </row>
    <row r="37" spans="2:6" ht="18" customHeight="1" x14ac:dyDescent="0.25">
      <c r="B37" s="11">
        <v>45047</v>
      </c>
      <c r="C37" s="1" t="s">
        <v>164</v>
      </c>
      <c r="D37" s="1">
        <v>-1</v>
      </c>
      <c r="E37" s="8" t="s">
        <v>172</v>
      </c>
      <c r="F37" s="46" t="s">
        <v>171</v>
      </c>
    </row>
    <row r="38" spans="2:6" ht="18" customHeight="1" x14ac:dyDescent="0.25">
      <c r="B38" s="11">
        <v>45047</v>
      </c>
      <c r="C38" s="1" t="s">
        <v>164</v>
      </c>
      <c r="D38" s="1">
        <v>1</v>
      </c>
      <c r="E38" s="8" t="s">
        <v>176</v>
      </c>
      <c r="F38" s="46" t="s">
        <v>175</v>
      </c>
    </row>
    <row r="39" spans="2:6" ht="18" customHeight="1" x14ac:dyDescent="0.25">
      <c r="B39" s="11">
        <v>45047</v>
      </c>
      <c r="C39" s="1" t="s">
        <v>164</v>
      </c>
      <c r="D39" s="1">
        <v>1</v>
      </c>
      <c r="E39" s="8" t="s">
        <v>178</v>
      </c>
      <c r="F39" s="46" t="s">
        <v>177</v>
      </c>
    </row>
    <row r="40" spans="2:6" ht="18" customHeight="1" x14ac:dyDescent="0.25">
      <c r="B40" s="11">
        <v>45047</v>
      </c>
      <c r="C40" s="1" t="s">
        <v>164</v>
      </c>
      <c r="D40" s="1">
        <v>1</v>
      </c>
      <c r="E40" s="8" t="s">
        <v>180</v>
      </c>
      <c r="F40" s="46" t="s">
        <v>179</v>
      </c>
    </row>
    <row r="41" spans="2:6" ht="18" customHeight="1" x14ac:dyDescent="0.25">
      <c r="B41" s="11">
        <v>45047</v>
      </c>
      <c r="C41" s="1" t="s">
        <v>164</v>
      </c>
      <c r="D41" s="1">
        <v>1</v>
      </c>
      <c r="E41" s="8" t="s">
        <v>182</v>
      </c>
      <c r="F41" s="46" t="s">
        <v>181</v>
      </c>
    </row>
    <row r="42" spans="2:6" ht="18" customHeight="1" x14ac:dyDescent="0.25">
      <c r="B42" s="11">
        <v>45047</v>
      </c>
      <c r="C42" s="1" t="s">
        <v>164</v>
      </c>
      <c r="D42" s="1">
        <v>1</v>
      </c>
      <c r="E42" s="8" t="s">
        <v>184</v>
      </c>
      <c r="F42" s="46" t="s">
        <v>183</v>
      </c>
    </row>
    <row r="43" spans="2:6" ht="18" customHeight="1" x14ac:dyDescent="0.25">
      <c r="B43" s="11">
        <v>45047</v>
      </c>
      <c r="C43" s="1" t="s">
        <v>164</v>
      </c>
      <c r="D43" s="1">
        <v>1</v>
      </c>
      <c r="E43" s="8" t="s">
        <v>186</v>
      </c>
      <c r="F43" s="46" t="s">
        <v>185</v>
      </c>
    </row>
    <row r="44" spans="2:6" ht="18" customHeight="1" x14ac:dyDescent="0.25">
      <c r="B44" s="11">
        <v>45047</v>
      </c>
      <c r="C44" s="1" t="s">
        <v>164</v>
      </c>
      <c r="D44" s="1">
        <v>-1</v>
      </c>
      <c r="E44" s="8" t="s">
        <v>188</v>
      </c>
      <c r="F44" s="46" t="s">
        <v>187</v>
      </c>
    </row>
    <row r="45" spans="2:6" ht="18" customHeight="1" x14ac:dyDescent="0.25">
      <c r="B45" s="11">
        <v>45047</v>
      </c>
      <c r="C45" s="1" t="s">
        <v>164</v>
      </c>
      <c r="D45" s="1">
        <v>-1</v>
      </c>
      <c r="E45" s="8" t="s">
        <v>174</v>
      </c>
      <c r="F45" s="46" t="s">
        <v>173</v>
      </c>
    </row>
    <row r="46" spans="2:6" ht="18" customHeight="1" x14ac:dyDescent="0.25">
      <c r="B46" s="11">
        <v>45078</v>
      </c>
      <c r="C46" s="1" t="s">
        <v>132</v>
      </c>
      <c r="D46" s="1">
        <v>-1</v>
      </c>
      <c r="E46" s="8" t="s">
        <v>134</v>
      </c>
      <c r="F46" s="46" t="s">
        <v>204</v>
      </c>
    </row>
    <row r="47" spans="2:6" ht="18" customHeight="1" x14ac:dyDescent="0.25">
      <c r="B47" s="11">
        <v>45078</v>
      </c>
      <c r="C47" s="1" t="s">
        <v>132</v>
      </c>
      <c r="D47" s="1">
        <v>-1</v>
      </c>
      <c r="E47" s="8" t="s">
        <v>136</v>
      </c>
      <c r="F47" s="46" t="s">
        <v>205</v>
      </c>
    </row>
    <row r="48" spans="2:6" ht="18" customHeight="1" x14ac:dyDescent="0.25">
      <c r="B48" s="11">
        <v>45078</v>
      </c>
      <c r="C48" s="1" t="s">
        <v>132</v>
      </c>
      <c r="D48" s="1">
        <v>1</v>
      </c>
      <c r="E48" s="8" t="s">
        <v>137</v>
      </c>
      <c r="F48" s="46" t="s">
        <v>206</v>
      </c>
    </row>
    <row r="49" spans="2:6" ht="18" customHeight="1" x14ac:dyDescent="0.25">
      <c r="B49" s="11">
        <v>45078</v>
      </c>
      <c r="C49" s="1" t="s">
        <v>132</v>
      </c>
      <c r="D49" s="1">
        <v>-1</v>
      </c>
      <c r="E49" s="8" t="s">
        <v>140</v>
      </c>
      <c r="F49" s="46" t="s">
        <v>207</v>
      </c>
    </row>
    <row r="50" spans="2:6" ht="18" customHeight="1" x14ac:dyDescent="0.25">
      <c r="B50" s="11">
        <v>45078</v>
      </c>
      <c r="C50" s="1" t="s">
        <v>132</v>
      </c>
      <c r="D50" s="1">
        <v>0</v>
      </c>
      <c r="E50" s="8" t="s">
        <v>201</v>
      </c>
      <c r="F50" s="46" t="s">
        <v>208</v>
      </c>
    </row>
    <row r="51" spans="2:6" ht="18" customHeight="1" x14ac:dyDescent="0.25">
      <c r="B51" s="11">
        <v>45078</v>
      </c>
      <c r="C51" s="1" t="s">
        <v>132</v>
      </c>
      <c r="D51" s="1">
        <v>-1</v>
      </c>
      <c r="E51" s="8" t="s">
        <v>142</v>
      </c>
      <c r="F51" s="46" t="s">
        <v>209</v>
      </c>
    </row>
    <row r="52" spans="2:6" ht="18" customHeight="1" x14ac:dyDescent="0.25">
      <c r="B52" s="11">
        <v>45078</v>
      </c>
      <c r="C52" s="1" t="s">
        <v>132</v>
      </c>
      <c r="D52" s="1">
        <v>-1</v>
      </c>
      <c r="E52" s="8" t="s">
        <v>144</v>
      </c>
      <c r="F52" s="46" t="s">
        <v>210</v>
      </c>
    </row>
    <row r="53" spans="2:6" ht="18" customHeight="1" x14ac:dyDescent="0.25">
      <c r="B53" s="11">
        <v>45078</v>
      </c>
      <c r="C53" s="1" t="s">
        <v>132</v>
      </c>
      <c r="D53" s="1">
        <v>1</v>
      </c>
      <c r="E53" s="8" t="s">
        <v>202</v>
      </c>
      <c r="F53" s="46" t="s">
        <v>211</v>
      </c>
    </row>
    <row r="54" spans="2:6" ht="18" customHeight="1" x14ac:dyDescent="0.25">
      <c r="B54" s="11">
        <v>45078</v>
      </c>
      <c r="C54" s="1" t="s">
        <v>132</v>
      </c>
      <c r="D54" s="1">
        <v>-1</v>
      </c>
      <c r="E54" s="8" t="s">
        <v>203</v>
      </c>
      <c r="F54" s="46" t="s">
        <v>212</v>
      </c>
    </row>
    <row r="55" spans="2:6" ht="18" customHeight="1" x14ac:dyDescent="0.25">
      <c r="B55" s="11">
        <v>45078</v>
      </c>
      <c r="C55" s="1" t="s">
        <v>132</v>
      </c>
      <c r="D55" s="1">
        <v>1</v>
      </c>
      <c r="E55" s="8" t="s">
        <v>163</v>
      </c>
      <c r="F55" s="46" t="s">
        <v>213</v>
      </c>
    </row>
    <row r="56" spans="2:6" ht="18" customHeight="1" x14ac:dyDescent="0.25">
      <c r="B56" s="11">
        <v>45078</v>
      </c>
      <c r="C56" s="1" t="s">
        <v>164</v>
      </c>
      <c r="D56" s="1">
        <v>-1</v>
      </c>
      <c r="E56" s="8" t="s">
        <v>226</v>
      </c>
      <c r="F56" s="46" t="s">
        <v>214</v>
      </c>
    </row>
    <row r="57" spans="2:6" ht="18" customHeight="1" x14ac:dyDescent="0.25">
      <c r="B57" s="11">
        <v>45078</v>
      </c>
      <c r="C57" s="1" t="s">
        <v>164</v>
      </c>
      <c r="D57" s="1">
        <v>1</v>
      </c>
      <c r="E57" s="8" t="s">
        <v>227</v>
      </c>
      <c r="F57" s="46" t="s">
        <v>215</v>
      </c>
    </row>
    <row r="58" spans="2:6" ht="18" customHeight="1" x14ac:dyDescent="0.25">
      <c r="B58" s="11">
        <v>45078</v>
      </c>
      <c r="C58" s="1" t="s">
        <v>164</v>
      </c>
      <c r="D58" s="1">
        <v>1</v>
      </c>
      <c r="E58" s="8" t="s">
        <v>168</v>
      </c>
      <c r="F58" s="46" t="s">
        <v>216</v>
      </c>
    </row>
    <row r="59" spans="2:6" ht="18" customHeight="1" x14ac:dyDescent="0.25">
      <c r="B59" s="11">
        <v>45078</v>
      </c>
      <c r="C59" s="1" t="s">
        <v>164</v>
      </c>
      <c r="D59" s="1">
        <v>1</v>
      </c>
      <c r="E59" s="8" t="s">
        <v>192</v>
      </c>
      <c r="F59" s="46" t="s">
        <v>217</v>
      </c>
    </row>
    <row r="60" spans="2:6" ht="18" customHeight="1" x14ac:dyDescent="0.25">
      <c r="B60" s="11">
        <v>45078</v>
      </c>
      <c r="C60" s="1" t="s">
        <v>164</v>
      </c>
      <c r="D60" s="1">
        <v>1</v>
      </c>
      <c r="E60" s="8" t="s">
        <v>172</v>
      </c>
      <c r="F60" s="46" t="s">
        <v>218</v>
      </c>
    </row>
    <row r="61" spans="2:6" ht="18" customHeight="1" x14ac:dyDescent="0.25">
      <c r="B61" s="11">
        <v>45078</v>
      </c>
      <c r="C61" s="1" t="s">
        <v>164</v>
      </c>
      <c r="D61" s="1">
        <v>1</v>
      </c>
      <c r="E61" s="8" t="s">
        <v>176</v>
      </c>
      <c r="F61" s="46" t="s">
        <v>220</v>
      </c>
    </row>
    <row r="62" spans="2:6" ht="18" customHeight="1" x14ac:dyDescent="0.25">
      <c r="B62" s="11">
        <v>45078</v>
      </c>
      <c r="C62" s="1" t="s">
        <v>164</v>
      </c>
      <c r="D62" s="1">
        <v>1</v>
      </c>
      <c r="E62" s="8" t="s">
        <v>178</v>
      </c>
      <c r="F62" s="46" t="s">
        <v>221</v>
      </c>
    </row>
    <row r="63" spans="2:6" ht="18" customHeight="1" x14ac:dyDescent="0.25">
      <c r="B63" s="11">
        <v>45078</v>
      </c>
      <c r="C63" s="1" t="s">
        <v>164</v>
      </c>
      <c r="D63" s="1">
        <v>1</v>
      </c>
      <c r="E63" s="8" t="s">
        <v>228</v>
      </c>
      <c r="F63" s="46" t="s">
        <v>222</v>
      </c>
    </row>
    <row r="64" spans="2:6" ht="18" customHeight="1" x14ac:dyDescent="0.25">
      <c r="B64" s="11">
        <v>45078</v>
      </c>
      <c r="C64" s="1" t="s">
        <v>164</v>
      </c>
      <c r="D64" s="1">
        <v>1</v>
      </c>
      <c r="E64" s="8" t="s">
        <v>182</v>
      </c>
      <c r="F64" s="46" t="s">
        <v>223</v>
      </c>
    </row>
    <row r="65" spans="2:6" ht="18" customHeight="1" x14ac:dyDescent="0.25">
      <c r="B65" s="11">
        <v>45078</v>
      </c>
      <c r="C65" s="1" t="s">
        <v>164</v>
      </c>
      <c r="D65" s="1">
        <v>1</v>
      </c>
      <c r="E65" s="8" t="s">
        <v>184</v>
      </c>
      <c r="F65" s="46" t="s">
        <v>224</v>
      </c>
    </row>
    <row r="66" spans="2:6" ht="18" customHeight="1" x14ac:dyDescent="0.25">
      <c r="B66" s="11">
        <v>45078</v>
      </c>
      <c r="C66" s="1" t="s">
        <v>164</v>
      </c>
      <c r="D66" s="1">
        <v>1</v>
      </c>
      <c r="E66" s="8" t="s">
        <v>188</v>
      </c>
      <c r="F66" s="46" t="s">
        <v>225</v>
      </c>
    </row>
    <row r="67" spans="2:6" ht="18" customHeight="1" x14ac:dyDescent="0.25">
      <c r="B67" s="11">
        <v>45078</v>
      </c>
      <c r="C67" s="1" t="s">
        <v>164</v>
      </c>
      <c r="D67" s="1">
        <v>-1</v>
      </c>
      <c r="E67" s="8" t="s">
        <v>174</v>
      </c>
      <c r="F67" s="46" t="s">
        <v>219</v>
      </c>
    </row>
    <row r="68" spans="2:6" ht="18" customHeight="1" x14ac:dyDescent="0.25">
      <c r="B68" s="11">
        <v>45108</v>
      </c>
      <c r="C68" s="1" t="s">
        <v>132</v>
      </c>
      <c r="D68" s="1">
        <v>-1</v>
      </c>
      <c r="E68" s="8" t="s">
        <v>134</v>
      </c>
      <c r="F68" s="46" t="s">
        <v>491</v>
      </c>
    </row>
    <row r="69" spans="2:6" ht="18" customHeight="1" x14ac:dyDescent="0.25">
      <c r="B69" s="11">
        <v>45108</v>
      </c>
      <c r="C69" s="1" t="s">
        <v>132</v>
      </c>
      <c r="D69" s="1">
        <v>-1</v>
      </c>
      <c r="E69" s="8" t="s">
        <v>136</v>
      </c>
      <c r="F69" s="46" t="s">
        <v>492</v>
      </c>
    </row>
    <row r="70" spans="2:6" ht="18" customHeight="1" x14ac:dyDescent="0.25">
      <c r="B70" s="11">
        <v>45108</v>
      </c>
      <c r="C70" s="1" t="s">
        <v>132</v>
      </c>
      <c r="D70" s="1">
        <v>-1</v>
      </c>
      <c r="E70" s="8" t="s">
        <v>137</v>
      </c>
      <c r="F70" s="46" t="s">
        <v>493</v>
      </c>
    </row>
    <row r="71" spans="2:6" ht="18" customHeight="1" x14ac:dyDescent="0.25">
      <c r="B71" s="11">
        <v>45108</v>
      </c>
      <c r="C71" s="1" t="s">
        <v>132</v>
      </c>
      <c r="D71" s="1">
        <v>-1</v>
      </c>
      <c r="E71" s="8" t="s">
        <v>144</v>
      </c>
      <c r="F71" s="46" t="s">
        <v>494</v>
      </c>
    </row>
    <row r="72" spans="2:6" ht="18" customHeight="1" x14ac:dyDescent="0.25">
      <c r="B72" s="11">
        <v>45108</v>
      </c>
      <c r="C72" s="1" t="s">
        <v>132</v>
      </c>
      <c r="D72" s="1">
        <v>-1</v>
      </c>
      <c r="E72" s="8" t="s">
        <v>140</v>
      </c>
      <c r="F72" s="46" t="s">
        <v>495</v>
      </c>
    </row>
    <row r="73" spans="2:6" ht="18" customHeight="1" x14ac:dyDescent="0.25">
      <c r="B73" s="11">
        <v>45108</v>
      </c>
      <c r="C73" s="1" t="s">
        <v>132</v>
      </c>
      <c r="D73" s="1">
        <v>-1</v>
      </c>
      <c r="E73" s="8" t="s">
        <v>142</v>
      </c>
      <c r="F73" s="46" t="s">
        <v>496</v>
      </c>
    </row>
    <row r="74" spans="2:6" ht="18" customHeight="1" x14ac:dyDescent="0.25">
      <c r="B74" s="11">
        <v>45108</v>
      </c>
      <c r="C74" s="1" t="s">
        <v>132</v>
      </c>
      <c r="D74" s="1">
        <v>-1</v>
      </c>
      <c r="E74" s="8" t="s">
        <v>150</v>
      </c>
      <c r="F74" s="46" t="s">
        <v>497</v>
      </c>
    </row>
    <row r="75" spans="2:6" ht="18" customHeight="1" x14ac:dyDescent="0.25">
      <c r="B75" s="11">
        <v>45108</v>
      </c>
      <c r="C75" s="1" t="s">
        <v>132</v>
      </c>
      <c r="D75" s="1">
        <v>-1</v>
      </c>
      <c r="E75" s="8" t="s">
        <v>152</v>
      </c>
      <c r="F75" s="46" t="s">
        <v>498</v>
      </c>
    </row>
    <row r="76" spans="2:6" ht="18" customHeight="1" x14ac:dyDescent="0.25">
      <c r="B76" s="11">
        <v>45108</v>
      </c>
      <c r="C76" s="1" t="s">
        <v>132</v>
      </c>
      <c r="D76" s="1">
        <v>-1</v>
      </c>
      <c r="E76" s="8" t="s">
        <v>202</v>
      </c>
      <c r="F76" s="46" t="s">
        <v>499</v>
      </c>
    </row>
    <row r="77" spans="2:6" ht="18" customHeight="1" x14ac:dyDescent="0.25">
      <c r="B77" s="11">
        <v>45108</v>
      </c>
      <c r="C77" s="1" t="s">
        <v>132</v>
      </c>
      <c r="D77" s="1">
        <v>-1</v>
      </c>
      <c r="E77" s="8" t="s">
        <v>163</v>
      </c>
      <c r="F77" s="46" t="s">
        <v>500</v>
      </c>
    </row>
    <row r="78" spans="2:6" ht="18" customHeight="1" x14ac:dyDescent="0.25">
      <c r="B78" s="11">
        <v>45108</v>
      </c>
      <c r="C78" s="1" t="s">
        <v>164</v>
      </c>
      <c r="D78" s="1">
        <v>1</v>
      </c>
      <c r="E78" s="8" t="s">
        <v>166</v>
      </c>
      <c r="F78" s="46" t="s">
        <v>501</v>
      </c>
    </row>
    <row r="79" spans="2:6" ht="18" customHeight="1" x14ac:dyDescent="0.25">
      <c r="B79" s="11">
        <v>45108</v>
      </c>
      <c r="C79" s="1" t="s">
        <v>164</v>
      </c>
      <c r="D79" s="1">
        <v>1</v>
      </c>
      <c r="E79" s="8" t="s">
        <v>168</v>
      </c>
      <c r="F79" s="46" t="s">
        <v>502</v>
      </c>
    </row>
    <row r="80" spans="2:6" ht="18" customHeight="1" x14ac:dyDescent="0.25">
      <c r="B80" s="11">
        <v>45108</v>
      </c>
      <c r="C80" s="1" t="s">
        <v>164</v>
      </c>
      <c r="D80" s="1">
        <v>1</v>
      </c>
      <c r="E80" s="8" t="s">
        <v>172</v>
      </c>
      <c r="F80" s="46" t="s">
        <v>503</v>
      </c>
    </row>
    <row r="81" spans="2:6" ht="18" customHeight="1" x14ac:dyDescent="0.25">
      <c r="B81" s="11">
        <v>45108</v>
      </c>
      <c r="C81" s="1" t="s">
        <v>164</v>
      </c>
      <c r="D81" s="1">
        <v>1</v>
      </c>
      <c r="E81" s="8" t="s">
        <v>176</v>
      </c>
      <c r="F81" s="46" t="s">
        <v>505</v>
      </c>
    </row>
    <row r="82" spans="2:6" ht="18" customHeight="1" x14ac:dyDescent="0.25">
      <c r="B82" s="11">
        <v>45108</v>
      </c>
      <c r="C82" s="1" t="s">
        <v>164</v>
      </c>
      <c r="D82" s="1">
        <v>1</v>
      </c>
      <c r="E82" s="8" t="s">
        <v>178</v>
      </c>
      <c r="F82" s="46" t="s">
        <v>506</v>
      </c>
    </row>
    <row r="83" spans="2:6" ht="18" customHeight="1" x14ac:dyDescent="0.25">
      <c r="B83" s="11">
        <v>45108</v>
      </c>
      <c r="C83" s="1" t="s">
        <v>164</v>
      </c>
      <c r="D83" s="1">
        <v>1</v>
      </c>
      <c r="E83" s="8" t="s">
        <v>180</v>
      </c>
      <c r="F83" s="46" t="s">
        <v>507</v>
      </c>
    </row>
    <row r="84" spans="2:6" ht="18" customHeight="1" x14ac:dyDescent="0.25">
      <c r="B84" s="11">
        <v>45108</v>
      </c>
      <c r="C84" s="1" t="s">
        <v>164</v>
      </c>
      <c r="D84" s="1">
        <v>1</v>
      </c>
      <c r="E84" s="8" t="s">
        <v>182</v>
      </c>
      <c r="F84" s="46" t="s">
        <v>508</v>
      </c>
    </row>
    <row r="85" spans="2:6" ht="18" customHeight="1" x14ac:dyDescent="0.25">
      <c r="B85" s="11">
        <v>45108</v>
      </c>
      <c r="C85" s="1" t="s">
        <v>164</v>
      </c>
      <c r="D85" s="1">
        <v>1</v>
      </c>
      <c r="E85" s="8" t="s">
        <v>184</v>
      </c>
      <c r="F85" s="46" t="s">
        <v>509</v>
      </c>
    </row>
    <row r="86" spans="2:6" ht="18" customHeight="1" x14ac:dyDescent="0.25">
      <c r="B86" s="11">
        <v>45108</v>
      </c>
      <c r="C86" s="1" t="s">
        <v>164</v>
      </c>
      <c r="D86" s="1">
        <v>-1</v>
      </c>
      <c r="E86" s="8" t="s">
        <v>192</v>
      </c>
      <c r="F86" s="46" t="s">
        <v>510</v>
      </c>
    </row>
    <row r="87" spans="2:6" ht="18" customHeight="1" x14ac:dyDescent="0.25">
      <c r="B87" s="11">
        <v>45108</v>
      </c>
      <c r="C87" s="1" t="s">
        <v>164</v>
      </c>
      <c r="D87" s="1">
        <v>1</v>
      </c>
      <c r="E87" s="8" t="s">
        <v>188</v>
      </c>
      <c r="F87" s="46" t="s">
        <v>511</v>
      </c>
    </row>
    <row r="88" spans="2:6" ht="18" customHeight="1" x14ac:dyDescent="0.25">
      <c r="B88" s="11">
        <v>45108</v>
      </c>
      <c r="C88" s="1" t="s">
        <v>164</v>
      </c>
      <c r="D88" s="1">
        <v>1</v>
      </c>
      <c r="E88" s="8" t="s">
        <v>174</v>
      </c>
      <c r="F88" s="46" t="s">
        <v>504</v>
      </c>
    </row>
    <row r="89" spans="2:6" ht="18" customHeight="1" x14ac:dyDescent="0.25">
      <c r="B89" s="11">
        <v>45139</v>
      </c>
      <c r="C89" s="1" t="s">
        <v>132</v>
      </c>
      <c r="D89" s="1">
        <v>-1</v>
      </c>
      <c r="E89" s="8" t="s">
        <v>134</v>
      </c>
      <c r="F89" s="46" t="s">
        <v>512</v>
      </c>
    </row>
    <row r="90" spans="2:6" ht="18" customHeight="1" x14ac:dyDescent="0.25">
      <c r="B90" s="11">
        <v>45139</v>
      </c>
      <c r="C90" s="1" t="s">
        <v>132</v>
      </c>
      <c r="D90" s="1">
        <v>-1</v>
      </c>
      <c r="E90" s="8" t="s">
        <v>136</v>
      </c>
      <c r="F90" s="46" t="s">
        <v>513</v>
      </c>
    </row>
    <row r="91" spans="2:6" ht="18" customHeight="1" x14ac:dyDescent="0.25">
      <c r="B91" s="11">
        <v>45139</v>
      </c>
      <c r="C91" s="1" t="s">
        <v>132</v>
      </c>
      <c r="D91" s="1">
        <v>1</v>
      </c>
      <c r="E91" s="8" t="s">
        <v>137</v>
      </c>
      <c r="F91" s="46" t="s">
        <v>514</v>
      </c>
    </row>
    <row r="92" spans="2:6" ht="18" customHeight="1" x14ac:dyDescent="0.25">
      <c r="B92" s="11">
        <v>45139</v>
      </c>
      <c r="C92" s="1" t="s">
        <v>132</v>
      </c>
      <c r="D92" s="1">
        <v>1</v>
      </c>
      <c r="E92" s="8" t="s">
        <v>140</v>
      </c>
      <c r="F92" s="46" t="s">
        <v>515</v>
      </c>
    </row>
    <row r="93" spans="2:6" ht="18" customHeight="1" x14ac:dyDescent="0.25">
      <c r="B93" s="11">
        <v>45139</v>
      </c>
      <c r="C93" s="1" t="s">
        <v>132</v>
      </c>
      <c r="D93" s="1">
        <v>-1</v>
      </c>
      <c r="E93" s="8" t="s">
        <v>144</v>
      </c>
      <c r="F93" s="46" t="s">
        <v>516</v>
      </c>
    </row>
    <row r="94" spans="2:6" ht="18" customHeight="1" x14ac:dyDescent="0.25">
      <c r="B94" s="11">
        <v>45139</v>
      </c>
      <c r="C94" s="1" t="s">
        <v>132</v>
      </c>
      <c r="D94" s="1">
        <v>-1</v>
      </c>
      <c r="E94" s="8" t="s">
        <v>142</v>
      </c>
      <c r="F94" s="46" t="s">
        <v>517</v>
      </c>
    </row>
    <row r="95" spans="2:6" ht="18" customHeight="1" x14ac:dyDescent="0.25">
      <c r="B95" s="11">
        <v>45139</v>
      </c>
      <c r="C95" s="1" t="s">
        <v>132</v>
      </c>
      <c r="D95" s="1">
        <v>-1</v>
      </c>
      <c r="E95" s="8" t="s">
        <v>152</v>
      </c>
      <c r="F95" s="46" t="s">
        <v>518</v>
      </c>
    </row>
    <row r="96" spans="2:6" ht="18" customHeight="1" x14ac:dyDescent="0.25">
      <c r="B96" s="11">
        <v>45139</v>
      </c>
      <c r="C96" s="1" t="s">
        <v>132</v>
      </c>
      <c r="D96" s="1">
        <v>1</v>
      </c>
      <c r="E96" s="8" t="s">
        <v>150</v>
      </c>
      <c r="F96" s="46" t="s">
        <v>519</v>
      </c>
    </row>
    <row r="97" spans="2:6" ht="18" customHeight="1" x14ac:dyDescent="0.25">
      <c r="B97" s="11">
        <v>45139</v>
      </c>
      <c r="C97" s="1" t="s">
        <v>132</v>
      </c>
      <c r="D97" s="1">
        <v>-1</v>
      </c>
      <c r="E97" s="8" t="s">
        <v>203</v>
      </c>
      <c r="F97" s="46" t="s">
        <v>520</v>
      </c>
    </row>
    <row r="98" spans="2:6" ht="18" customHeight="1" x14ac:dyDescent="0.25">
      <c r="B98" s="11">
        <v>45139</v>
      </c>
      <c r="C98" s="1" t="s">
        <v>132</v>
      </c>
      <c r="D98" s="1">
        <v>-1</v>
      </c>
      <c r="E98" s="8" t="s">
        <v>148</v>
      </c>
      <c r="F98" s="46" t="s">
        <v>521</v>
      </c>
    </row>
    <row r="99" spans="2:6" ht="18" customHeight="1" x14ac:dyDescent="0.25">
      <c r="B99" s="11">
        <v>45139</v>
      </c>
      <c r="C99" s="1" t="s">
        <v>132</v>
      </c>
      <c r="D99" s="1">
        <v>-1</v>
      </c>
      <c r="E99" s="8" t="s">
        <v>163</v>
      </c>
      <c r="F99" s="46" t="s">
        <v>522</v>
      </c>
    </row>
    <row r="100" spans="2:6" ht="18" customHeight="1" x14ac:dyDescent="0.25">
      <c r="B100" s="11">
        <v>45139</v>
      </c>
      <c r="C100" s="1" t="s">
        <v>132</v>
      </c>
      <c r="D100" s="1">
        <v>-1</v>
      </c>
      <c r="E100" s="8" t="s">
        <v>485</v>
      </c>
      <c r="F100" s="46" t="s">
        <v>523</v>
      </c>
    </row>
    <row r="101" spans="2:6" ht="18" customHeight="1" x14ac:dyDescent="0.25">
      <c r="B101" s="11">
        <v>45139</v>
      </c>
      <c r="C101" s="1" t="s">
        <v>164</v>
      </c>
      <c r="D101" s="1">
        <v>1</v>
      </c>
      <c r="E101" s="8" t="s">
        <v>166</v>
      </c>
      <c r="F101" s="46" t="s">
        <v>524</v>
      </c>
    </row>
    <row r="102" spans="2:6" ht="18" customHeight="1" x14ac:dyDescent="0.25">
      <c r="B102" s="11">
        <v>45139</v>
      </c>
      <c r="C102" s="1" t="s">
        <v>164</v>
      </c>
      <c r="D102" s="1">
        <v>1</v>
      </c>
      <c r="E102" s="8" t="s">
        <v>168</v>
      </c>
      <c r="F102" s="46" t="s">
        <v>525</v>
      </c>
    </row>
    <row r="103" spans="2:6" ht="18" customHeight="1" x14ac:dyDescent="0.25">
      <c r="B103" s="11">
        <v>45139</v>
      </c>
      <c r="C103" s="1" t="s">
        <v>164</v>
      </c>
      <c r="D103" s="1">
        <v>-1</v>
      </c>
      <c r="E103" s="8" t="s">
        <v>172</v>
      </c>
      <c r="F103" s="46" t="s">
        <v>526</v>
      </c>
    </row>
    <row r="104" spans="2:6" ht="18" customHeight="1" x14ac:dyDescent="0.25">
      <c r="B104" s="11">
        <v>45139</v>
      </c>
      <c r="C104" s="1" t="s">
        <v>164</v>
      </c>
      <c r="D104" s="1">
        <v>-1</v>
      </c>
      <c r="E104" s="8" t="s">
        <v>176</v>
      </c>
      <c r="F104" s="46" t="s">
        <v>527</v>
      </c>
    </row>
    <row r="105" spans="2:6" ht="18" customHeight="1" x14ac:dyDescent="0.25">
      <c r="B105" s="11">
        <v>45139</v>
      </c>
      <c r="C105" s="1" t="s">
        <v>164</v>
      </c>
      <c r="D105" s="1">
        <v>-1</v>
      </c>
      <c r="E105" s="8" t="s">
        <v>467</v>
      </c>
      <c r="F105" s="46" t="s">
        <v>528</v>
      </c>
    </row>
    <row r="106" spans="2:6" ht="18" customHeight="1" x14ac:dyDescent="0.25">
      <c r="B106" s="11">
        <v>45139</v>
      </c>
      <c r="C106" s="1" t="s">
        <v>164</v>
      </c>
      <c r="D106" s="1">
        <v>1</v>
      </c>
      <c r="E106" s="8" t="s">
        <v>178</v>
      </c>
      <c r="F106" s="46" t="s">
        <v>529</v>
      </c>
    </row>
    <row r="107" spans="2:6" ht="18" customHeight="1" x14ac:dyDescent="0.25">
      <c r="B107" s="11">
        <v>45139</v>
      </c>
      <c r="C107" s="1" t="s">
        <v>164</v>
      </c>
      <c r="D107" s="1">
        <v>1</v>
      </c>
      <c r="E107" s="8" t="s">
        <v>180</v>
      </c>
      <c r="F107" s="46" t="s">
        <v>530</v>
      </c>
    </row>
    <row r="108" spans="2:6" ht="18" customHeight="1" x14ac:dyDescent="0.25">
      <c r="B108" s="11">
        <v>45139</v>
      </c>
      <c r="C108" s="1" t="s">
        <v>164</v>
      </c>
      <c r="D108" s="1">
        <v>1</v>
      </c>
      <c r="E108" s="8" t="s">
        <v>228</v>
      </c>
      <c r="F108" s="46" t="s">
        <v>531</v>
      </c>
    </row>
    <row r="109" spans="2:6" ht="18" customHeight="1" x14ac:dyDescent="0.25">
      <c r="B109" s="11">
        <v>45139</v>
      </c>
      <c r="C109" s="1" t="s">
        <v>164</v>
      </c>
      <c r="D109" s="1">
        <v>1</v>
      </c>
      <c r="E109" s="8" t="s">
        <v>182</v>
      </c>
      <c r="F109" s="46" t="s">
        <v>532</v>
      </c>
    </row>
    <row r="110" spans="2:6" ht="18" customHeight="1" x14ac:dyDescent="0.25">
      <c r="B110" s="11">
        <v>45139</v>
      </c>
      <c r="C110" s="1" t="s">
        <v>164</v>
      </c>
      <c r="D110" s="1">
        <v>1</v>
      </c>
      <c r="E110" s="8" t="s">
        <v>186</v>
      </c>
      <c r="F110" s="46" t="s">
        <v>533</v>
      </c>
    </row>
    <row r="111" spans="2:6" ht="18" customHeight="1" x14ac:dyDescent="0.25">
      <c r="B111" s="11">
        <v>45170</v>
      </c>
      <c r="C111" s="1" t="s">
        <v>132</v>
      </c>
      <c r="D111" s="1">
        <v>-1</v>
      </c>
      <c r="E111" s="8" t="s">
        <v>134</v>
      </c>
      <c r="F111" s="46" t="s">
        <v>534</v>
      </c>
    </row>
    <row r="112" spans="2:6" ht="18" customHeight="1" x14ac:dyDescent="0.25">
      <c r="B112" s="11">
        <v>45170</v>
      </c>
      <c r="C112" s="1" t="s">
        <v>132</v>
      </c>
      <c r="D112" s="1">
        <v>-1</v>
      </c>
      <c r="E112" s="8" t="s">
        <v>136</v>
      </c>
      <c r="F112" s="46" t="s">
        <v>535</v>
      </c>
    </row>
    <row r="113" spans="2:6" ht="18" customHeight="1" x14ac:dyDescent="0.25">
      <c r="B113" s="11">
        <v>45170</v>
      </c>
      <c r="C113" s="1" t="s">
        <v>132</v>
      </c>
      <c r="D113" s="1">
        <v>-1</v>
      </c>
      <c r="E113" s="8" t="s">
        <v>137</v>
      </c>
      <c r="F113" s="46" t="s">
        <v>536</v>
      </c>
    </row>
    <row r="114" spans="2:6" ht="18" customHeight="1" x14ac:dyDescent="0.25">
      <c r="B114" s="11">
        <v>45170</v>
      </c>
      <c r="C114" s="1" t="s">
        <v>132</v>
      </c>
      <c r="D114" s="1">
        <v>1</v>
      </c>
      <c r="E114" s="8" t="s">
        <v>140</v>
      </c>
      <c r="F114" s="46" t="s">
        <v>537</v>
      </c>
    </row>
    <row r="115" spans="2:6" ht="18" customHeight="1" x14ac:dyDescent="0.25">
      <c r="B115" s="11">
        <v>45170</v>
      </c>
      <c r="C115" s="1" t="s">
        <v>132</v>
      </c>
      <c r="D115" s="1">
        <v>0</v>
      </c>
      <c r="E115" s="8" t="s">
        <v>482</v>
      </c>
      <c r="F115" s="46" t="s">
        <v>538</v>
      </c>
    </row>
    <row r="116" spans="2:6" ht="18" customHeight="1" x14ac:dyDescent="0.25">
      <c r="B116" s="11">
        <v>45170</v>
      </c>
      <c r="C116" s="1" t="s">
        <v>132</v>
      </c>
      <c r="D116" s="1">
        <v>0</v>
      </c>
      <c r="E116" s="8" t="s">
        <v>150</v>
      </c>
      <c r="F116" s="46" t="s">
        <v>539</v>
      </c>
    </row>
    <row r="117" spans="2:6" ht="18" customHeight="1" x14ac:dyDescent="0.25">
      <c r="B117" s="11">
        <v>45170</v>
      </c>
      <c r="C117" s="1" t="s">
        <v>132</v>
      </c>
      <c r="D117" s="1">
        <v>1</v>
      </c>
      <c r="E117" s="8" t="s">
        <v>202</v>
      </c>
      <c r="F117" s="46" t="s">
        <v>540</v>
      </c>
    </row>
    <row r="118" spans="2:6" ht="18" customHeight="1" x14ac:dyDescent="0.25">
      <c r="B118" s="11">
        <v>45170</v>
      </c>
      <c r="C118" s="1" t="s">
        <v>132</v>
      </c>
      <c r="D118" s="1">
        <v>1</v>
      </c>
      <c r="E118" s="8" t="s">
        <v>201</v>
      </c>
      <c r="F118" s="46" t="s">
        <v>541</v>
      </c>
    </row>
    <row r="119" spans="2:6" ht="18" customHeight="1" x14ac:dyDescent="0.25">
      <c r="B119" s="11">
        <v>45170</v>
      </c>
      <c r="C119" s="1" t="s">
        <v>132</v>
      </c>
      <c r="D119" s="1">
        <v>1</v>
      </c>
      <c r="E119" s="8" t="s">
        <v>163</v>
      </c>
      <c r="F119" s="46" t="s">
        <v>542</v>
      </c>
    </row>
    <row r="120" spans="2:6" ht="18" customHeight="1" x14ac:dyDescent="0.25">
      <c r="B120" s="11">
        <v>45170</v>
      </c>
      <c r="C120" s="1" t="s">
        <v>132</v>
      </c>
      <c r="D120" s="1">
        <v>1</v>
      </c>
      <c r="E120" s="8" t="s">
        <v>484</v>
      </c>
      <c r="F120" s="46" t="s">
        <v>543</v>
      </c>
    </row>
    <row r="121" spans="2:6" ht="18" customHeight="1" x14ac:dyDescent="0.25">
      <c r="B121" s="11">
        <v>45170</v>
      </c>
      <c r="C121" s="1" t="s">
        <v>164</v>
      </c>
      <c r="D121" s="1">
        <v>-1</v>
      </c>
      <c r="E121" s="8" t="s">
        <v>166</v>
      </c>
      <c r="F121" s="46" t="s">
        <v>544</v>
      </c>
    </row>
    <row r="122" spans="2:6" ht="18" customHeight="1" x14ac:dyDescent="0.25">
      <c r="B122" s="11">
        <v>45170</v>
      </c>
      <c r="C122" s="1" t="s">
        <v>164</v>
      </c>
      <c r="D122" s="1">
        <v>1</v>
      </c>
      <c r="E122" s="8" t="s">
        <v>168</v>
      </c>
      <c r="F122" s="46" t="s">
        <v>545</v>
      </c>
    </row>
    <row r="123" spans="2:6" ht="18" customHeight="1" x14ac:dyDescent="0.25">
      <c r="B123" s="11">
        <v>45170</v>
      </c>
      <c r="C123" s="1" t="s">
        <v>164</v>
      </c>
      <c r="D123" s="1">
        <v>1</v>
      </c>
      <c r="E123" s="8" t="s">
        <v>170</v>
      </c>
      <c r="F123" s="46" t="s">
        <v>546</v>
      </c>
    </row>
    <row r="124" spans="2:6" ht="18" customHeight="1" x14ac:dyDescent="0.25">
      <c r="B124" s="11">
        <v>45170</v>
      </c>
      <c r="C124" s="1" t="s">
        <v>164</v>
      </c>
      <c r="D124" s="1">
        <v>1</v>
      </c>
      <c r="E124" s="8" t="s">
        <v>172</v>
      </c>
      <c r="F124" s="46" t="s">
        <v>547</v>
      </c>
    </row>
    <row r="125" spans="2:6" ht="18" customHeight="1" x14ac:dyDescent="0.25">
      <c r="B125" s="11">
        <v>45170</v>
      </c>
      <c r="C125" s="1" t="s">
        <v>164</v>
      </c>
      <c r="D125" s="1">
        <v>1</v>
      </c>
      <c r="E125" s="8" t="s">
        <v>174</v>
      </c>
      <c r="F125" s="46" t="s">
        <v>548</v>
      </c>
    </row>
    <row r="126" spans="2:6" ht="18" customHeight="1" x14ac:dyDescent="0.25">
      <c r="B126" s="11">
        <v>45170</v>
      </c>
      <c r="C126" s="1" t="s">
        <v>164</v>
      </c>
      <c r="D126" s="1">
        <v>1</v>
      </c>
      <c r="E126" s="8" t="s">
        <v>176</v>
      </c>
      <c r="F126" s="46" t="s">
        <v>549</v>
      </c>
    </row>
    <row r="127" spans="2:6" ht="18" customHeight="1" x14ac:dyDescent="0.25">
      <c r="B127" s="11">
        <v>45170</v>
      </c>
      <c r="C127" s="1" t="s">
        <v>164</v>
      </c>
      <c r="D127" s="1">
        <v>1</v>
      </c>
      <c r="E127" s="8" t="s">
        <v>178</v>
      </c>
      <c r="F127" s="46" t="s">
        <v>550</v>
      </c>
    </row>
    <row r="128" spans="2:6" ht="18" customHeight="1" x14ac:dyDescent="0.25">
      <c r="B128" s="11">
        <v>45170</v>
      </c>
      <c r="C128" s="1" t="s">
        <v>164</v>
      </c>
      <c r="D128" s="1">
        <v>1</v>
      </c>
      <c r="E128" s="8" t="s">
        <v>182</v>
      </c>
      <c r="F128" s="46" t="s">
        <v>551</v>
      </c>
    </row>
    <row r="129" spans="2:6" ht="18" customHeight="1" x14ac:dyDescent="0.25">
      <c r="B129" s="11">
        <v>45170</v>
      </c>
      <c r="C129" s="1" t="s">
        <v>164</v>
      </c>
      <c r="D129" s="1">
        <v>1</v>
      </c>
      <c r="E129" s="8" t="s">
        <v>184</v>
      </c>
      <c r="F129" s="46" t="s">
        <v>552</v>
      </c>
    </row>
    <row r="130" spans="2:6" ht="18" customHeight="1" x14ac:dyDescent="0.25">
      <c r="B130" s="11">
        <v>45170</v>
      </c>
      <c r="C130" s="1" t="s">
        <v>164</v>
      </c>
      <c r="D130" s="1">
        <v>1</v>
      </c>
      <c r="E130" s="8" t="s">
        <v>186</v>
      </c>
      <c r="F130" s="46" t="s">
        <v>553</v>
      </c>
    </row>
    <row r="131" spans="2:6" ht="18" customHeight="1" x14ac:dyDescent="0.25">
      <c r="B131" s="11">
        <v>45170</v>
      </c>
      <c r="C131" s="1" t="s">
        <v>164</v>
      </c>
      <c r="D131" s="1">
        <v>-1</v>
      </c>
      <c r="E131" s="8" t="s">
        <v>188</v>
      </c>
      <c r="F131" s="46" t="s">
        <v>554</v>
      </c>
    </row>
    <row r="132" spans="2:6" ht="18" customHeight="1" x14ac:dyDescent="0.25">
      <c r="B132" s="11">
        <v>45200</v>
      </c>
      <c r="C132" s="1" t="s">
        <v>164</v>
      </c>
      <c r="D132" s="1">
        <v>1</v>
      </c>
      <c r="E132" s="8" t="s">
        <v>174</v>
      </c>
      <c r="F132" s="46" t="s">
        <v>570</v>
      </c>
    </row>
    <row r="133" spans="2:6" ht="18" customHeight="1" x14ac:dyDescent="0.25">
      <c r="B133" s="11">
        <v>45200</v>
      </c>
      <c r="C133" s="1" t="s">
        <v>132</v>
      </c>
      <c r="D133" s="1">
        <v>-1</v>
      </c>
      <c r="E133" s="8" t="s">
        <v>134</v>
      </c>
      <c r="F133" s="46" t="s">
        <v>555</v>
      </c>
    </row>
    <row r="134" spans="2:6" ht="18" customHeight="1" x14ac:dyDescent="0.25">
      <c r="B134" s="11">
        <v>45200</v>
      </c>
      <c r="C134" s="1" t="s">
        <v>132</v>
      </c>
      <c r="D134" s="1">
        <v>-1</v>
      </c>
      <c r="E134" s="8" t="s">
        <v>136</v>
      </c>
      <c r="F134" s="46" t="s">
        <v>556</v>
      </c>
    </row>
    <row r="135" spans="2:6" ht="18" customHeight="1" x14ac:dyDescent="0.25">
      <c r="B135" s="11">
        <v>45200</v>
      </c>
      <c r="C135" s="1" t="s">
        <v>132</v>
      </c>
      <c r="D135" s="1">
        <v>-1</v>
      </c>
      <c r="E135" s="8" t="s">
        <v>137</v>
      </c>
      <c r="F135" s="46" t="s">
        <v>557</v>
      </c>
    </row>
    <row r="136" spans="2:6" ht="18" customHeight="1" x14ac:dyDescent="0.25">
      <c r="B136" s="11">
        <v>45200</v>
      </c>
      <c r="C136" s="1" t="s">
        <v>132</v>
      </c>
      <c r="D136" s="1">
        <v>1</v>
      </c>
      <c r="E136" s="8" t="s">
        <v>140</v>
      </c>
      <c r="F136" s="46" t="s">
        <v>558</v>
      </c>
    </row>
    <row r="137" spans="2:6" ht="18" customHeight="1" x14ac:dyDescent="0.25">
      <c r="B137" s="11">
        <v>45200</v>
      </c>
      <c r="C137" s="1" t="s">
        <v>132</v>
      </c>
      <c r="D137" s="1">
        <v>-1</v>
      </c>
      <c r="E137" s="8" t="s">
        <v>142</v>
      </c>
      <c r="F137" s="46" t="s">
        <v>559</v>
      </c>
    </row>
    <row r="138" spans="2:6" ht="18" customHeight="1" x14ac:dyDescent="0.25">
      <c r="B138" s="11">
        <v>45200</v>
      </c>
      <c r="C138" s="1" t="s">
        <v>132</v>
      </c>
      <c r="D138" s="1">
        <v>-1</v>
      </c>
      <c r="E138" s="8" t="s">
        <v>144</v>
      </c>
      <c r="F138" s="46" t="s">
        <v>560</v>
      </c>
    </row>
    <row r="139" spans="2:6" ht="18" customHeight="1" x14ac:dyDescent="0.25">
      <c r="B139" s="11">
        <v>45200</v>
      </c>
      <c r="C139" s="1" t="s">
        <v>132</v>
      </c>
      <c r="D139" s="1">
        <v>-1</v>
      </c>
      <c r="E139" s="8" t="s">
        <v>146</v>
      </c>
      <c r="F139" s="46" t="s">
        <v>561</v>
      </c>
    </row>
    <row r="140" spans="2:6" ht="18" customHeight="1" x14ac:dyDescent="0.25">
      <c r="B140" s="11">
        <v>45200</v>
      </c>
      <c r="C140" s="1" t="s">
        <v>132</v>
      </c>
      <c r="D140" s="1">
        <v>0</v>
      </c>
      <c r="E140" s="8" t="s">
        <v>202</v>
      </c>
      <c r="F140" s="46" t="s">
        <v>562</v>
      </c>
    </row>
    <row r="141" spans="2:6" ht="18" customHeight="1" x14ac:dyDescent="0.25">
      <c r="B141" s="11">
        <v>45200</v>
      </c>
      <c r="C141" s="1" t="s">
        <v>132</v>
      </c>
      <c r="D141" s="1">
        <v>-1</v>
      </c>
      <c r="E141" s="8" t="s">
        <v>201</v>
      </c>
      <c r="F141" s="46" t="s">
        <v>563</v>
      </c>
    </row>
    <row r="142" spans="2:6" ht="18" customHeight="1" x14ac:dyDescent="0.25">
      <c r="B142" s="11">
        <v>45200</v>
      </c>
      <c r="C142" s="1" t="s">
        <v>132</v>
      </c>
      <c r="D142" s="1">
        <v>1</v>
      </c>
      <c r="E142" s="8" t="s">
        <v>148</v>
      </c>
      <c r="F142" s="46" t="s">
        <v>564</v>
      </c>
    </row>
    <row r="143" spans="2:6" ht="18" customHeight="1" x14ac:dyDescent="0.25">
      <c r="B143" s="11">
        <v>45200</v>
      </c>
      <c r="C143" s="1" t="s">
        <v>132</v>
      </c>
      <c r="D143" s="1">
        <v>-1</v>
      </c>
      <c r="E143" s="8" t="s">
        <v>163</v>
      </c>
      <c r="F143" s="46" t="s">
        <v>565</v>
      </c>
    </row>
    <row r="144" spans="2:6" ht="18" customHeight="1" x14ac:dyDescent="0.25">
      <c r="B144" s="11">
        <v>45200</v>
      </c>
      <c r="C144" s="1" t="s">
        <v>164</v>
      </c>
      <c r="D144" s="1">
        <v>0</v>
      </c>
      <c r="E144" s="8" t="s">
        <v>166</v>
      </c>
      <c r="F144" s="46" t="s">
        <v>566</v>
      </c>
    </row>
    <row r="145" spans="2:6" ht="18" customHeight="1" x14ac:dyDescent="0.25">
      <c r="B145" s="11">
        <v>45200</v>
      </c>
      <c r="C145" s="1" t="s">
        <v>164</v>
      </c>
      <c r="D145" s="1">
        <v>1</v>
      </c>
      <c r="E145" s="8" t="s">
        <v>168</v>
      </c>
      <c r="F145" s="46" t="s">
        <v>567</v>
      </c>
    </row>
    <row r="146" spans="2:6" ht="18" customHeight="1" x14ac:dyDescent="0.25">
      <c r="B146" s="11">
        <v>45200</v>
      </c>
      <c r="C146" s="1" t="s">
        <v>164</v>
      </c>
      <c r="D146" s="1">
        <v>1</v>
      </c>
      <c r="E146" s="8" t="s">
        <v>170</v>
      </c>
      <c r="F146" s="46" t="s">
        <v>568</v>
      </c>
    </row>
    <row r="147" spans="2:6" ht="18" customHeight="1" x14ac:dyDescent="0.25">
      <c r="B147" s="11">
        <v>45200</v>
      </c>
      <c r="C147" s="1" t="s">
        <v>164</v>
      </c>
      <c r="D147" s="1">
        <v>1</v>
      </c>
      <c r="E147" s="8" t="s">
        <v>172</v>
      </c>
      <c r="F147" s="46" t="s">
        <v>569</v>
      </c>
    </row>
    <row r="148" spans="2:6" ht="18" customHeight="1" x14ac:dyDescent="0.25">
      <c r="B148" s="11">
        <v>45200</v>
      </c>
      <c r="C148" s="1" t="s">
        <v>164</v>
      </c>
      <c r="D148" s="1">
        <v>1</v>
      </c>
      <c r="E148" s="8" t="s">
        <v>176</v>
      </c>
      <c r="F148" s="46" t="s">
        <v>571</v>
      </c>
    </row>
    <row r="149" spans="2:6" ht="18" customHeight="1" x14ac:dyDescent="0.25">
      <c r="B149" s="11">
        <v>45200</v>
      </c>
      <c r="C149" s="1" t="s">
        <v>164</v>
      </c>
      <c r="D149" s="1">
        <v>-1</v>
      </c>
      <c r="E149" s="8" t="s">
        <v>178</v>
      </c>
      <c r="F149" s="46" t="s">
        <v>572</v>
      </c>
    </row>
    <row r="150" spans="2:6" ht="18" customHeight="1" x14ac:dyDescent="0.25">
      <c r="B150" s="11">
        <v>45200</v>
      </c>
      <c r="C150" s="1" t="s">
        <v>164</v>
      </c>
      <c r="D150" s="1">
        <v>1</v>
      </c>
      <c r="E150" s="8" t="s">
        <v>182</v>
      </c>
      <c r="F150" s="46" t="s">
        <v>573</v>
      </c>
    </row>
    <row r="151" spans="2:6" ht="18" customHeight="1" x14ac:dyDescent="0.25">
      <c r="B151" s="11">
        <v>45200</v>
      </c>
      <c r="C151" s="1" t="s">
        <v>164</v>
      </c>
      <c r="D151" s="1">
        <v>1</v>
      </c>
      <c r="E151" s="8" t="s">
        <v>184</v>
      </c>
      <c r="F151" s="46" t="s">
        <v>574</v>
      </c>
    </row>
    <row r="152" spans="2:6" ht="18" customHeight="1" x14ac:dyDescent="0.25">
      <c r="B152" s="11">
        <v>45200</v>
      </c>
      <c r="C152" s="1" t="s">
        <v>164</v>
      </c>
      <c r="D152" s="1">
        <v>1</v>
      </c>
      <c r="E152" s="8" t="s">
        <v>186</v>
      </c>
      <c r="F152" s="46" t="s">
        <v>575</v>
      </c>
    </row>
    <row r="153" spans="2:6" ht="18" customHeight="1" x14ac:dyDescent="0.25">
      <c r="B153" s="11">
        <v>45200</v>
      </c>
      <c r="C153" s="1" t="s">
        <v>164</v>
      </c>
      <c r="D153" s="1">
        <v>-1</v>
      </c>
      <c r="E153" s="8" t="s">
        <v>188</v>
      </c>
      <c r="F153" s="46" t="s">
        <v>576</v>
      </c>
    </row>
    <row r="154" spans="2:6" ht="18" customHeight="1" x14ac:dyDescent="0.25">
      <c r="B154" s="11">
        <v>45231</v>
      </c>
      <c r="C154" s="1" t="s">
        <v>164</v>
      </c>
      <c r="D154" s="1">
        <v>-1</v>
      </c>
      <c r="E154" s="8" t="s">
        <v>174</v>
      </c>
      <c r="F154" s="46" t="s">
        <v>592</v>
      </c>
    </row>
    <row r="155" spans="2:6" ht="18" customHeight="1" x14ac:dyDescent="0.25">
      <c r="B155" s="11">
        <v>45231</v>
      </c>
      <c r="C155" s="1" t="s">
        <v>132</v>
      </c>
      <c r="D155" s="1">
        <v>-1</v>
      </c>
      <c r="E155" s="8" t="s">
        <v>134</v>
      </c>
      <c r="F155" s="46" t="s">
        <v>577</v>
      </c>
    </row>
    <row r="156" spans="2:6" ht="18" customHeight="1" x14ac:dyDescent="0.25">
      <c r="B156" s="11">
        <v>45231</v>
      </c>
      <c r="C156" s="1" t="s">
        <v>132</v>
      </c>
      <c r="D156" s="1">
        <v>-1</v>
      </c>
      <c r="E156" s="8" t="s">
        <v>136</v>
      </c>
      <c r="F156" s="46" t="s">
        <v>578</v>
      </c>
    </row>
    <row r="157" spans="2:6" ht="18" customHeight="1" x14ac:dyDescent="0.25">
      <c r="B157" s="11">
        <v>45231</v>
      </c>
      <c r="C157" s="1" t="s">
        <v>132</v>
      </c>
      <c r="D157" s="1">
        <v>1</v>
      </c>
      <c r="E157" s="8" t="s">
        <v>137</v>
      </c>
      <c r="F157" s="46" t="s">
        <v>579</v>
      </c>
    </row>
    <row r="158" spans="2:6" ht="18" customHeight="1" x14ac:dyDescent="0.25">
      <c r="B158" s="11">
        <v>45231</v>
      </c>
      <c r="C158" s="1" t="s">
        <v>132</v>
      </c>
      <c r="D158" s="1">
        <v>1</v>
      </c>
      <c r="E158" s="8" t="s">
        <v>140</v>
      </c>
      <c r="F158" s="46" t="s">
        <v>580</v>
      </c>
    </row>
    <row r="159" spans="2:6" ht="18" customHeight="1" x14ac:dyDescent="0.25">
      <c r="B159" s="11">
        <v>45231</v>
      </c>
      <c r="C159" s="1" t="s">
        <v>132</v>
      </c>
      <c r="D159" s="1">
        <v>-1</v>
      </c>
      <c r="E159" s="8" t="s">
        <v>142</v>
      </c>
      <c r="F159" s="46" t="s">
        <v>581</v>
      </c>
    </row>
    <row r="160" spans="2:6" ht="18" customHeight="1" x14ac:dyDescent="0.25">
      <c r="B160" s="11">
        <v>45231</v>
      </c>
      <c r="C160" s="1" t="s">
        <v>132</v>
      </c>
      <c r="D160" s="1">
        <v>-1</v>
      </c>
      <c r="E160" s="8" t="s">
        <v>144</v>
      </c>
      <c r="F160" s="46" t="s">
        <v>582</v>
      </c>
    </row>
    <row r="161" spans="2:6" ht="18" customHeight="1" x14ac:dyDescent="0.25">
      <c r="B161" s="11">
        <v>45231</v>
      </c>
      <c r="C161" s="1" t="s">
        <v>132</v>
      </c>
      <c r="D161" s="1">
        <v>-1</v>
      </c>
      <c r="E161" s="8" t="s">
        <v>150</v>
      </c>
      <c r="F161" s="46" t="s">
        <v>583</v>
      </c>
    </row>
    <row r="162" spans="2:6" ht="18" customHeight="1" x14ac:dyDescent="0.25">
      <c r="B162" s="11">
        <v>45231</v>
      </c>
      <c r="C162" s="1" t="s">
        <v>132</v>
      </c>
      <c r="D162" s="1">
        <v>1</v>
      </c>
      <c r="E162" s="8" t="s">
        <v>202</v>
      </c>
      <c r="F162" s="46" t="s">
        <v>584</v>
      </c>
    </row>
    <row r="163" spans="2:6" ht="18" customHeight="1" x14ac:dyDescent="0.25">
      <c r="B163" s="11">
        <v>45231</v>
      </c>
      <c r="C163" s="1" t="s">
        <v>132</v>
      </c>
      <c r="D163" s="1">
        <v>-1</v>
      </c>
      <c r="E163" s="8" t="s">
        <v>163</v>
      </c>
      <c r="F163" s="46" t="s">
        <v>585</v>
      </c>
    </row>
    <row r="164" spans="2:6" ht="18" customHeight="1" x14ac:dyDescent="0.25">
      <c r="B164" s="11">
        <v>45231</v>
      </c>
      <c r="C164" s="1" t="s">
        <v>132</v>
      </c>
      <c r="D164" s="1">
        <v>-1</v>
      </c>
      <c r="E164" s="8" t="s">
        <v>485</v>
      </c>
      <c r="F164" s="46" t="s">
        <v>586</v>
      </c>
    </row>
    <row r="165" spans="2:6" ht="18" customHeight="1" x14ac:dyDescent="0.25">
      <c r="B165" s="11">
        <v>45231</v>
      </c>
      <c r="C165" s="1" t="s">
        <v>164</v>
      </c>
      <c r="D165" s="1">
        <v>1</v>
      </c>
      <c r="E165" s="8" t="s">
        <v>166</v>
      </c>
      <c r="F165" s="46" t="s">
        <v>587</v>
      </c>
    </row>
    <row r="166" spans="2:6" ht="18" customHeight="1" x14ac:dyDescent="0.25">
      <c r="B166" s="11">
        <v>45231</v>
      </c>
      <c r="C166" s="1" t="s">
        <v>164</v>
      </c>
      <c r="D166" s="1">
        <v>1</v>
      </c>
      <c r="E166" s="8" t="s">
        <v>168</v>
      </c>
      <c r="F166" s="46" t="s">
        <v>588</v>
      </c>
    </row>
    <row r="167" spans="2:6" ht="18" customHeight="1" x14ac:dyDescent="0.25">
      <c r="B167" s="11">
        <v>45231</v>
      </c>
      <c r="C167" s="1" t="s">
        <v>164</v>
      </c>
      <c r="D167" s="1">
        <v>1</v>
      </c>
      <c r="E167" s="8" t="s">
        <v>170</v>
      </c>
      <c r="F167" s="46" t="s">
        <v>589</v>
      </c>
    </row>
    <row r="168" spans="2:6" ht="18" customHeight="1" x14ac:dyDescent="0.25">
      <c r="B168" s="11">
        <v>45231</v>
      </c>
      <c r="C168" s="1" t="s">
        <v>164</v>
      </c>
      <c r="D168" s="1">
        <v>1</v>
      </c>
      <c r="E168" s="8" t="s">
        <v>192</v>
      </c>
      <c r="F168" s="46" t="s">
        <v>590</v>
      </c>
    </row>
    <row r="169" spans="2:6" ht="18" customHeight="1" x14ac:dyDescent="0.25">
      <c r="B169" s="11">
        <v>45231</v>
      </c>
      <c r="C169" s="1" t="s">
        <v>164</v>
      </c>
      <c r="D169" s="1">
        <v>1</v>
      </c>
      <c r="E169" s="8" t="s">
        <v>172</v>
      </c>
      <c r="F169" s="46" t="s">
        <v>591</v>
      </c>
    </row>
    <row r="170" spans="2:6" ht="18" customHeight="1" x14ac:dyDescent="0.25">
      <c r="B170" s="11">
        <v>45231</v>
      </c>
      <c r="C170" s="1" t="s">
        <v>164</v>
      </c>
      <c r="D170" s="1">
        <v>1</v>
      </c>
      <c r="E170" s="8" t="s">
        <v>176</v>
      </c>
      <c r="F170" s="46" t="s">
        <v>593</v>
      </c>
    </row>
    <row r="171" spans="2:6" ht="18" customHeight="1" x14ac:dyDescent="0.25">
      <c r="B171" s="11">
        <v>45231</v>
      </c>
      <c r="C171" s="1" t="s">
        <v>164</v>
      </c>
      <c r="D171" s="1">
        <v>-1</v>
      </c>
      <c r="E171" s="8" t="s">
        <v>178</v>
      </c>
      <c r="F171" s="46" t="s">
        <v>594</v>
      </c>
    </row>
    <row r="172" spans="2:6" ht="18" customHeight="1" x14ac:dyDescent="0.25">
      <c r="B172" s="11">
        <v>45231</v>
      </c>
      <c r="C172" s="1" t="s">
        <v>164</v>
      </c>
      <c r="D172" s="1">
        <v>1</v>
      </c>
      <c r="E172" s="8" t="s">
        <v>180</v>
      </c>
      <c r="F172" s="46" t="s">
        <v>595</v>
      </c>
    </row>
    <row r="173" spans="2:6" ht="18" customHeight="1" x14ac:dyDescent="0.25">
      <c r="B173" s="11">
        <v>45231</v>
      </c>
      <c r="C173" s="1" t="s">
        <v>164</v>
      </c>
      <c r="D173" s="1">
        <v>1</v>
      </c>
      <c r="E173" s="8" t="s">
        <v>182</v>
      </c>
      <c r="F173" s="46" t="s">
        <v>596</v>
      </c>
    </row>
    <row r="174" spans="2:6" ht="18" customHeight="1" x14ac:dyDescent="0.25">
      <c r="B174" s="11">
        <v>45231</v>
      </c>
      <c r="C174" s="1" t="s">
        <v>164</v>
      </c>
      <c r="D174" s="1">
        <v>1</v>
      </c>
      <c r="E174" s="8" t="s">
        <v>184</v>
      </c>
      <c r="F174" s="46" t="s">
        <v>597</v>
      </c>
    </row>
    <row r="175" spans="2:6" ht="18" customHeight="1" x14ac:dyDescent="0.25">
      <c r="B175" s="11">
        <v>45231</v>
      </c>
      <c r="C175" s="1" t="s">
        <v>164</v>
      </c>
      <c r="D175" s="1">
        <v>1</v>
      </c>
      <c r="E175" s="8" t="s">
        <v>186</v>
      </c>
      <c r="F175" s="46" t="s">
        <v>598</v>
      </c>
    </row>
    <row r="176" spans="2:6" ht="18" customHeight="1" x14ac:dyDescent="0.25">
      <c r="B176" s="11">
        <v>45231</v>
      </c>
      <c r="C176" s="1" t="s">
        <v>164</v>
      </c>
      <c r="D176" s="1">
        <v>1</v>
      </c>
      <c r="E176" s="8" t="s">
        <v>188</v>
      </c>
      <c r="F176" s="46" t="s">
        <v>599</v>
      </c>
    </row>
    <row r="177" spans="2:6" ht="18" customHeight="1" x14ac:dyDescent="0.25">
      <c r="B177" s="11">
        <v>45261</v>
      </c>
      <c r="C177" s="1" t="s">
        <v>164</v>
      </c>
      <c r="D177" s="1">
        <v>-1</v>
      </c>
      <c r="E177" s="8" t="s">
        <v>174</v>
      </c>
      <c r="F177" s="46" t="s">
        <v>614</v>
      </c>
    </row>
    <row r="178" spans="2:6" ht="18" customHeight="1" x14ac:dyDescent="0.25">
      <c r="B178" s="11">
        <v>45261</v>
      </c>
      <c r="C178" s="1" t="s">
        <v>132</v>
      </c>
      <c r="D178" s="1">
        <v>-1</v>
      </c>
      <c r="E178" s="8" t="s">
        <v>134</v>
      </c>
      <c r="F178" s="46" t="s">
        <v>600</v>
      </c>
    </row>
    <row r="179" spans="2:6" ht="18" customHeight="1" x14ac:dyDescent="0.25">
      <c r="B179" s="11">
        <v>45261</v>
      </c>
      <c r="C179" s="1" t="s">
        <v>132</v>
      </c>
      <c r="D179" s="1">
        <v>-1</v>
      </c>
      <c r="E179" s="8" t="s">
        <v>136</v>
      </c>
      <c r="F179" s="46" t="s">
        <v>601</v>
      </c>
    </row>
    <row r="180" spans="2:6" ht="18" customHeight="1" x14ac:dyDescent="0.25">
      <c r="B180" s="11">
        <v>45261</v>
      </c>
      <c r="C180" s="1" t="s">
        <v>132</v>
      </c>
      <c r="D180" s="1">
        <v>-1</v>
      </c>
      <c r="E180" s="8" t="s">
        <v>137</v>
      </c>
      <c r="F180" s="46" t="s">
        <v>602</v>
      </c>
    </row>
    <row r="181" spans="2:6" ht="18" customHeight="1" x14ac:dyDescent="0.25">
      <c r="B181" s="11">
        <v>45261</v>
      </c>
      <c r="C181" s="1" t="s">
        <v>132</v>
      </c>
      <c r="D181" s="1">
        <v>-1</v>
      </c>
      <c r="E181" s="8" t="s">
        <v>140</v>
      </c>
      <c r="F181" s="46" t="s">
        <v>603</v>
      </c>
    </row>
    <row r="182" spans="2:6" ht="18" customHeight="1" x14ac:dyDescent="0.25">
      <c r="B182" s="11">
        <v>45261</v>
      </c>
      <c r="C182" s="1" t="s">
        <v>132</v>
      </c>
      <c r="D182" s="1">
        <v>-1</v>
      </c>
      <c r="E182" s="8" t="s">
        <v>142</v>
      </c>
      <c r="F182" s="46" t="s">
        <v>604</v>
      </c>
    </row>
    <row r="183" spans="2:6" ht="18" customHeight="1" x14ac:dyDescent="0.25">
      <c r="B183" s="11">
        <v>45261</v>
      </c>
      <c r="C183" s="1" t="s">
        <v>132</v>
      </c>
      <c r="D183" s="1">
        <v>-1</v>
      </c>
      <c r="E183" s="8" t="s">
        <v>144</v>
      </c>
      <c r="F183" s="46" t="s">
        <v>605</v>
      </c>
    </row>
    <row r="184" spans="2:6" ht="18" customHeight="1" x14ac:dyDescent="0.25">
      <c r="B184" s="11">
        <v>45261</v>
      </c>
      <c r="C184" s="1" t="s">
        <v>132</v>
      </c>
      <c r="D184" s="1">
        <v>1</v>
      </c>
      <c r="E184" s="8" t="s">
        <v>163</v>
      </c>
      <c r="F184" s="46" t="s">
        <v>606</v>
      </c>
    </row>
    <row r="185" spans="2:6" ht="18" customHeight="1" x14ac:dyDescent="0.25">
      <c r="B185" s="11">
        <v>45261</v>
      </c>
      <c r="C185" s="1" t="s">
        <v>132</v>
      </c>
      <c r="D185" s="1">
        <v>-1</v>
      </c>
      <c r="E185" s="8" t="s">
        <v>485</v>
      </c>
      <c r="F185" s="46" t="s">
        <v>607</v>
      </c>
    </row>
    <row r="186" spans="2:6" ht="18" customHeight="1" x14ac:dyDescent="0.25">
      <c r="B186" s="11">
        <v>45261</v>
      </c>
      <c r="C186" s="1" t="s">
        <v>132</v>
      </c>
      <c r="D186" s="1">
        <v>-1</v>
      </c>
      <c r="E186" s="8" t="s">
        <v>152</v>
      </c>
      <c r="F186" s="46" t="s">
        <v>608</v>
      </c>
    </row>
    <row r="187" spans="2:6" ht="18" customHeight="1" x14ac:dyDescent="0.25">
      <c r="B187" s="11">
        <v>45261</v>
      </c>
      <c r="C187" s="1" t="s">
        <v>132</v>
      </c>
      <c r="D187" s="1">
        <v>-1</v>
      </c>
      <c r="E187" s="8" t="s">
        <v>150</v>
      </c>
      <c r="F187" s="46" t="s">
        <v>609</v>
      </c>
    </row>
    <row r="188" spans="2:6" ht="18" customHeight="1" x14ac:dyDescent="0.25">
      <c r="B188" s="11">
        <v>45261</v>
      </c>
      <c r="C188" s="1" t="s">
        <v>164</v>
      </c>
      <c r="D188" s="1">
        <v>-1</v>
      </c>
      <c r="E188" s="8" t="s">
        <v>168</v>
      </c>
      <c r="F188" s="46" t="s">
        <v>610</v>
      </c>
    </row>
    <row r="189" spans="2:6" ht="18" customHeight="1" x14ac:dyDescent="0.25">
      <c r="B189" s="11">
        <v>45261</v>
      </c>
      <c r="C189" s="1" t="s">
        <v>164</v>
      </c>
      <c r="D189" s="1">
        <v>1</v>
      </c>
      <c r="E189" s="8" t="s">
        <v>166</v>
      </c>
      <c r="F189" s="46" t="s">
        <v>611</v>
      </c>
    </row>
    <row r="190" spans="2:6" ht="18" customHeight="1" x14ac:dyDescent="0.25">
      <c r="B190" s="11">
        <v>45261</v>
      </c>
      <c r="C190" s="1" t="s">
        <v>164</v>
      </c>
      <c r="D190" s="1">
        <v>-1</v>
      </c>
      <c r="E190" s="8" t="s">
        <v>170</v>
      </c>
      <c r="F190" s="46" t="s">
        <v>612</v>
      </c>
    </row>
    <row r="191" spans="2:6" ht="18" customHeight="1" x14ac:dyDescent="0.25">
      <c r="B191" s="11">
        <v>45261</v>
      </c>
      <c r="C191" s="1" t="s">
        <v>164</v>
      </c>
      <c r="D191" s="1">
        <v>1</v>
      </c>
      <c r="E191" s="8" t="s">
        <v>172</v>
      </c>
      <c r="F191" s="46" t="s">
        <v>613</v>
      </c>
    </row>
    <row r="192" spans="2:6" ht="18" customHeight="1" x14ac:dyDescent="0.25">
      <c r="B192" s="11">
        <v>45261</v>
      </c>
      <c r="C192" s="1" t="s">
        <v>164</v>
      </c>
      <c r="D192" s="1">
        <v>-1</v>
      </c>
      <c r="E192" s="8" t="s">
        <v>467</v>
      </c>
      <c r="F192" s="46" t="s">
        <v>615</v>
      </c>
    </row>
    <row r="193" spans="2:6" ht="18" customHeight="1" x14ac:dyDescent="0.25">
      <c r="B193" s="11">
        <v>45261</v>
      </c>
      <c r="C193" s="1" t="s">
        <v>164</v>
      </c>
      <c r="D193" s="1">
        <v>1</v>
      </c>
      <c r="E193" s="8" t="s">
        <v>178</v>
      </c>
      <c r="F193" s="46" t="s">
        <v>616</v>
      </c>
    </row>
    <row r="194" spans="2:6" ht="18" customHeight="1" x14ac:dyDescent="0.25">
      <c r="B194" s="11">
        <v>45261</v>
      </c>
      <c r="C194" s="1" t="s">
        <v>164</v>
      </c>
      <c r="D194" s="1">
        <v>1</v>
      </c>
      <c r="E194" s="8" t="s">
        <v>182</v>
      </c>
      <c r="F194" s="46" t="s">
        <v>617</v>
      </c>
    </row>
    <row r="195" spans="2:6" ht="18" customHeight="1" x14ac:dyDescent="0.25">
      <c r="B195" s="11">
        <v>45261</v>
      </c>
      <c r="C195" s="1" t="s">
        <v>164</v>
      </c>
      <c r="D195" s="1">
        <v>1</v>
      </c>
      <c r="E195" s="8" t="s">
        <v>184</v>
      </c>
      <c r="F195" s="46" t="s">
        <v>618</v>
      </c>
    </row>
    <row r="196" spans="2:6" ht="18" customHeight="1" x14ac:dyDescent="0.25">
      <c r="B196" s="11">
        <v>45261</v>
      </c>
      <c r="C196" s="1" t="s">
        <v>164</v>
      </c>
      <c r="D196" s="1">
        <v>1</v>
      </c>
      <c r="E196" s="8" t="s">
        <v>186</v>
      </c>
      <c r="F196" s="46" t="s">
        <v>619</v>
      </c>
    </row>
    <row r="197" spans="2:6" ht="18" customHeight="1" x14ac:dyDescent="0.25">
      <c r="B197" s="11">
        <v>45261</v>
      </c>
      <c r="C197" s="1" t="s">
        <v>164</v>
      </c>
      <c r="D197" s="1">
        <v>-1</v>
      </c>
      <c r="E197" s="8" t="s">
        <v>188</v>
      </c>
      <c r="F197" s="46" t="s">
        <v>620</v>
      </c>
    </row>
    <row r="198" spans="2:6" ht="18" customHeight="1" x14ac:dyDescent="0.25">
      <c r="B198" s="11">
        <v>45292</v>
      </c>
      <c r="C198" s="1" t="s">
        <v>132</v>
      </c>
      <c r="D198" s="1">
        <v>1</v>
      </c>
      <c r="E198" s="8" t="s">
        <v>136</v>
      </c>
      <c r="F198" s="46" t="s">
        <v>621</v>
      </c>
    </row>
    <row r="199" spans="2:6" ht="18" customHeight="1" x14ac:dyDescent="0.25">
      <c r="B199" s="11">
        <v>45292</v>
      </c>
      <c r="C199" s="1" t="s">
        <v>132</v>
      </c>
      <c r="D199" s="1">
        <v>1</v>
      </c>
      <c r="E199" s="8" t="s">
        <v>137</v>
      </c>
      <c r="F199" s="46" t="s">
        <v>622</v>
      </c>
    </row>
    <row r="200" spans="2:6" ht="18" customHeight="1" x14ac:dyDescent="0.25">
      <c r="B200" s="11">
        <v>45292</v>
      </c>
      <c r="C200" s="1" t="s">
        <v>132</v>
      </c>
      <c r="D200" s="1">
        <v>-1</v>
      </c>
      <c r="E200" s="8" t="s">
        <v>140</v>
      </c>
      <c r="F200" s="46" t="s">
        <v>623</v>
      </c>
    </row>
    <row r="201" spans="2:6" ht="18" customHeight="1" x14ac:dyDescent="0.25">
      <c r="B201" s="11">
        <v>45292</v>
      </c>
      <c r="C201" s="1" t="s">
        <v>132</v>
      </c>
      <c r="D201" s="1">
        <v>-1</v>
      </c>
      <c r="E201" s="8" t="s">
        <v>134</v>
      </c>
      <c r="F201" s="46" t="s">
        <v>624</v>
      </c>
    </row>
    <row r="202" spans="2:6" ht="18" customHeight="1" x14ac:dyDescent="0.25">
      <c r="B202" s="11">
        <v>45292</v>
      </c>
      <c r="C202" s="1" t="s">
        <v>132</v>
      </c>
      <c r="D202" s="1">
        <v>-1</v>
      </c>
      <c r="E202" s="8" t="s">
        <v>142</v>
      </c>
      <c r="F202" s="46" t="s">
        <v>625</v>
      </c>
    </row>
    <row r="203" spans="2:6" ht="18" customHeight="1" x14ac:dyDescent="0.25">
      <c r="B203" s="11">
        <v>45292</v>
      </c>
      <c r="C203" s="1" t="s">
        <v>132</v>
      </c>
      <c r="D203" s="1">
        <v>-1</v>
      </c>
      <c r="E203" s="8" t="s">
        <v>144</v>
      </c>
      <c r="F203" s="46" t="s">
        <v>626</v>
      </c>
    </row>
    <row r="204" spans="2:6" ht="18" customHeight="1" x14ac:dyDescent="0.25">
      <c r="B204" s="11">
        <v>45292</v>
      </c>
      <c r="C204" s="1" t="s">
        <v>132</v>
      </c>
      <c r="D204" s="1">
        <v>-1</v>
      </c>
      <c r="E204" s="8" t="s">
        <v>150</v>
      </c>
      <c r="F204" s="46" t="s">
        <v>627</v>
      </c>
    </row>
    <row r="205" spans="2:6" ht="18" customHeight="1" x14ac:dyDescent="0.25">
      <c r="B205" s="11">
        <v>45292</v>
      </c>
      <c r="C205" s="1" t="s">
        <v>132</v>
      </c>
      <c r="D205" s="1">
        <v>-1</v>
      </c>
      <c r="E205" s="8" t="s">
        <v>152</v>
      </c>
      <c r="F205" s="46" t="s">
        <v>628</v>
      </c>
    </row>
    <row r="206" spans="2:6" ht="18" customHeight="1" x14ac:dyDescent="0.25">
      <c r="B206" s="11">
        <v>45292</v>
      </c>
      <c r="C206" s="1" t="s">
        <v>132</v>
      </c>
      <c r="D206" s="1">
        <v>-1</v>
      </c>
      <c r="E206" s="8" t="s">
        <v>163</v>
      </c>
      <c r="F206" s="46" t="s">
        <v>629</v>
      </c>
    </row>
    <row r="207" spans="2:6" ht="18" customHeight="1" x14ac:dyDescent="0.25">
      <c r="B207" s="11">
        <v>45292</v>
      </c>
      <c r="C207" s="1" t="s">
        <v>132</v>
      </c>
      <c r="D207" s="1">
        <v>1</v>
      </c>
      <c r="E207" s="8" t="s">
        <v>484</v>
      </c>
      <c r="F207" s="46" t="s">
        <v>630</v>
      </c>
    </row>
    <row r="208" spans="2:6" ht="18" customHeight="1" x14ac:dyDescent="0.25">
      <c r="B208" s="11">
        <v>45292</v>
      </c>
      <c r="C208" s="1" t="s">
        <v>164</v>
      </c>
      <c r="D208" s="1">
        <v>1</v>
      </c>
      <c r="E208" s="8" t="s">
        <v>186</v>
      </c>
      <c r="F208" s="46" t="s">
        <v>631</v>
      </c>
    </row>
    <row r="209" spans="2:6" ht="18" customHeight="1" x14ac:dyDescent="0.25">
      <c r="B209" s="11">
        <v>45292</v>
      </c>
      <c r="C209" s="1" t="s">
        <v>164</v>
      </c>
      <c r="D209" s="1">
        <v>1</v>
      </c>
      <c r="E209" s="8" t="s">
        <v>168</v>
      </c>
      <c r="F209" s="46" t="s">
        <v>632</v>
      </c>
    </row>
    <row r="210" spans="2:6" ht="18" customHeight="1" x14ac:dyDescent="0.25">
      <c r="B210" s="11">
        <v>45292</v>
      </c>
      <c r="C210" s="1" t="s">
        <v>164</v>
      </c>
      <c r="D210" s="1">
        <v>1</v>
      </c>
      <c r="E210" s="8" t="s">
        <v>188</v>
      </c>
      <c r="F210" s="46" t="s">
        <v>633</v>
      </c>
    </row>
    <row r="211" spans="2:6" ht="18" customHeight="1" x14ac:dyDescent="0.25">
      <c r="B211" s="11">
        <v>45292</v>
      </c>
      <c r="C211" s="1" t="s">
        <v>164</v>
      </c>
      <c r="D211" s="1">
        <v>-1</v>
      </c>
      <c r="E211" s="8" t="s">
        <v>182</v>
      </c>
      <c r="F211" s="46" t="s">
        <v>634</v>
      </c>
    </row>
    <row r="212" spans="2:6" ht="18" customHeight="1" x14ac:dyDescent="0.25">
      <c r="B212" s="11">
        <v>45292</v>
      </c>
      <c r="C212" s="1" t="s">
        <v>164</v>
      </c>
      <c r="D212" s="1">
        <v>0</v>
      </c>
      <c r="E212" s="8" t="s">
        <v>137</v>
      </c>
      <c r="F212" s="46" t="s">
        <v>635</v>
      </c>
    </row>
    <row r="213" spans="2:6" ht="18" customHeight="1" x14ac:dyDescent="0.25">
      <c r="B213" s="11">
        <v>45292</v>
      </c>
      <c r="C213" s="1" t="s">
        <v>164</v>
      </c>
      <c r="D213" s="1">
        <v>-1</v>
      </c>
      <c r="E213" s="8" t="s">
        <v>192</v>
      </c>
      <c r="F213" s="46" t="s">
        <v>636</v>
      </c>
    </row>
    <row r="214" spans="2:6" ht="18" customHeight="1" x14ac:dyDescent="0.25">
      <c r="B214" s="11">
        <v>45292</v>
      </c>
      <c r="C214" s="1" t="s">
        <v>164</v>
      </c>
      <c r="D214" s="1">
        <v>1</v>
      </c>
      <c r="E214" s="8" t="s">
        <v>178</v>
      </c>
      <c r="F214" s="46" t="s">
        <v>637</v>
      </c>
    </row>
    <row r="215" spans="2:6" ht="18" customHeight="1" x14ac:dyDescent="0.25">
      <c r="B215" s="11">
        <v>45292</v>
      </c>
      <c r="C215" s="1" t="s">
        <v>164</v>
      </c>
      <c r="D215" s="1">
        <v>-1</v>
      </c>
      <c r="E215" s="8" t="s">
        <v>227</v>
      </c>
      <c r="F215" s="46" t="s">
        <v>638</v>
      </c>
    </row>
    <row r="216" spans="2:6" ht="18" customHeight="1" x14ac:dyDescent="0.25">
      <c r="B216" s="11">
        <v>45292</v>
      </c>
      <c r="C216" s="1" t="s">
        <v>164</v>
      </c>
      <c r="D216" s="1">
        <v>1</v>
      </c>
      <c r="E216" s="8" t="s">
        <v>172</v>
      </c>
      <c r="F216" s="46" t="s">
        <v>639</v>
      </c>
    </row>
    <row r="217" spans="2:6" ht="18" customHeight="1" x14ac:dyDescent="0.25">
      <c r="B217" s="11">
        <v>45292</v>
      </c>
      <c r="C217" s="1" t="s">
        <v>164</v>
      </c>
      <c r="D217" s="1">
        <v>-1</v>
      </c>
      <c r="E217" s="8" t="s">
        <v>188</v>
      </c>
      <c r="F217" s="46" t="s">
        <v>640</v>
      </c>
    </row>
    <row r="218" spans="2:6" ht="18" customHeight="1" x14ac:dyDescent="0.25">
      <c r="B218" s="11">
        <v>45323</v>
      </c>
      <c r="C218" s="1" t="s">
        <v>132</v>
      </c>
      <c r="D218" s="1">
        <v>1</v>
      </c>
      <c r="E218" s="8" t="s">
        <v>136</v>
      </c>
      <c r="F218" s="46" t="s">
        <v>641</v>
      </c>
    </row>
    <row r="219" spans="2:6" ht="18" customHeight="1" x14ac:dyDescent="0.25">
      <c r="B219" s="11">
        <v>45323</v>
      </c>
      <c r="C219" s="1" t="s">
        <v>132</v>
      </c>
      <c r="D219" s="1">
        <v>1</v>
      </c>
      <c r="E219" s="8" t="s">
        <v>137</v>
      </c>
      <c r="F219" s="46" t="s">
        <v>642</v>
      </c>
    </row>
    <row r="220" spans="2:6" ht="18" customHeight="1" x14ac:dyDescent="0.25">
      <c r="B220" s="11">
        <v>45323</v>
      </c>
      <c r="C220" s="1" t="s">
        <v>132</v>
      </c>
      <c r="D220" s="1">
        <v>-1</v>
      </c>
      <c r="E220" s="8" t="s">
        <v>140</v>
      </c>
      <c r="F220" s="46" t="s">
        <v>643</v>
      </c>
    </row>
    <row r="221" spans="2:6" ht="18" customHeight="1" x14ac:dyDescent="0.25">
      <c r="B221" s="11">
        <v>45323</v>
      </c>
      <c r="C221" s="1" t="s">
        <v>132</v>
      </c>
      <c r="D221" s="1">
        <v>-1</v>
      </c>
      <c r="E221" s="8" t="s">
        <v>134</v>
      </c>
      <c r="F221" s="46" t="s">
        <v>644</v>
      </c>
    </row>
    <row r="222" spans="2:6" ht="18" customHeight="1" x14ac:dyDescent="0.25">
      <c r="B222" s="11">
        <v>45323</v>
      </c>
      <c r="C222" s="1" t="s">
        <v>132</v>
      </c>
      <c r="D222" s="1">
        <v>-1</v>
      </c>
      <c r="E222" s="8" t="s">
        <v>142</v>
      </c>
      <c r="F222" s="46" t="s">
        <v>645</v>
      </c>
    </row>
    <row r="223" spans="2:6" ht="18" customHeight="1" x14ac:dyDescent="0.25">
      <c r="B223" s="11">
        <v>45323</v>
      </c>
      <c r="C223" s="1" t="s">
        <v>132</v>
      </c>
      <c r="D223" s="1">
        <v>1</v>
      </c>
      <c r="E223" s="8" t="s">
        <v>144</v>
      </c>
      <c r="F223" s="46" t="s">
        <v>646</v>
      </c>
    </row>
    <row r="224" spans="2:6" ht="18" customHeight="1" x14ac:dyDescent="0.25">
      <c r="B224" s="11">
        <v>45323</v>
      </c>
      <c r="C224" s="1" t="s">
        <v>132</v>
      </c>
      <c r="D224" s="1">
        <v>1</v>
      </c>
      <c r="E224" s="8" t="s">
        <v>150</v>
      </c>
      <c r="F224" s="46" t="s">
        <v>647</v>
      </c>
    </row>
    <row r="225" spans="2:6" ht="18" customHeight="1" x14ac:dyDescent="0.25">
      <c r="B225" s="11">
        <v>45323</v>
      </c>
      <c r="C225" s="1" t="s">
        <v>132</v>
      </c>
      <c r="D225" s="1">
        <v>1</v>
      </c>
      <c r="E225" s="8" t="s">
        <v>202</v>
      </c>
      <c r="F225" s="46" t="s">
        <v>648</v>
      </c>
    </row>
    <row r="226" spans="2:6" ht="18" customHeight="1" x14ac:dyDescent="0.25">
      <c r="B226" s="11">
        <v>45323</v>
      </c>
      <c r="C226" s="1" t="s">
        <v>132</v>
      </c>
      <c r="D226" s="1">
        <v>1</v>
      </c>
      <c r="E226" s="8" t="s">
        <v>163</v>
      </c>
      <c r="F226" s="46" t="s">
        <v>649</v>
      </c>
    </row>
    <row r="227" spans="2:6" ht="18" customHeight="1" x14ac:dyDescent="0.25">
      <c r="B227" s="11">
        <v>45323</v>
      </c>
      <c r="C227" s="1" t="s">
        <v>132</v>
      </c>
      <c r="D227" s="1">
        <v>-1</v>
      </c>
      <c r="E227" s="8" t="s">
        <v>152</v>
      </c>
      <c r="F227" s="46" t="s">
        <v>650</v>
      </c>
    </row>
    <row r="228" spans="2:6" ht="18" customHeight="1" x14ac:dyDescent="0.25">
      <c r="B228" s="11">
        <v>45346</v>
      </c>
      <c r="C228" s="1" t="s">
        <v>164</v>
      </c>
      <c r="D228" s="1">
        <v>1</v>
      </c>
      <c r="E228" s="8" t="s">
        <v>166</v>
      </c>
      <c r="F228" s="46" t="s">
        <v>651</v>
      </c>
    </row>
    <row r="229" spans="2:6" ht="18" customHeight="1" x14ac:dyDescent="0.25">
      <c r="B229" s="11">
        <v>45346</v>
      </c>
      <c r="C229" s="1" t="s">
        <v>164</v>
      </c>
      <c r="D229" s="1">
        <v>1</v>
      </c>
      <c r="E229" s="8" t="s">
        <v>168</v>
      </c>
      <c r="F229" s="46" t="s">
        <v>652</v>
      </c>
    </row>
    <row r="230" spans="2:6" ht="18" customHeight="1" x14ac:dyDescent="0.25">
      <c r="B230" s="11">
        <v>45346</v>
      </c>
      <c r="C230" s="1" t="s">
        <v>164</v>
      </c>
      <c r="D230" s="1">
        <v>1</v>
      </c>
      <c r="E230" s="8" t="s">
        <v>172</v>
      </c>
      <c r="F230" s="46" t="s">
        <v>653</v>
      </c>
    </row>
    <row r="231" spans="2:6" ht="18" customHeight="1" x14ac:dyDescent="0.25">
      <c r="B231" s="11">
        <v>45346</v>
      </c>
      <c r="C231" s="1" t="s">
        <v>164</v>
      </c>
      <c r="D231" s="1">
        <v>1</v>
      </c>
      <c r="E231" s="8" t="s">
        <v>176</v>
      </c>
      <c r="F231" s="46" t="s">
        <v>654</v>
      </c>
    </row>
    <row r="232" spans="2:6" ht="18" customHeight="1" x14ac:dyDescent="0.25">
      <c r="B232" s="11">
        <v>45346</v>
      </c>
      <c r="C232" s="1" t="s">
        <v>164</v>
      </c>
      <c r="D232" s="1">
        <v>-1</v>
      </c>
      <c r="E232" s="8" t="s">
        <v>467</v>
      </c>
      <c r="F232" s="46" t="s">
        <v>655</v>
      </c>
    </row>
    <row r="233" spans="2:6" ht="18" customHeight="1" x14ac:dyDescent="0.25">
      <c r="B233" s="11">
        <v>45346</v>
      </c>
      <c r="C233" s="1" t="s">
        <v>164</v>
      </c>
      <c r="D233" s="1">
        <v>1</v>
      </c>
      <c r="E233" s="8" t="s">
        <v>178</v>
      </c>
      <c r="F233" s="46" t="s">
        <v>656</v>
      </c>
    </row>
    <row r="234" spans="2:6" ht="18" customHeight="1" x14ac:dyDescent="0.25">
      <c r="B234" s="11">
        <v>45346</v>
      </c>
      <c r="C234" s="1" t="s">
        <v>164</v>
      </c>
      <c r="D234" s="1">
        <v>1</v>
      </c>
      <c r="E234" s="8" t="s">
        <v>180</v>
      </c>
      <c r="F234" s="46" t="s">
        <v>657</v>
      </c>
    </row>
    <row r="235" spans="2:6" ht="18" customHeight="1" x14ac:dyDescent="0.25">
      <c r="B235" s="11">
        <v>45346</v>
      </c>
      <c r="C235" s="1" t="s">
        <v>164</v>
      </c>
      <c r="D235" s="1">
        <v>-1</v>
      </c>
      <c r="E235" s="8" t="s">
        <v>182</v>
      </c>
      <c r="F235" s="46" t="s">
        <v>658</v>
      </c>
    </row>
    <row r="236" spans="2:6" ht="18" customHeight="1" x14ac:dyDescent="0.25">
      <c r="B236" s="11">
        <v>45346</v>
      </c>
      <c r="C236" s="1" t="s">
        <v>164</v>
      </c>
      <c r="D236" s="1">
        <v>1</v>
      </c>
      <c r="E236" s="8" t="s">
        <v>186</v>
      </c>
      <c r="F236" s="46" t="s">
        <v>659</v>
      </c>
    </row>
    <row r="237" spans="2:6" ht="18" customHeight="1" x14ac:dyDescent="0.25">
      <c r="B237" s="11">
        <v>45346</v>
      </c>
      <c r="C237" s="1" t="s">
        <v>164</v>
      </c>
      <c r="D237" s="1">
        <v>1</v>
      </c>
      <c r="E237" s="8" t="s">
        <v>188</v>
      </c>
      <c r="F237" s="46" t="s">
        <v>660</v>
      </c>
    </row>
    <row r="238" spans="2:6" ht="18" customHeight="1" x14ac:dyDescent="0.25">
      <c r="B238" s="11">
        <v>45352</v>
      </c>
      <c r="C238" s="1" t="s">
        <v>132</v>
      </c>
      <c r="D238" s="1">
        <v>1</v>
      </c>
      <c r="E238" s="8" t="s">
        <v>136</v>
      </c>
      <c r="F238" s="46" t="s">
        <v>661</v>
      </c>
    </row>
    <row r="239" spans="2:6" ht="18" customHeight="1" x14ac:dyDescent="0.25">
      <c r="B239" s="11">
        <v>45352</v>
      </c>
      <c r="C239" s="1" t="s">
        <v>132</v>
      </c>
      <c r="D239" s="1">
        <v>1</v>
      </c>
      <c r="E239" s="8" t="s">
        <v>137</v>
      </c>
      <c r="F239" s="46" t="s">
        <v>662</v>
      </c>
    </row>
    <row r="240" spans="2:6" ht="18" customHeight="1" x14ac:dyDescent="0.25">
      <c r="B240" s="11">
        <v>45352</v>
      </c>
      <c r="C240" s="1" t="s">
        <v>132</v>
      </c>
      <c r="D240" s="1">
        <v>1</v>
      </c>
      <c r="E240" s="8" t="s">
        <v>140</v>
      </c>
      <c r="F240" s="46" t="s">
        <v>663</v>
      </c>
    </row>
    <row r="241" spans="2:6" ht="18" customHeight="1" x14ac:dyDescent="0.25">
      <c r="B241" s="11">
        <v>45352</v>
      </c>
      <c r="C241" s="1" t="s">
        <v>132</v>
      </c>
      <c r="D241" s="1">
        <v>-1</v>
      </c>
      <c r="E241" s="8" t="s">
        <v>134</v>
      </c>
      <c r="F241" s="46" t="s">
        <v>664</v>
      </c>
    </row>
    <row r="242" spans="2:6" ht="18" customHeight="1" x14ac:dyDescent="0.25">
      <c r="B242" s="11">
        <v>45352</v>
      </c>
      <c r="C242" s="1" t="s">
        <v>132</v>
      </c>
      <c r="D242" s="1">
        <v>-1</v>
      </c>
      <c r="E242" s="8" t="s">
        <v>142</v>
      </c>
      <c r="F242" s="46" t="s">
        <v>665</v>
      </c>
    </row>
    <row r="243" spans="2:6" ht="18" customHeight="1" x14ac:dyDescent="0.25">
      <c r="B243" s="11">
        <v>45352</v>
      </c>
      <c r="C243" s="1" t="s">
        <v>132</v>
      </c>
      <c r="D243" s="1">
        <v>1</v>
      </c>
      <c r="E243" s="8" t="s">
        <v>144</v>
      </c>
      <c r="F243" s="46" t="s">
        <v>666</v>
      </c>
    </row>
    <row r="244" spans="2:6" ht="18" customHeight="1" x14ac:dyDescent="0.25">
      <c r="B244" s="11">
        <v>45352</v>
      </c>
      <c r="C244" s="1" t="s">
        <v>132</v>
      </c>
      <c r="D244" s="1">
        <v>1</v>
      </c>
      <c r="E244" s="8" t="s">
        <v>203</v>
      </c>
      <c r="F244" s="46" t="s">
        <v>667</v>
      </c>
    </row>
    <row r="245" spans="2:6" ht="18" customHeight="1" x14ac:dyDescent="0.25">
      <c r="B245" s="11">
        <v>45352</v>
      </c>
      <c r="C245" s="1" t="s">
        <v>132</v>
      </c>
      <c r="D245" s="1">
        <v>1</v>
      </c>
      <c r="E245" s="8" t="s">
        <v>201</v>
      </c>
      <c r="F245" s="46" t="s">
        <v>668</v>
      </c>
    </row>
    <row r="246" spans="2:6" ht="18" customHeight="1" x14ac:dyDescent="0.25">
      <c r="B246" s="11">
        <v>45352</v>
      </c>
      <c r="C246" s="1" t="s">
        <v>132</v>
      </c>
      <c r="D246" s="1">
        <v>1</v>
      </c>
      <c r="E246" s="8" t="s">
        <v>163</v>
      </c>
      <c r="F246" s="46" t="s">
        <v>669</v>
      </c>
    </row>
    <row r="247" spans="2:6" ht="18" customHeight="1" x14ac:dyDescent="0.25">
      <c r="B247" s="11">
        <v>45352</v>
      </c>
      <c r="C247" s="1" t="s">
        <v>132</v>
      </c>
      <c r="D247" s="1">
        <v>0</v>
      </c>
      <c r="E247" s="8" t="s">
        <v>485</v>
      </c>
      <c r="F247" s="46" t="s">
        <v>670</v>
      </c>
    </row>
    <row r="248" spans="2:6" ht="18" customHeight="1" x14ac:dyDescent="0.25">
      <c r="B248" s="11">
        <v>45352</v>
      </c>
      <c r="C248" s="1" t="s">
        <v>164</v>
      </c>
      <c r="D248" s="1">
        <v>1</v>
      </c>
      <c r="E248" s="8" t="s">
        <v>166</v>
      </c>
      <c r="F248" s="46" t="s">
        <v>671</v>
      </c>
    </row>
    <row r="249" spans="2:6" ht="18" customHeight="1" x14ac:dyDescent="0.25">
      <c r="B249" s="11">
        <v>45352</v>
      </c>
      <c r="C249" s="1" t="s">
        <v>164</v>
      </c>
      <c r="D249" s="1">
        <v>1</v>
      </c>
      <c r="E249" s="8" t="s">
        <v>226</v>
      </c>
      <c r="F249" s="46" t="s">
        <v>672</v>
      </c>
    </row>
    <row r="250" spans="2:6" ht="18" customHeight="1" x14ac:dyDescent="0.25">
      <c r="B250" s="11">
        <v>45352</v>
      </c>
      <c r="C250" s="1" t="s">
        <v>164</v>
      </c>
      <c r="D250" s="1">
        <v>1</v>
      </c>
      <c r="E250" s="8" t="s">
        <v>168</v>
      </c>
      <c r="F250" s="46" t="s">
        <v>673</v>
      </c>
    </row>
    <row r="251" spans="2:6" ht="18" customHeight="1" x14ac:dyDescent="0.25">
      <c r="B251" s="11">
        <v>45352</v>
      </c>
      <c r="C251" s="1" t="s">
        <v>164</v>
      </c>
      <c r="D251" s="1">
        <v>1</v>
      </c>
      <c r="E251" s="8" t="s">
        <v>170</v>
      </c>
      <c r="F251" s="46" t="s">
        <v>674</v>
      </c>
    </row>
    <row r="252" spans="2:6" ht="18" customHeight="1" x14ac:dyDescent="0.25">
      <c r="B252" s="11">
        <v>45352</v>
      </c>
      <c r="C252" s="1" t="s">
        <v>164</v>
      </c>
      <c r="D252" s="1">
        <v>1</v>
      </c>
      <c r="E252" s="8" t="s">
        <v>192</v>
      </c>
      <c r="F252" s="46" t="s">
        <v>675</v>
      </c>
    </row>
    <row r="253" spans="2:6" ht="18" customHeight="1" x14ac:dyDescent="0.25">
      <c r="B253" s="11">
        <v>45352</v>
      </c>
      <c r="C253" s="1" t="s">
        <v>164</v>
      </c>
      <c r="D253" s="1">
        <v>1</v>
      </c>
      <c r="E253" s="8" t="s">
        <v>172</v>
      </c>
      <c r="F253" s="46" t="s">
        <v>676</v>
      </c>
    </row>
    <row r="254" spans="2:6" ht="18" customHeight="1" x14ac:dyDescent="0.25">
      <c r="B254" s="11">
        <v>45352</v>
      </c>
      <c r="C254" s="1" t="s">
        <v>164</v>
      </c>
      <c r="D254" s="1">
        <v>-1</v>
      </c>
      <c r="E254" s="8" t="s">
        <v>467</v>
      </c>
      <c r="F254" s="46" t="s">
        <v>677</v>
      </c>
    </row>
    <row r="255" spans="2:6" ht="18" customHeight="1" x14ac:dyDescent="0.25">
      <c r="B255" s="11">
        <v>45352</v>
      </c>
      <c r="C255" s="1" t="s">
        <v>164</v>
      </c>
      <c r="D255" s="1">
        <v>1</v>
      </c>
      <c r="E255" s="8" t="s">
        <v>178</v>
      </c>
      <c r="F255" s="46" t="s">
        <v>678</v>
      </c>
    </row>
    <row r="256" spans="2:6" ht="18" customHeight="1" x14ac:dyDescent="0.25">
      <c r="B256" s="11">
        <v>45352</v>
      </c>
      <c r="C256" s="1" t="s">
        <v>164</v>
      </c>
      <c r="D256" s="1">
        <v>1</v>
      </c>
      <c r="E256" s="8" t="s">
        <v>182</v>
      </c>
      <c r="F256" s="46" t="s">
        <v>679</v>
      </c>
    </row>
    <row r="257" spans="2:6" ht="18" customHeight="1" x14ac:dyDescent="0.25">
      <c r="B257" s="11">
        <v>45352</v>
      </c>
      <c r="C257" s="1" t="s">
        <v>164</v>
      </c>
      <c r="D257" s="1">
        <v>1</v>
      </c>
      <c r="E257" s="8" t="s">
        <v>186</v>
      </c>
      <c r="F257" s="46" t="s">
        <v>680</v>
      </c>
    </row>
    <row r="258" spans="2:6" ht="18" customHeight="1" x14ac:dyDescent="0.25">
      <c r="B258" s="11">
        <v>45383</v>
      </c>
      <c r="C258" s="1" t="s">
        <v>132</v>
      </c>
      <c r="D258" s="1">
        <v>1</v>
      </c>
      <c r="E258" s="8" t="s">
        <v>136</v>
      </c>
      <c r="F258" s="46" t="s">
        <v>681</v>
      </c>
    </row>
    <row r="259" spans="2:6" ht="18" customHeight="1" x14ac:dyDescent="0.25">
      <c r="B259" s="11">
        <v>45383</v>
      </c>
      <c r="C259" s="1" t="s">
        <v>132</v>
      </c>
      <c r="D259" s="1">
        <v>1</v>
      </c>
      <c r="E259" s="8" t="s">
        <v>137</v>
      </c>
      <c r="F259" s="46" t="s">
        <v>682</v>
      </c>
    </row>
    <row r="260" spans="2:6" ht="18" customHeight="1" x14ac:dyDescent="0.25">
      <c r="B260" s="11">
        <v>45383</v>
      </c>
      <c r="C260" s="1" t="s">
        <v>132</v>
      </c>
      <c r="D260" s="1">
        <v>-1</v>
      </c>
      <c r="E260" s="8" t="s">
        <v>140</v>
      </c>
      <c r="F260" s="46" t="s">
        <v>683</v>
      </c>
    </row>
    <row r="261" spans="2:6" ht="18" customHeight="1" x14ac:dyDescent="0.25">
      <c r="B261" s="11">
        <v>45383</v>
      </c>
      <c r="C261" s="1" t="s">
        <v>132</v>
      </c>
      <c r="D261" s="1">
        <v>0</v>
      </c>
      <c r="E261" s="8" t="s">
        <v>134</v>
      </c>
      <c r="F261" s="46" t="s">
        <v>684</v>
      </c>
    </row>
    <row r="262" spans="2:6" ht="18" customHeight="1" x14ac:dyDescent="0.25">
      <c r="B262" s="11">
        <v>45383</v>
      </c>
      <c r="C262" s="1" t="s">
        <v>132</v>
      </c>
      <c r="D262" s="1">
        <v>-1</v>
      </c>
      <c r="E262" s="8" t="s">
        <v>142</v>
      </c>
      <c r="F262" s="46" t="s">
        <v>685</v>
      </c>
    </row>
    <row r="263" spans="2:6" ht="18" customHeight="1" x14ac:dyDescent="0.25">
      <c r="B263" s="11">
        <v>45383</v>
      </c>
      <c r="C263" s="1" t="s">
        <v>132</v>
      </c>
      <c r="D263" s="1">
        <v>-1</v>
      </c>
      <c r="E263" s="8" t="s">
        <v>144</v>
      </c>
      <c r="F263" s="46" t="s">
        <v>686</v>
      </c>
    </row>
    <row r="264" spans="2:6" ht="18" customHeight="1" x14ac:dyDescent="0.25">
      <c r="B264" s="11">
        <v>45383</v>
      </c>
      <c r="C264" s="1" t="s">
        <v>132</v>
      </c>
      <c r="D264" s="1">
        <v>1</v>
      </c>
      <c r="E264" s="8" t="s">
        <v>152</v>
      </c>
      <c r="F264" s="46" t="s">
        <v>687</v>
      </c>
    </row>
    <row r="265" spans="2:6" ht="18" customHeight="1" x14ac:dyDescent="0.25">
      <c r="B265" s="11">
        <v>45383</v>
      </c>
      <c r="C265" s="1" t="s">
        <v>132</v>
      </c>
      <c r="D265" s="1">
        <v>1</v>
      </c>
      <c r="E265" s="8" t="s">
        <v>202</v>
      </c>
      <c r="F265" s="46" t="s">
        <v>688</v>
      </c>
    </row>
    <row r="266" spans="2:6" ht="18" customHeight="1" x14ac:dyDescent="0.25">
      <c r="B266" s="11">
        <v>45383</v>
      </c>
      <c r="C266" s="1" t="s">
        <v>132</v>
      </c>
      <c r="D266" s="1">
        <v>1</v>
      </c>
      <c r="E266" s="8" t="s">
        <v>148</v>
      </c>
      <c r="F266" s="46" t="s">
        <v>689</v>
      </c>
    </row>
    <row r="267" spans="2:6" ht="18" customHeight="1" x14ac:dyDescent="0.25">
      <c r="B267" s="11">
        <v>45383</v>
      </c>
      <c r="C267" s="1" t="s">
        <v>132</v>
      </c>
      <c r="D267" s="1">
        <v>1</v>
      </c>
      <c r="E267" s="8" t="s">
        <v>163</v>
      </c>
      <c r="F267" s="46" t="s">
        <v>690</v>
      </c>
    </row>
    <row r="268" spans="2:6" ht="18" customHeight="1" x14ac:dyDescent="0.25">
      <c r="B268" s="11">
        <v>45383</v>
      </c>
      <c r="C268" s="1" t="s">
        <v>164</v>
      </c>
      <c r="D268" s="1">
        <v>1</v>
      </c>
      <c r="E268" s="8" t="s">
        <v>166</v>
      </c>
      <c r="F268" s="46" t="s">
        <v>691</v>
      </c>
    </row>
    <row r="269" spans="2:6" ht="18" customHeight="1" x14ac:dyDescent="0.25">
      <c r="B269" s="11">
        <v>45383</v>
      </c>
      <c r="C269" s="1" t="s">
        <v>164</v>
      </c>
      <c r="D269" s="1">
        <v>-1</v>
      </c>
      <c r="E269" s="8" t="s">
        <v>227</v>
      </c>
      <c r="F269" s="46" t="s">
        <v>692</v>
      </c>
    </row>
    <row r="270" spans="2:6" ht="18" customHeight="1" x14ac:dyDescent="0.25">
      <c r="B270" s="11">
        <v>45383</v>
      </c>
      <c r="C270" s="1" t="s">
        <v>164</v>
      </c>
      <c r="D270" s="1">
        <v>1</v>
      </c>
      <c r="E270" s="8" t="s">
        <v>168</v>
      </c>
      <c r="F270" s="46" t="s">
        <v>693</v>
      </c>
    </row>
    <row r="271" spans="2:6" ht="18" customHeight="1" x14ac:dyDescent="0.25">
      <c r="B271" s="11">
        <v>45383</v>
      </c>
      <c r="C271" s="1" t="s">
        <v>164</v>
      </c>
      <c r="D271" s="1">
        <v>1</v>
      </c>
      <c r="E271" s="8" t="s">
        <v>180</v>
      </c>
      <c r="F271" s="46" t="s">
        <v>694</v>
      </c>
    </row>
    <row r="272" spans="2:6" ht="18" customHeight="1" x14ac:dyDescent="0.25">
      <c r="B272" s="11">
        <v>45383</v>
      </c>
      <c r="C272" s="1" t="s">
        <v>164</v>
      </c>
      <c r="D272" s="1">
        <v>1</v>
      </c>
      <c r="E272" s="8" t="s">
        <v>172</v>
      </c>
      <c r="F272" s="46" t="s">
        <v>695</v>
      </c>
    </row>
    <row r="273" spans="2:6" ht="18" customHeight="1" x14ac:dyDescent="0.25">
      <c r="B273" s="11">
        <v>45383</v>
      </c>
      <c r="C273" s="1" t="s">
        <v>164</v>
      </c>
      <c r="D273" s="1">
        <v>-1</v>
      </c>
      <c r="E273" s="8" t="s">
        <v>174</v>
      </c>
      <c r="F273" s="46" t="s">
        <v>696</v>
      </c>
    </row>
    <row r="274" spans="2:6" ht="18" customHeight="1" x14ac:dyDescent="0.25">
      <c r="B274" s="11">
        <v>45383</v>
      </c>
      <c r="C274" s="1" t="s">
        <v>164</v>
      </c>
      <c r="D274" s="1">
        <v>1</v>
      </c>
      <c r="E274" s="8" t="s">
        <v>176</v>
      </c>
      <c r="F274" s="46" t="s">
        <v>697</v>
      </c>
    </row>
    <row r="275" spans="2:6" ht="18" customHeight="1" x14ac:dyDescent="0.25">
      <c r="B275" s="11">
        <v>45383</v>
      </c>
      <c r="C275" s="1" t="s">
        <v>164</v>
      </c>
      <c r="D275" s="1">
        <v>1</v>
      </c>
      <c r="E275" s="8" t="s">
        <v>186</v>
      </c>
      <c r="F275" s="46" t="s">
        <v>698</v>
      </c>
    </row>
    <row r="276" spans="2:6" ht="18" customHeight="1" x14ac:dyDescent="0.25">
      <c r="B276" s="11">
        <v>45383</v>
      </c>
      <c r="C276" s="1" t="s">
        <v>164</v>
      </c>
      <c r="D276" s="1">
        <v>-1</v>
      </c>
      <c r="E276" s="8" t="s">
        <v>188</v>
      </c>
      <c r="F276" s="46" t="s">
        <v>699</v>
      </c>
    </row>
    <row r="277" spans="2:6" ht="18" customHeight="1" x14ac:dyDescent="0.25">
      <c r="B277" s="11">
        <v>45383</v>
      </c>
      <c r="C277" s="1" t="s">
        <v>164</v>
      </c>
      <c r="D277" s="1">
        <v>1</v>
      </c>
      <c r="E277" s="8" t="s">
        <v>182</v>
      </c>
      <c r="F277" s="46" t="s">
        <v>700</v>
      </c>
    </row>
    <row r="278" spans="2:6" ht="18" customHeight="1" x14ac:dyDescent="0.25">
      <c r="B278" s="11">
        <v>45413</v>
      </c>
      <c r="C278" s="1" t="s">
        <v>132</v>
      </c>
      <c r="D278" s="1">
        <v>1</v>
      </c>
      <c r="E278" s="8" t="s">
        <v>136</v>
      </c>
      <c r="F278" s="46" t="s">
        <v>701</v>
      </c>
    </row>
    <row r="279" spans="2:6" ht="18" customHeight="1" x14ac:dyDescent="0.25">
      <c r="B279" s="11">
        <v>45413</v>
      </c>
      <c r="C279" s="1" t="s">
        <v>132</v>
      </c>
      <c r="D279" s="1">
        <v>-1</v>
      </c>
      <c r="E279" s="8" t="s">
        <v>137</v>
      </c>
      <c r="F279" s="46" t="s">
        <v>702</v>
      </c>
    </row>
    <row r="280" spans="2:6" ht="18" customHeight="1" x14ac:dyDescent="0.25">
      <c r="B280" s="11">
        <v>45413</v>
      </c>
      <c r="C280" s="1" t="s">
        <v>132</v>
      </c>
      <c r="D280" s="1">
        <v>-1</v>
      </c>
      <c r="E280" s="8" t="s">
        <v>140</v>
      </c>
      <c r="F280" s="46" t="s">
        <v>703</v>
      </c>
    </row>
    <row r="281" spans="2:6" ht="18" customHeight="1" x14ac:dyDescent="0.25">
      <c r="B281" s="11">
        <v>45413</v>
      </c>
      <c r="C281" s="1" t="s">
        <v>132</v>
      </c>
      <c r="D281" s="1">
        <v>-1</v>
      </c>
      <c r="E281" s="8" t="s">
        <v>134</v>
      </c>
      <c r="F281" s="46" t="s">
        <v>704</v>
      </c>
    </row>
    <row r="282" spans="2:6" ht="18" customHeight="1" x14ac:dyDescent="0.25">
      <c r="B282" s="11">
        <v>45413</v>
      </c>
      <c r="C282" s="1" t="s">
        <v>132</v>
      </c>
      <c r="D282" s="1">
        <v>-1</v>
      </c>
      <c r="E282" s="8" t="s">
        <v>142</v>
      </c>
      <c r="F282" s="46" t="s">
        <v>705</v>
      </c>
    </row>
    <row r="283" spans="2:6" ht="18" customHeight="1" x14ac:dyDescent="0.25">
      <c r="B283" s="11">
        <v>45413</v>
      </c>
      <c r="C283" s="1" t="s">
        <v>132</v>
      </c>
      <c r="D283" s="1">
        <v>1</v>
      </c>
      <c r="E283" s="8" t="s">
        <v>144</v>
      </c>
      <c r="F283" s="46" t="s">
        <v>706</v>
      </c>
    </row>
    <row r="284" spans="2:6" ht="18" customHeight="1" x14ac:dyDescent="0.25">
      <c r="B284" s="11">
        <v>45413</v>
      </c>
      <c r="C284" s="1" t="s">
        <v>132</v>
      </c>
      <c r="D284" s="1">
        <v>0</v>
      </c>
      <c r="E284" s="8" t="s">
        <v>152</v>
      </c>
      <c r="F284" s="46" t="s">
        <v>707</v>
      </c>
    </row>
    <row r="285" spans="2:6" ht="18" customHeight="1" x14ac:dyDescent="0.25">
      <c r="B285" s="11">
        <v>45413</v>
      </c>
      <c r="C285" s="1" t="s">
        <v>132</v>
      </c>
      <c r="D285" s="1">
        <v>-1</v>
      </c>
      <c r="E285" s="8" t="s">
        <v>146</v>
      </c>
      <c r="F285" s="46" t="s">
        <v>708</v>
      </c>
    </row>
    <row r="286" spans="2:6" ht="18" customHeight="1" x14ac:dyDescent="0.25">
      <c r="B286" s="11">
        <v>45413</v>
      </c>
      <c r="C286" s="1" t="s">
        <v>132</v>
      </c>
      <c r="D286" s="1">
        <v>1</v>
      </c>
      <c r="E286" s="8" t="s">
        <v>201</v>
      </c>
      <c r="F286" s="46" t="s">
        <v>709</v>
      </c>
    </row>
    <row r="287" spans="2:6" ht="18" customHeight="1" x14ac:dyDescent="0.25">
      <c r="B287" s="11">
        <v>45413</v>
      </c>
      <c r="C287" s="1" t="s">
        <v>132</v>
      </c>
      <c r="D287" s="1">
        <v>1</v>
      </c>
      <c r="E287" s="8" t="s">
        <v>163</v>
      </c>
      <c r="F287" s="46" t="s">
        <v>710</v>
      </c>
    </row>
    <row r="288" spans="2:6" ht="18" customHeight="1" x14ac:dyDescent="0.25">
      <c r="B288" s="11">
        <v>45413</v>
      </c>
      <c r="C288" s="1" t="s">
        <v>164</v>
      </c>
      <c r="D288" s="1">
        <v>-1</v>
      </c>
      <c r="E288" s="8" t="s">
        <v>166</v>
      </c>
      <c r="F288" s="46" t="s">
        <v>711</v>
      </c>
    </row>
    <row r="289" spans="2:6" ht="18" customHeight="1" x14ac:dyDescent="0.25">
      <c r="B289" s="11">
        <v>45413</v>
      </c>
      <c r="C289" s="1" t="s">
        <v>164</v>
      </c>
      <c r="D289" s="1">
        <v>-1</v>
      </c>
      <c r="E289" s="8" t="s">
        <v>226</v>
      </c>
      <c r="F289" s="46" t="s">
        <v>712</v>
      </c>
    </row>
    <row r="290" spans="2:6" ht="18" customHeight="1" x14ac:dyDescent="0.25">
      <c r="B290" s="11">
        <v>45413</v>
      </c>
      <c r="C290" s="1" t="s">
        <v>164</v>
      </c>
      <c r="D290" s="1">
        <v>1</v>
      </c>
      <c r="E290" s="8" t="s">
        <v>168</v>
      </c>
      <c r="F290" s="46" t="s">
        <v>713</v>
      </c>
    </row>
    <row r="291" spans="2:6" ht="18" customHeight="1" x14ac:dyDescent="0.25">
      <c r="B291" s="11">
        <v>45413</v>
      </c>
      <c r="C291" s="1" t="s">
        <v>164</v>
      </c>
      <c r="D291" s="1">
        <v>1</v>
      </c>
      <c r="E291" s="8" t="s">
        <v>172</v>
      </c>
      <c r="F291" s="46" t="s">
        <v>714</v>
      </c>
    </row>
    <row r="292" spans="2:6" ht="18" customHeight="1" x14ac:dyDescent="0.25">
      <c r="B292" s="11">
        <v>45413</v>
      </c>
      <c r="C292" s="1" t="s">
        <v>164</v>
      </c>
      <c r="D292" s="1">
        <v>1</v>
      </c>
      <c r="E292" s="8" t="s">
        <v>176</v>
      </c>
      <c r="F292" s="46" t="s">
        <v>715</v>
      </c>
    </row>
    <row r="293" spans="2:6" ht="18" customHeight="1" x14ac:dyDescent="0.25">
      <c r="B293" s="11">
        <v>45413</v>
      </c>
      <c r="C293" s="1" t="s">
        <v>164</v>
      </c>
      <c r="D293" s="1">
        <v>1</v>
      </c>
      <c r="E293" s="8" t="s">
        <v>178</v>
      </c>
      <c r="F293" s="46" t="s">
        <v>716</v>
      </c>
    </row>
    <row r="294" spans="2:6" ht="18" customHeight="1" x14ac:dyDescent="0.25">
      <c r="B294" s="11">
        <v>45413</v>
      </c>
      <c r="C294" s="1" t="s">
        <v>164</v>
      </c>
      <c r="D294" s="1">
        <v>1</v>
      </c>
      <c r="E294" s="8" t="s">
        <v>180</v>
      </c>
      <c r="F294" s="46" t="s">
        <v>717</v>
      </c>
    </row>
    <row r="295" spans="2:6" ht="18" customHeight="1" x14ac:dyDescent="0.25">
      <c r="B295" s="11">
        <v>45413</v>
      </c>
      <c r="C295" s="1" t="s">
        <v>164</v>
      </c>
      <c r="D295" s="1">
        <v>-1</v>
      </c>
      <c r="E295" s="8" t="s">
        <v>182</v>
      </c>
      <c r="F295" s="46" t="s">
        <v>718</v>
      </c>
    </row>
    <row r="296" spans="2:6" ht="18" customHeight="1" x14ac:dyDescent="0.25">
      <c r="B296" s="11">
        <v>45413</v>
      </c>
      <c r="C296" s="1" t="s">
        <v>164</v>
      </c>
      <c r="D296" s="1">
        <v>1</v>
      </c>
      <c r="E296" s="8" t="s">
        <v>184</v>
      </c>
      <c r="F296" s="46" t="s">
        <v>719</v>
      </c>
    </row>
    <row r="297" spans="2:6" ht="18" customHeight="1" x14ac:dyDescent="0.25">
      <c r="B297" s="11">
        <v>45413</v>
      </c>
      <c r="C297" s="1" t="s">
        <v>164</v>
      </c>
      <c r="D297" s="1">
        <v>1</v>
      </c>
      <c r="E297" s="8" t="s">
        <v>186</v>
      </c>
      <c r="F297" s="46" t="s">
        <v>720</v>
      </c>
    </row>
    <row r="298" spans="2:6" ht="18" customHeight="1" x14ac:dyDescent="0.25">
      <c r="B298" s="11">
        <v>45413</v>
      </c>
      <c r="C298" s="1" t="s">
        <v>164</v>
      </c>
      <c r="D298" s="1">
        <v>1</v>
      </c>
      <c r="E298" s="8" t="s">
        <v>188</v>
      </c>
      <c r="F298" s="46" t="s">
        <v>721</v>
      </c>
    </row>
    <row r="299" spans="2:6" ht="16.5" customHeight="1" x14ac:dyDescent="0.25">
      <c r="B299" s="11">
        <v>45444</v>
      </c>
      <c r="C299" s="1" t="s">
        <v>132</v>
      </c>
      <c r="D299" s="1">
        <v>1</v>
      </c>
      <c r="E299" s="8" t="s">
        <v>136</v>
      </c>
      <c r="F299" s="46" t="s">
        <v>722</v>
      </c>
    </row>
    <row r="300" spans="2:6" ht="16.5" customHeight="1" x14ac:dyDescent="0.25">
      <c r="B300" s="11">
        <v>45444</v>
      </c>
      <c r="C300" s="1" t="s">
        <v>132</v>
      </c>
      <c r="D300" s="1">
        <v>-1</v>
      </c>
      <c r="E300" s="8" t="s">
        <v>137</v>
      </c>
      <c r="F300" s="46" t="s">
        <v>723</v>
      </c>
    </row>
    <row r="301" spans="2:6" ht="16.5" customHeight="1" x14ac:dyDescent="0.25">
      <c r="B301" s="11">
        <v>45444</v>
      </c>
      <c r="C301" s="1" t="s">
        <v>132</v>
      </c>
      <c r="D301" s="1">
        <v>-1</v>
      </c>
      <c r="E301" s="8" t="s">
        <v>140</v>
      </c>
      <c r="F301" s="46" t="s">
        <v>724</v>
      </c>
    </row>
    <row r="302" spans="2:6" ht="16.5" customHeight="1" x14ac:dyDescent="0.25">
      <c r="B302" s="11">
        <v>45444</v>
      </c>
      <c r="C302" s="1" t="s">
        <v>132</v>
      </c>
      <c r="D302" s="1">
        <v>-1</v>
      </c>
      <c r="E302" s="8" t="s">
        <v>134</v>
      </c>
      <c r="F302" s="46" t="s">
        <v>725</v>
      </c>
    </row>
    <row r="303" spans="2:6" ht="16.5" customHeight="1" x14ac:dyDescent="0.25">
      <c r="B303" s="11">
        <v>45444</v>
      </c>
      <c r="C303" s="1" t="s">
        <v>132</v>
      </c>
      <c r="D303" s="1">
        <v>-1</v>
      </c>
      <c r="E303" s="8" t="s">
        <v>152</v>
      </c>
      <c r="F303" s="46" t="s">
        <v>726</v>
      </c>
    </row>
    <row r="304" spans="2:6" ht="16.5" customHeight="1" x14ac:dyDescent="0.25">
      <c r="B304" s="11">
        <v>45444</v>
      </c>
      <c r="C304" s="1" t="s">
        <v>132</v>
      </c>
      <c r="D304" s="1">
        <v>-1</v>
      </c>
      <c r="E304" s="8" t="s">
        <v>144</v>
      </c>
      <c r="F304" s="46" t="s">
        <v>727</v>
      </c>
    </row>
    <row r="305" spans="2:6" ht="16.5" customHeight="1" x14ac:dyDescent="0.25">
      <c r="B305" s="11">
        <v>45444</v>
      </c>
      <c r="C305" s="1" t="s">
        <v>132</v>
      </c>
      <c r="D305" s="1">
        <v>-1</v>
      </c>
      <c r="E305" s="8" t="s">
        <v>142</v>
      </c>
      <c r="F305" s="46" t="s">
        <v>728</v>
      </c>
    </row>
    <row r="306" spans="2:6" ht="16.5" customHeight="1" x14ac:dyDescent="0.25">
      <c r="B306" s="11">
        <v>45444</v>
      </c>
      <c r="C306" s="1" t="s">
        <v>132</v>
      </c>
      <c r="D306" s="1">
        <v>1</v>
      </c>
      <c r="E306" s="8" t="s">
        <v>150</v>
      </c>
      <c r="F306" s="46" t="s">
        <v>729</v>
      </c>
    </row>
    <row r="307" spans="2:6" ht="16.5" customHeight="1" x14ac:dyDescent="0.25">
      <c r="B307" s="11">
        <v>45444</v>
      </c>
      <c r="C307" s="1" t="s">
        <v>132</v>
      </c>
      <c r="D307" s="1">
        <v>-1</v>
      </c>
      <c r="E307" s="8" t="s">
        <v>485</v>
      </c>
      <c r="F307" s="46" t="s">
        <v>730</v>
      </c>
    </row>
    <row r="308" spans="2:6" ht="16.5" customHeight="1" x14ac:dyDescent="0.25">
      <c r="B308" s="11">
        <v>45444</v>
      </c>
      <c r="C308" s="1" t="s">
        <v>132</v>
      </c>
      <c r="D308" s="1">
        <v>-1</v>
      </c>
      <c r="E308" s="8" t="s">
        <v>148</v>
      </c>
      <c r="F308" s="46" t="s">
        <v>731</v>
      </c>
    </row>
    <row r="309" spans="2:6" ht="16.5" customHeight="1" x14ac:dyDescent="0.25">
      <c r="B309" s="11">
        <v>45444</v>
      </c>
      <c r="C309" s="1" t="s">
        <v>164</v>
      </c>
      <c r="D309" s="1">
        <v>0</v>
      </c>
      <c r="E309" s="8" t="s">
        <v>166</v>
      </c>
      <c r="F309" s="46" t="s">
        <v>732</v>
      </c>
    </row>
    <row r="310" spans="2:6" ht="16.5" customHeight="1" x14ac:dyDescent="0.25">
      <c r="B310" s="11">
        <v>45444</v>
      </c>
      <c r="C310" s="1" t="s">
        <v>164</v>
      </c>
      <c r="D310" s="1">
        <v>1</v>
      </c>
      <c r="E310" s="8" t="s">
        <v>168</v>
      </c>
      <c r="F310" s="46" t="s">
        <v>733</v>
      </c>
    </row>
    <row r="311" spans="2:6" ht="16.5" customHeight="1" x14ac:dyDescent="0.25">
      <c r="B311" s="11">
        <v>45444</v>
      </c>
      <c r="C311" s="1" t="s">
        <v>164</v>
      </c>
      <c r="D311" s="1">
        <v>1</v>
      </c>
      <c r="E311" s="8" t="s">
        <v>170</v>
      </c>
      <c r="F311" s="46" t="s">
        <v>734</v>
      </c>
    </row>
    <row r="312" spans="2:6" ht="16.5" customHeight="1" x14ac:dyDescent="0.25">
      <c r="B312" s="11">
        <v>45444</v>
      </c>
      <c r="C312" s="1" t="s">
        <v>164</v>
      </c>
      <c r="D312" s="1">
        <v>1</v>
      </c>
      <c r="E312" s="8" t="s">
        <v>192</v>
      </c>
      <c r="F312" s="46" t="s">
        <v>735</v>
      </c>
    </row>
    <row r="313" spans="2:6" ht="16.5" customHeight="1" x14ac:dyDescent="0.25">
      <c r="B313" s="11">
        <v>45444</v>
      </c>
      <c r="C313" s="1" t="s">
        <v>164</v>
      </c>
      <c r="D313" s="1">
        <v>1</v>
      </c>
      <c r="E313" s="8" t="s">
        <v>172</v>
      </c>
      <c r="F313" s="46" t="s">
        <v>736</v>
      </c>
    </row>
    <row r="314" spans="2:6" ht="16.5" customHeight="1" x14ac:dyDescent="0.25">
      <c r="B314" s="11">
        <v>45444</v>
      </c>
      <c r="C314" s="1" t="s">
        <v>164</v>
      </c>
      <c r="D314" s="1">
        <v>1</v>
      </c>
      <c r="E314" s="8" t="s">
        <v>176</v>
      </c>
      <c r="F314" s="46" t="s">
        <v>737</v>
      </c>
    </row>
    <row r="315" spans="2:6" ht="16.5" customHeight="1" x14ac:dyDescent="0.25">
      <c r="B315" s="11">
        <v>45444</v>
      </c>
      <c r="C315" s="1" t="s">
        <v>164</v>
      </c>
      <c r="D315" s="1">
        <v>-1</v>
      </c>
      <c r="E315" s="8" t="s">
        <v>180</v>
      </c>
      <c r="F315" s="46" t="s">
        <v>738</v>
      </c>
    </row>
    <row r="316" spans="2:6" ht="16.5" customHeight="1" x14ac:dyDescent="0.25">
      <c r="B316" s="11">
        <v>45444</v>
      </c>
      <c r="C316" s="1" t="s">
        <v>164</v>
      </c>
      <c r="D316" s="1">
        <v>-1</v>
      </c>
      <c r="E316" s="8" t="s">
        <v>182</v>
      </c>
      <c r="F316" s="46" t="s">
        <v>739</v>
      </c>
    </row>
    <row r="317" spans="2:6" ht="16.5" customHeight="1" x14ac:dyDescent="0.25">
      <c r="B317" s="11">
        <v>45444</v>
      </c>
      <c r="C317" s="1" t="s">
        <v>164</v>
      </c>
      <c r="D317" s="1">
        <v>1</v>
      </c>
      <c r="E317" s="8" t="s">
        <v>186</v>
      </c>
      <c r="F317" s="46" t="s">
        <v>740</v>
      </c>
    </row>
    <row r="318" spans="2:6" ht="16.5" customHeight="1" x14ac:dyDescent="0.25">
      <c r="B318" s="11">
        <v>45444</v>
      </c>
      <c r="C318" s="1" t="s">
        <v>164</v>
      </c>
      <c r="D318" s="1">
        <v>-1</v>
      </c>
      <c r="E318" s="8" t="s">
        <v>188</v>
      </c>
      <c r="F318" s="46" t="s">
        <v>741</v>
      </c>
    </row>
    <row r="319" spans="2:6" ht="16.5" customHeight="1" x14ac:dyDescent="0.25">
      <c r="B319" s="11">
        <v>45474</v>
      </c>
      <c r="C319" s="1" t="s">
        <v>132</v>
      </c>
      <c r="D319" s="1">
        <v>-1</v>
      </c>
      <c r="E319" s="8" t="s">
        <v>136</v>
      </c>
      <c r="F319" s="46" t="s">
        <v>742</v>
      </c>
    </row>
    <row r="320" spans="2:6" ht="16.5" customHeight="1" x14ac:dyDescent="0.25">
      <c r="B320" s="11">
        <v>45474</v>
      </c>
      <c r="C320" s="1" t="s">
        <v>132</v>
      </c>
      <c r="D320" s="1">
        <v>-1</v>
      </c>
      <c r="E320" s="8" t="s">
        <v>137</v>
      </c>
      <c r="F320" s="46" t="s">
        <v>743</v>
      </c>
    </row>
    <row r="321" spans="2:6" ht="16.5" customHeight="1" x14ac:dyDescent="0.25">
      <c r="B321" s="11">
        <v>45474</v>
      </c>
      <c r="C321" s="1" t="s">
        <v>132</v>
      </c>
      <c r="D321" s="1">
        <v>-1</v>
      </c>
      <c r="E321" s="8" t="s">
        <v>140</v>
      </c>
      <c r="F321" s="46" t="s">
        <v>744</v>
      </c>
    </row>
    <row r="322" spans="2:6" ht="16.5" customHeight="1" x14ac:dyDescent="0.25">
      <c r="B322" s="11">
        <v>45474</v>
      </c>
      <c r="C322" s="1" t="s">
        <v>132</v>
      </c>
      <c r="D322" s="1">
        <v>-1</v>
      </c>
      <c r="E322" s="8" t="s">
        <v>134</v>
      </c>
      <c r="F322" s="46" t="s">
        <v>745</v>
      </c>
    </row>
    <row r="323" spans="2:6" ht="16.5" customHeight="1" x14ac:dyDescent="0.25">
      <c r="B323" s="11">
        <v>45474</v>
      </c>
      <c r="C323" s="1" t="s">
        <v>132</v>
      </c>
      <c r="D323" s="1">
        <v>-1</v>
      </c>
      <c r="E323" s="8" t="s">
        <v>142</v>
      </c>
      <c r="F323" s="46" t="s">
        <v>746</v>
      </c>
    </row>
    <row r="324" spans="2:6" ht="16.5" customHeight="1" x14ac:dyDescent="0.25">
      <c r="B324" s="11">
        <v>45474</v>
      </c>
      <c r="C324" s="1" t="s">
        <v>132</v>
      </c>
      <c r="D324" s="1">
        <v>-1</v>
      </c>
      <c r="E324" s="8" t="s">
        <v>144</v>
      </c>
      <c r="F324" s="46" t="s">
        <v>747</v>
      </c>
    </row>
    <row r="325" spans="2:6" ht="16.5" customHeight="1" x14ac:dyDescent="0.25">
      <c r="B325" s="11">
        <v>45474</v>
      </c>
      <c r="C325" s="1" t="s">
        <v>132</v>
      </c>
      <c r="D325" s="1">
        <v>-1</v>
      </c>
      <c r="E325" s="8" t="s">
        <v>152</v>
      </c>
      <c r="F325" s="46" t="s">
        <v>748</v>
      </c>
    </row>
    <row r="326" spans="2:6" ht="16.5" customHeight="1" x14ac:dyDescent="0.25">
      <c r="B326" s="11">
        <v>45474</v>
      </c>
      <c r="C326" s="1" t="s">
        <v>132</v>
      </c>
      <c r="D326" s="1">
        <v>1</v>
      </c>
      <c r="E326" s="8" t="s">
        <v>202</v>
      </c>
      <c r="F326" s="46" t="s">
        <v>749</v>
      </c>
    </row>
    <row r="327" spans="2:6" ht="16.5" customHeight="1" x14ac:dyDescent="0.25">
      <c r="B327" s="11">
        <v>45474</v>
      </c>
      <c r="C327" s="1" t="s">
        <v>132</v>
      </c>
      <c r="D327" s="1">
        <v>0</v>
      </c>
      <c r="E327" s="8" t="s">
        <v>484</v>
      </c>
      <c r="F327" s="46" t="s">
        <v>750</v>
      </c>
    </row>
    <row r="328" spans="2:6" ht="16.5" customHeight="1" x14ac:dyDescent="0.25">
      <c r="B328" s="11">
        <v>45474</v>
      </c>
      <c r="C328" s="1" t="s">
        <v>132</v>
      </c>
      <c r="D328" s="1">
        <v>-1</v>
      </c>
      <c r="E328" s="8" t="s">
        <v>485</v>
      </c>
      <c r="F328" s="46" t="s">
        <v>751</v>
      </c>
    </row>
    <row r="329" spans="2:6" ht="16.5" customHeight="1" x14ac:dyDescent="0.25">
      <c r="B329" s="11">
        <v>45474</v>
      </c>
      <c r="C329" s="1" t="s">
        <v>164</v>
      </c>
      <c r="D329" s="1">
        <v>1</v>
      </c>
      <c r="E329" s="8" t="s">
        <v>166</v>
      </c>
      <c r="F329" s="46" t="s">
        <v>752</v>
      </c>
    </row>
    <row r="330" spans="2:6" ht="16.5" customHeight="1" x14ac:dyDescent="0.25">
      <c r="B330" s="11">
        <v>45474</v>
      </c>
      <c r="C330" s="1" t="s">
        <v>164</v>
      </c>
      <c r="D330" s="1">
        <v>-1</v>
      </c>
      <c r="E330" s="8" t="s">
        <v>226</v>
      </c>
      <c r="F330" s="46" t="s">
        <v>753</v>
      </c>
    </row>
    <row r="331" spans="2:6" ht="16.5" customHeight="1" x14ac:dyDescent="0.25">
      <c r="B331" s="11">
        <v>45474</v>
      </c>
      <c r="C331" s="1" t="s">
        <v>164</v>
      </c>
      <c r="D331" s="1">
        <v>1</v>
      </c>
      <c r="E331" s="8" t="s">
        <v>168</v>
      </c>
      <c r="F331" s="46" t="s">
        <v>754</v>
      </c>
    </row>
    <row r="332" spans="2:6" ht="16.5" customHeight="1" x14ac:dyDescent="0.25">
      <c r="B332" s="11">
        <v>45474</v>
      </c>
      <c r="C332" s="1" t="s">
        <v>164</v>
      </c>
      <c r="D332" s="1">
        <v>1</v>
      </c>
      <c r="E332" s="8" t="s">
        <v>192</v>
      </c>
      <c r="F332" s="46" t="s">
        <v>755</v>
      </c>
    </row>
    <row r="333" spans="2:6" ht="16.5" customHeight="1" x14ac:dyDescent="0.25">
      <c r="B333" s="11">
        <v>45474</v>
      </c>
      <c r="C333" s="1" t="s">
        <v>164</v>
      </c>
      <c r="D333" s="1">
        <v>1</v>
      </c>
      <c r="E333" s="8" t="s">
        <v>172</v>
      </c>
      <c r="F333" s="46" t="s">
        <v>756</v>
      </c>
    </row>
    <row r="334" spans="2:6" ht="16.5" customHeight="1" x14ac:dyDescent="0.25">
      <c r="B334" s="11">
        <v>45474</v>
      </c>
      <c r="C334" s="1" t="s">
        <v>164</v>
      </c>
      <c r="D334" s="1">
        <v>-1</v>
      </c>
      <c r="E334" s="8" t="s">
        <v>170</v>
      </c>
      <c r="F334" s="46" t="s">
        <v>757</v>
      </c>
    </row>
    <row r="335" spans="2:6" ht="16.5" customHeight="1" x14ac:dyDescent="0.25">
      <c r="B335" s="11">
        <v>45474</v>
      </c>
      <c r="C335" s="1" t="s">
        <v>164</v>
      </c>
      <c r="D335" s="1">
        <v>-1</v>
      </c>
      <c r="E335" s="8" t="s">
        <v>174</v>
      </c>
      <c r="F335" s="46" t="s">
        <v>758</v>
      </c>
    </row>
    <row r="336" spans="2:6" ht="16.5" customHeight="1" x14ac:dyDescent="0.25">
      <c r="B336" s="11">
        <v>45474</v>
      </c>
      <c r="C336" s="1" t="s">
        <v>164</v>
      </c>
      <c r="D336" s="1">
        <v>-1</v>
      </c>
      <c r="E336" s="8" t="s">
        <v>178</v>
      </c>
      <c r="F336" s="46" t="s">
        <v>759</v>
      </c>
    </row>
    <row r="337" spans="2:6" ht="16.5" customHeight="1" x14ac:dyDescent="0.25">
      <c r="B337" s="11">
        <v>45474</v>
      </c>
      <c r="C337" s="1" t="s">
        <v>164</v>
      </c>
      <c r="D337" s="1">
        <v>1</v>
      </c>
      <c r="E337" s="8" t="s">
        <v>180</v>
      </c>
      <c r="F337" s="46" t="s">
        <v>760</v>
      </c>
    </row>
    <row r="338" spans="2:6" ht="16.5" customHeight="1" x14ac:dyDescent="0.25">
      <c r="B338" s="11">
        <v>45474</v>
      </c>
      <c r="C338" s="1" t="s">
        <v>164</v>
      </c>
      <c r="D338" s="1">
        <v>1</v>
      </c>
      <c r="E338" s="8" t="s">
        <v>188</v>
      </c>
      <c r="F338" s="46" t="s">
        <v>761</v>
      </c>
    </row>
    <row r="339" spans="2:6" ht="16.5" customHeight="1" x14ac:dyDescent="0.25">
      <c r="B339" s="11">
        <v>45505</v>
      </c>
      <c r="C339" s="1" t="s">
        <v>132</v>
      </c>
      <c r="D339" s="1">
        <v>-1</v>
      </c>
      <c r="E339" s="8" t="s">
        <v>136</v>
      </c>
      <c r="F339" s="46" t="s">
        <v>762</v>
      </c>
    </row>
    <row r="340" spans="2:6" ht="16.5" customHeight="1" x14ac:dyDescent="0.25">
      <c r="B340" s="11">
        <v>45505</v>
      </c>
      <c r="C340" s="1" t="s">
        <v>132</v>
      </c>
      <c r="D340" s="1">
        <v>-1</v>
      </c>
      <c r="E340" s="8" t="s">
        <v>137</v>
      </c>
      <c r="F340" s="46" t="s">
        <v>763</v>
      </c>
    </row>
    <row r="341" spans="2:6" ht="16.5" customHeight="1" x14ac:dyDescent="0.25">
      <c r="B341" s="11">
        <v>45505</v>
      </c>
      <c r="C341" s="1" t="s">
        <v>132</v>
      </c>
      <c r="D341" s="1">
        <v>1</v>
      </c>
      <c r="E341" s="8" t="s">
        <v>140</v>
      </c>
      <c r="F341" s="46" t="s">
        <v>764</v>
      </c>
    </row>
    <row r="342" spans="2:6" ht="16.5" customHeight="1" x14ac:dyDescent="0.25">
      <c r="B342" s="11">
        <v>45505</v>
      </c>
      <c r="C342" s="1" t="s">
        <v>132</v>
      </c>
      <c r="D342" s="1">
        <v>1</v>
      </c>
      <c r="E342" s="8" t="s">
        <v>134</v>
      </c>
      <c r="F342" s="46" t="s">
        <v>765</v>
      </c>
    </row>
    <row r="343" spans="2:6" ht="16.5" customHeight="1" x14ac:dyDescent="0.25">
      <c r="B343" s="11">
        <v>45505</v>
      </c>
      <c r="C343" s="1" t="s">
        <v>132</v>
      </c>
      <c r="D343" s="1">
        <v>-1</v>
      </c>
      <c r="E343" s="8" t="s">
        <v>142</v>
      </c>
      <c r="F343" s="46" t="s">
        <v>766</v>
      </c>
    </row>
    <row r="344" spans="2:6" ht="16.5" customHeight="1" x14ac:dyDescent="0.25">
      <c r="B344" s="11">
        <v>45505</v>
      </c>
      <c r="C344" s="1" t="s">
        <v>132</v>
      </c>
      <c r="D344" s="1">
        <v>-1</v>
      </c>
      <c r="E344" s="8" t="s">
        <v>144</v>
      </c>
      <c r="F344" s="46" t="s">
        <v>767</v>
      </c>
    </row>
    <row r="345" spans="2:6" ht="16.5" customHeight="1" x14ac:dyDescent="0.25">
      <c r="B345" s="11">
        <v>45505</v>
      </c>
      <c r="C345" s="1" t="s">
        <v>132</v>
      </c>
      <c r="D345" s="1">
        <v>-1</v>
      </c>
      <c r="E345" s="8" t="s">
        <v>150</v>
      </c>
      <c r="F345" s="46" t="s">
        <v>768</v>
      </c>
    </row>
    <row r="346" spans="2:6" ht="16.5" customHeight="1" x14ac:dyDescent="0.25">
      <c r="B346" s="11">
        <v>45505</v>
      </c>
      <c r="C346" s="1" t="s">
        <v>132</v>
      </c>
      <c r="D346" s="1">
        <v>-1</v>
      </c>
      <c r="E346" s="8" t="s">
        <v>203</v>
      </c>
      <c r="F346" s="46" t="s">
        <v>769</v>
      </c>
    </row>
    <row r="347" spans="2:6" ht="16.5" customHeight="1" x14ac:dyDescent="0.25">
      <c r="B347" s="11">
        <v>45505</v>
      </c>
      <c r="C347" s="1" t="s">
        <v>132</v>
      </c>
      <c r="D347" s="1">
        <v>1</v>
      </c>
      <c r="E347" s="8" t="s">
        <v>163</v>
      </c>
      <c r="F347" s="46" t="s">
        <v>770</v>
      </c>
    </row>
    <row r="348" spans="2:6" ht="16.5" customHeight="1" x14ac:dyDescent="0.25">
      <c r="B348" s="11">
        <v>45505</v>
      </c>
      <c r="C348" s="1" t="s">
        <v>132</v>
      </c>
      <c r="D348" s="1">
        <v>-1</v>
      </c>
      <c r="E348" s="8" t="s">
        <v>485</v>
      </c>
      <c r="F348" s="46" t="s">
        <v>771</v>
      </c>
    </row>
    <row r="349" spans="2:6" ht="16.5" customHeight="1" x14ac:dyDescent="0.25">
      <c r="B349" s="11">
        <v>45505</v>
      </c>
      <c r="C349" s="1" t="s">
        <v>164</v>
      </c>
      <c r="D349" s="1">
        <v>-1</v>
      </c>
      <c r="E349" s="8" t="s">
        <v>226</v>
      </c>
      <c r="F349" s="46" t="s">
        <v>772</v>
      </c>
    </row>
    <row r="350" spans="2:6" ht="16.5" customHeight="1" x14ac:dyDescent="0.25">
      <c r="B350" s="11">
        <v>45505</v>
      </c>
      <c r="C350" s="1" t="s">
        <v>164</v>
      </c>
      <c r="D350" s="1">
        <v>-1</v>
      </c>
      <c r="E350" s="8" t="s">
        <v>168</v>
      </c>
      <c r="F350" s="46" t="s">
        <v>773</v>
      </c>
    </row>
    <row r="351" spans="2:6" ht="16.5" customHeight="1" x14ac:dyDescent="0.25">
      <c r="B351" s="11">
        <v>45505</v>
      </c>
      <c r="C351" s="1" t="s">
        <v>164</v>
      </c>
      <c r="D351" s="1">
        <v>1</v>
      </c>
      <c r="E351" s="8" t="s">
        <v>192</v>
      </c>
      <c r="F351" s="46" t="s">
        <v>774</v>
      </c>
    </row>
    <row r="352" spans="2:6" ht="16.5" customHeight="1" x14ac:dyDescent="0.25">
      <c r="B352" s="11">
        <v>45505</v>
      </c>
      <c r="C352" s="1" t="s">
        <v>164</v>
      </c>
      <c r="D352" s="1">
        <v>1</v>
      </c>
      <c r="E352" s="8" t="s">
        <v>172</v>
      </c>
      <c r="F352" s="46" t="s">
        <v>775</v>
      </c>
    </row>
    <row r="353" spans="2:6" ht="16.5" customHeight="1" x14ac:dyDescent="0.25">
      <c r="B353" s="11">
        <v>45505</v>
      </c>
      <c r="C353" s="1" t="s">
        <v>164</v>
      </c>
      <c r="D353" s="1">
        <v>1</v>
      </c>
      <c r="E353" s="8" t="s">
        <v>174</v>
      </c>
      <c r="F353" s="46" t="s">
        <v>776</v>
      </c>
    </row>
    <row r="354" spans="2:6" ht="16.5" customHeight="1" x14ac:dyDescent="0.25">
      <c r="B354" s="11">
        <v>45505</v>
      </c>
      <c r="C354" s="1" t="s">
        <v>164</v>
      </c>
      <c r="D354" s="1">
        <v>-1</v>
      </c>
      <c r="E354" s="8" t="s">
        <v>176</v>
      </c>
      <c r="F354" s="46" t="s">
        <v>777</v>
      </c>
    </row>
    <row r="355" spans="2:6" ht="16.5" customHeight="1" x14ac:dyDescent="0.25">
      <c r="B355" s="11">
        <v>45505</v>
      </c>
      <c r="C355" s="1" t="s">
        <v>164</v>
      </c>
      <c r="D355" s="1">
        <v>-1</v>
      </c>
      <c r="E355" s="8" t="s">
        <v>178</v>
      </c>
      <c r="F355" s="46" t="s">
        <v>778</v>
      </c>
    </row>
    <row r="356" spans="2:6" ht="16.5" customHeight="1" x14ac:dyDescent="0.25">
      <c r="B356" s="11">
        <v>45505</v>
      </c>
      <c r="C356" s="1" t="s">
        <v>164</v>
      </c>
      <c r="D356" s="1">
        <v>1</v>
      </c>
      <c r="E356" s="8" t="s">
        <v>184</v>
      </c>
      <c r="F356" s="46" t="s">
        <v>779</v>
      </c>
    </row>
    <row r="357" spans="2:6" ht="16.5" customHeight="1" x14ac:dyDescent="0.25">
      <c r="B357" s="11">
        <v>45505</v>
      </c>
      <c r="C357" s="1" t="s">
        <v>164</v>
      </c>
      <c r="D357" s="1">
        <v>1</v>
      </c>
      <c r="E357" s="8" t="s">
        <v>186</v>
      </c>
      <c r="F357" s="46" t="s">
        <v>780</v>
      </c>
    </row>
    <row r="358" spans="2:6" ht="16.5" customHeight="1" x14ac:dyDescent="0.25">
      <c r="B358" s="11">
        <v>45505</v>
      </c>
      <c r="C358" s="1" t="s">
        <v>164</v>
      </c>
      <c r="D358" s="1">
        <v>-1</v>
      </c>
      <c r="E358" s="8" t="s">
        <v>188</v>
      </c>
      <c r="F358" s="46" t="s">
        <v>781</v>
      </c>
    </row>
    <row r="359" spans="2:6" ht="16.5" customHeight="1" x14ac:dyDescent="0.25">
      <c r="B359" s="11">
        <v>45536</v>
      </c>
      <c r="C359" s="1" t="s">
        <v>132</v>
      </c>
      <c r="D359" s="1">
        <v>-1</v>
      </c>
      <c r="E359" s="8" t="s">
        <v>136</v>
      </c>
      <c r="F359" s="46" t="s">
        <v>782</v>
      </c>
    </row>
    <row r="360" spans="2:6" ht="16.5" customHeight="1" x14ac:dyDescent="0.25">
      <c r="B360" s="11">
        <v>45536</v>
      </c>
      <c r="C360" s="1" t="s">
        <v>132</v>
      </c>
      <c r="D360" s="1">
        <v>-1</v>
      </c>
      <c r="E360" s="8" t="s">
        <v>137</v>
      </c>
      <c r="F360" s="46" t="s">
        <v>783</v>
      </c>
    </row>
    <row r="361" spans="2:6" ht="16.5" customHeight="1" x14ac:dyDescent="0.25">
      <c r="B361" s="11">
        <v>45536</v>
      </c>
      <c r="C361" s="1" t="s">
        <v>132</v>
      </c>
      <c r="D361" s="1">
        <v>1</v>
      </c>
      <c r="E361" s="8" t="s">
        <v>140</v>
      </c>
      <c r="F361" s="46" t="s">
        <v>784</v>
      </c>
    </row>
    <row r="362" spans="2:6" ht="16.5" customHeight="1" x14ac:dyDescent="0.25">
      <c r="B362" s="11">
        <v>45536</v>
      </c>
      <c r="C362" s="1" t="s">
        <v>132</v>
      </c>
      <c r="D362" s="1">
        <v>-1</v>
      </c>
      <c r="E362" s="8" t="s">
        <v>134</v>
      </c>
      <c r="F362" s="46" t="s">
        <v>785</v>
      </c>
    </row>
    <row r="363" spans="2:6" ht="16.5" customHeight="1" x14ac:dyDescent="0.25">
      <c r="B363" s="11">
        <v>45536</v>
      </c>
      <c r="C363" s="1" t="s">
        <v>132</v>
      </c>
      <c r="D363" s="1">
        <v>-1</v>
      </c>
      <c r="E363" s="8" t="s">
        <v>142</v>
      </c>
      <c r="F363" s="46" t="s">
        <v>786</v>
      </c>
    </row>
    <row r="364" spans="2:6" ht="16.5" customHeight="1" x14ac:dyDescent="0.25">
      <c r="B364" s="11">
        <v>45536</v>
      </c>
      <c r="C364" s="1" t="s">
        <v>132</v>
      </c>
      <c r="D364" s="1">
        <v>-1</v>
      </c>
      <c r="E364" s="8" t="s">
        <v>144</v>
      </c>
      <c r="F364" s="46" t="s">
        <v>787</v>
      </c>
    </row>
    <row r="365" spans="2:6" ht="16.5" customHeight="1" x14ac:dyDescent="0.25">
      <c r="B365" s="11">
        <v>45536</v>
      </c>
      <c r="C365" s="1" t="s">
        <v>132</v>
      </c>
      <c r="D365" s="1">
        <v>1</v>
      </c>
      <c r="E365" s="8" t="s">
        <v>146</v>
      </c>
      <c r="F365" s="46" t="s">
        <v>788</v>
      </c>
    </row>
    <row r="366" spans="2:6" ht="16.5" customHeight="1" x14ac:dyDescent="0.25">
      <c r="B366" s="11">
        <v>45536</v>
      </c>
      <c r="C366" s="1" t="s">
        <v>132</v>
      </c>
      <c r="D366" s="1">
        <v>1</v>
      </c>
      <c r="E366" s="8" t="s">
        <v>484</v>
      </c>
      <c r="F366" s="46" t="s">
        <v>789</v>
      </c>
    </row>
    <row r="367" spans="2:6" ht="16.5" customHeight="1" x14ac:dyDescent="0.25">
      <c r="B367" s="11">
        <v>45536</v>
      </c>
      <c r="C367" s="1" t="s">
        <v>132</v>
      </c>
      <c r="D367" s="1">
        <v>1</v>
      </c>
      <c r="E367" s="8" t="s">
        <v>150</v>
      </c>
      <c r="F367" s="46" t="s">
        <v>790</v>
      </c>
    </row>
    <row r="368" spans="2:6" ht="16.5" customHeight="1" x14ac:dyDescent="0.25">
      <c r="B368" s="11">
        <v>45536</v>
      </c>
      <c r="C368" s="1" t="s">
        <v>132</v>
      </c>
      <c r="D368" s="1">
        <v>-1</v>
      </c>
      <c r="E368" s="8" t="s">
        <v>163</v>
      </c>
      <c r="F368" s="46" t="s">
        <v>791</v>
      </c>
    </row>
    <row r="369" spans="2:6" ht="16.5" customHeight="1" x14ac:dyDescent="0.25">
      <c r="B369" s="11">
        <v>45536</v>
      </c>
      <c r="C369" s="1" t="s">
        <v>164</v>
      </c>
      <c r="D369" s="1">
        <v>1</v>
      </c>
      <c r="E369" s="8" t="s">
        <v>166</v>
      </c>
      <c r="F369" s="46" t="s">
        <v>792</v>
      </c>
    </row>
    <row r="370" spans="2:6" ht="16.5" customHeight="1" x14ac:dyDescent="0.25">
      <c r="B370" s="11">
        <v>45536</v>
      </c>
      <c r="C370" s="1" t="s">
        <v>164</v>
      </c>
      <c r="D370" s="1">
        <v>-1</v>
      </c>
      <c r="E370" s="8" t="s">
        <v>226</v>
      </c>
      <c r="F370" s="46" t="s">
        <v>793</v>
      </c>
    </row>
    <row r="371" spans="2:6" ht="16.5" customHeight="1" x14ac:dyDescent="0.25">
      <c r="B371" s="11">
        <v>45536</v>
      </c>
      <c r="C371" s="1" t="s">
        <v>164</v>
      </c>
      <c r="D371" s="1">
        <v>1</v>
      </c>
      <c r="E371" s="8" t="s">
        <v>168</v>
      </c>
      <c r="F371" s="46" t="s">
        <v>794</v>
      </c>
    </row>
    <row r="372" spans="2:6" ht="16.5" customHeight="1" x14ac:dyDescent="0.25">
      <c r="B372" s="11">
        <v>45536</v>
      </c>
      <c r="C372" s="1" t="s">
        <v>164</v>
      </c>
      <c r="D372" s="1">
        <v>1</v>
      </c>
      <c r="E372" s="8" t="s">
        <v>192</v>
      </c>
      <c r="F372" s="46" t="s">
        <v>795</v>
      </c>
    </row>
    <row r="373" spans="2:6" ht="16.5" customHeight="1" x14ac:dyDescent="0.25">
      <c r="B373" s="11">
        <v>45536</v>
      </c>
      <c r="C373" s="1" t="s">
        <v>164</v>
      </c>
      <c r="D373" s="1">
        <v>1</v>
      </c>
      <c r="E373" s="8" t="s">
        <v>172</v>
      </c>
      <c r="F373" s="46" t="s">
        <v>796</v>
      </c>
    </row>
    <row r="374" spans="2:6" ht="16.5" customHeight="1" x14ac:dyDescent="0.25">
      <c r="B374" s="11">
        <v>45536</v>
      </c>
      <c r="C374" s="1" t="s">
        <v>164</v>
      </c>
      <c r="D374" s="1">
        <v>1</v>
      </c>
      <c r="E374" s="8" t="s">
        <v>174</v>
      </c>
      <c r="F374" s="46" t="s">
        <v>797</v>
      </c>
    </row>
    <row r="375" spans="2:6" ht="16.5" customHeight="1" x14ac:dyDescent="0.25">
      <c r="B375" s="11">
        <v>45536</v>
      </c>
      <c r="C375" s="1" t="s">
        <v>164</v>
      </c>
      <c r="D375" s="1">
        <v>-1</v>
      </c>
      <c r="E375" s="8" t="s">
        <v>178</v>
      </c>
      <c r="F375" s="46" t="s">
        <v>798</v>
      </c>
    </row>
    <row r="376" spans="2:6" ht="16.5" customHeight="1" x14ac:dyDescent="0.25">
      <c r="B376" s="11">
        <v>45536</v>
      </c>
      <c r="C376" s="1" t="s">
        <v>164</v>
      </c>
      <c r="D376" s="1">
        <v>1</v>
      </c>
      <c r="E376" s="8" t="s">
        <v>180</v>
      </c>
      <c r="F376" s="46" t="s">
        <v>799</v>
      </c>
    </row>
    <row r="377" spans="2:6" ht="16.5" customHeight="1" x14ac:dyDescent="0.25">
      <c r="B377" s="11">
        <v>45536</v>
      </c>
      <c r="C377" s="1" t="s">
        <v>164</v>
      </c>
      <c r="D377" s="1">
        <v>-1</v>
      </c>
      <c r="E377" s="8" t="s">
        <v>182</v>
      </c>
      <c r="F377" s="46" t="s">
        <v>800</v>
      </c>
    </row>
    <row r="378" spans="2:6" ht="16.5" customHeight="1" x14ac:dyDescent="0.25">
      <c r="B378" s="11">
        <v>45536</v>
      </c>
      <c r="C378" s="1" t="s">
        <v>164</v>
      </c>
      <c r="D378" s="1">
        <v>-1</v>
      </c>
      <c r="E378" s="8" t="s">
        <v>188</v>
      </c>
      <c r="F378" s="46" t="s">
        <v>801</v>
      </c>
    </row>
    <row r="379" spans="2:6" ht="16.5" customHeight="1" x14ac:dyDescent="0.25">
      <c r="B379" s="11">
        <v>45566</v>
      </c>
      <c r="C379" s="1" t="s">
        <v>132</v>
      </c>
      <c r="D379" s="1">
        <v>-1</v>
      </c>
      <c r="E379" s="8" t="s">
        <v>136</v>
      </c>
      <c r="F379" s="46" t="s">
        <v>802</v>
      </c>
    </row>
    <row r="380" spans="2:6" ht="16.5" customHeight="1" x14ac:dyDescent="0.25">
      <c r="B380" s="11">
        <v>45566</v>
      </c>
      <c r="C380" s="1" t="s">
        <v>132</v>
      </c>
      <c r="D380" s="1">
        <v>-1</v>
      </c>
      <c r="E380" s="8" t="s">
        <v>137</v>
      </c>
      <c r="F380" s="46" t="s">
        <v>803</v>
      </c>
    </row>
    <row r="381" spans="2:6" ht="16.5" customHeight="1" x14ac:dyDescent="0.25">
      <c r="B381" s="11">
        <v>45566</v>
      </c>
      <c r="C381" s="1" t="s">
        <v>132</v>
      </c>
      <c r="D381" s="1">
        <v>1</v>
      </c>
      <c r="E381" s="8" t="s">
        <v>140</v>
      </c>
      <c r="F381" s="46" t="s">
        <v>804</v>
      </c>
    </row>
    <row r="382" spans="2:6" ht="16.5" customHeight="1" x14ac:dyDescent="0.25">
      <c r="B382" s="11">
        <v>45566</v>
      </c>
      <c r="C382" s="1" t="s">
        <v>132</v>
      </c>
      <c r="D382" s="1">
        <v>1</v>
      </c>
      <c r="E382" s="8" t="s">
        <v>134</v>
      </c>
      <c r="F382" s="46" t="s">
        <v>805</v>
      </c>
    </row>
    <row r="383" spans="2:6" ht="16.5" customHeight="1" x14ac:dyDescent="0.25">
      <c r="B383" s="11">
        <v>45566</v>
      </c>
      <c r="C383" s="1" t="s">
        <v>132</v>
      </c>
      <c r="D383" s="1">
        <v>-1</v>
      </c>
      <c r="E383" s="8" t="s">
        <v>142</v>
      </c>
      <c r="F383" s="46" t="s">
        <v>806</v>
      </c>
    </row>
    <row r="384" spans="2:6" ht="16.5" customHeight="1" x14ac:dyDescent="0.25">
      <c r="B384" s="11">
        <v>45566</v>
      </c>
      <c r="C384" s="1" t="s">
        <v>132</v>
      </c>
      <c r="D384" s="1">
        <v>-1</v>
      </c>
      <c r="E384" s="8" t="s">
        <v>144</v>
      </c>
      <c r="F384" s="46" t="s">
        <v>807</v>
      </c>
    </row>
    <row r="385" spans="2:6" ht="16.5" customHeight="1" x14ac:dyDescent="0.25">
      <c r="B385" s="11">
        <v>45566</v>
      </c>
      <c r="C385" s="1" t="s">
        <v>132</v>
      </c>
      <c r="D385" s="1">
        <v>-1</v>
      </c>
      <c r="E385" s="8" t="s">
        <v>202</v>
      </c>
      <c r="F385" s="46" t="s">
        <v>808</v>
      </c>
    </row>
    <row r="386" spans="2:6" ht="16.5" customHeight="1" x14ac:dyDescent="0.25">
      <c r="B386" s="11">
        <v>45566</v>
      </c>
      <c r="C386" s="1" t="s">
        <v>132</v>
      </c>
      <c r="D386" s="1">
        <v>-1</v>
      </c>
      <c r="E386" s="8" t="s">
        <v>203</v>
      </c>
      <c r="F386" s="46" t="s">
        <v>809</v>
      </c>
    </row>
    <row r="387" spans="2:6" ht="16.5" customHeight="1" x14ac:dyDescent="0.25">
      <c r="B387" s="11">
        <v>45566</v>
      </c>
      <c r="C387" s="1" t="s">
        <v>132</v>
      </c>
      <c r="D387" s="1">
        <v>1</v>
      </c>
      <c r="E387" s="8" t="s">
        <v>201</v>
      </c>
      <c r="F387" s="46" t="s">
        <v>810</v>
      </c>
    </row>
    <row r="388" spans="2:6" ht="16.5" customHeight="1" x14ac:dyDescent="0.25">
      <c r="B388" s="11">
        <v>45566</v>
      </c>
      <c r="C388" s="1" t="s">
        <v>132</v>
      </c>
      <c r="D388" s="1">
        <v>0</v>
      </c>
      <c r="E388" s="8" t="s">
        <v>485</v>
      </c>
      <c r="F388" s="46" t="s">
        <v>811</v>
      </c>
    </row>
    <row r="389" spans="2:6" ht="16.5" customHeight="1" x14ac:dyDescent="0.25">
      <c r="B389" s="11">
        <v>45566</v>
      </c>
      <c r="C389" s="1" t="s">
        <v>164</v>
      </c>
      <c r="D389" s="1">
        <v>1</v>
      </c>
      <c r="E389" s="8" t="s">
        <v>166</v>
      </c>
      <c r="F389" s="46" t="s">
        <v>812</v>
      </c>
    </row>
    <row r="390" spans="2:6" ht="16.5" customHeight="1" x14ac:dyDescent="0.25">
      <c r="B390" s="11">
        <v>45566</v>
      </c>
      <c r="C390" s="1" t="s">
        <v>164</v>
      </c>
      <c r="D390" s="1">
        <v>0</v>
      </c>
      <c r="E390" s="8" t="s">
        <v>226</v>
      </c>
      <c r="F390" s="46" t="s">
        <v>813</v>
      </c>
    </row>
    <row r="391" spans="2:6" ht="16.5" customHeight="1" x14ac:dyDescent="0.25">
      <c r="B391" s="11">
        <v>45566</v>
      </c>
      <c r="C391" s="1" t="s">
        <v>164</v>
      </c>
      <c r="D391" s="1">
        <v>1</v>
      </c>
      <c r="E391" s="8" t="s">
        <v>168</v>
      </c>
      <c r="F391" s="46" t="s">
        <v>814</v>
      </c>
    </row>
    <row r="392" spans="2:6" ht="16.5" customHeight="1" x14ac:dyDescent="0.25">
      <c r="B392" s="11">
        <v>45566</v>
      </c>
      <c r="C392" s="1" t="s">
        <v>164</v>
      </c>
      <c r="D392" s="1">
        <v>1</v>
      </c>
      <c r="E392" s="8" t="s">
        <v>172</v>
      </c>
      <c r="F392" s="46" t="s">
        <v>815</v>
      </c>
    </row>
    <row r="393" spans="2:6" ht="16.5" customHeight="1" x14ac:dyDescent="0.25">
      <c r="B393" s="11">
        <v>45566</v>
      </c>
      <c r="C393" s="1" t="s">
        <v>164</v>
      </c>
      <c r="D393" s="1">
        <v>1</v>
      </c>
      <c r="E393" s="8" t="s">
        <v>174</v>
      </c>
      <c r="F393" s="46" t="s">
        <v>816</v>
      </c>
    </row>
    <row r="394" spans="2:6" ht="16.5" customHeight="1" x14ac:dyDescent="0.25">
      <c r="B394" s="11">
        <v>45566</v>
      </c>
      <c r="C394" s="1" t="s">
        <v>164</v>
      </c>
      <c r="D394" s="1">
        <v>1</v>
      </c>
      <c r="E394" s="8" t="s">
        <v>178</v>
      </c>
      <c r="F394" s="46" t="s">
        <v>817</v>
      </c>
    </row>
    <row r="395" spans="2:6" ht="16.5" customHeight="1" x14ac:dyDescent="0.25">
      <c r="B395" s="11">
        <v>45566</v>
      </c>
      <c r="C395" s="1" t="s">
        <v>164</v>
      </c>
      <c r="D395" s="1">
        <v>1</v>
      </c>
      <c r="E395" s="8" t="s">
        <v>228</v>
      </c>
      <c r="F395" s="46" t="s">
        <v>818</v>
      </c>
    </row>
    <row r="396" spans="2:6" ht="16.5" customHeight="1" x14ac:dyDescent="0.25">
      <c r="B396" s="11">
        <v>45566</v>
      </c>
      <c r="C396" s="1" t="s">
        <v>164</v>
      </c>
      <c r="D396" s="1">
        <v>1</v>
      </c>
      <c r="E396" s="8" t="s">
        <v>182</v>
      </c>
      <c r="F396" s="46" t="s">
        <v>819</v>
      </c>
    </row>
    <row r="397" spans="2:6" ht="16.5" customHeight="1" x14ac:dyDescent="0.25">
      <c r="B397" s="11">
        <v>45566</v>
      </c>
      <c r="C397" s="1" t="s">
        <v>164</v>
      </c>
      <c r="D397" s="1">
        <v>1</v>
      </c>
      <c r="E397" s="8" t="s">
        <v>186</v>
      </c>
      <c r="F397" s="46" t="s">
        <v>820</v>
      </c>
    </row>
    <row r="398" spans="2:6" ht="16.5" customHeight="1" x14ac:dyDescent="0.25">
      <c r="B398" s="11">
        <v>45566</v>
      </c>
      <c r="C398" s="1" t="s">
        <v>164</v>
      </c>
      <c r="D398" s="1">
        <v>1</v>
      </c>
      <c r="E398" s="8" t="s">
        <v>188</v>
      </c>
      <c r="F398" s="46" t="s">
        <v>821</v>
      </c>
    </row>
    <row r="399" spans="2:6" ht="16.5" customHeight="1" x14ac:dyDescent="0.25">
      <c r="B399" s="11">
        <v>45597</v>
      </c>
      <c r="C399" s="1" t="s">
        <v>132</v>
      </c>
      <c r="D399" s="1">
        <v>1</v>
      </c>
      <c r="E399" s="8" t="s">
        <v>136</v>
      </c>
      <c r="F399" s="46" t="s">
        <v>822</v>
      </c>
    </row>
    <row r="400" spans="2:6" ht="16.5" customHeight="1" x14ac:dyDescent="0.25">
      <c r="B400" s="11">
        <v>45597</v>
      </c>
      <c r="C400" s="1" t="s">
        <v>132</v>
      </c>
      <c r="D400" s="1">
        <v>-1</v>
      </c>
      <c r="E400" s="8" t="s">
        <v>137</v>
      </c>
      <c r="F400" s="46" t="s">
        <v>823</v>
      </c>
    </row>
    <row r="401" spans="2:6" ht="16.5" customHeight="1" x14ac:dyDescent="0.25">
      <c r="B401" s="11">
        <v>45597</v>
      </c>
      <c r="C401" s="1" t="s">
        <v>132</v>
      </c>
      <c r="D401" s="1">
        <v>1</v>
      </c>
      <c r="E401" s="8" t="s">
        <v>140</v>
      </c>
      <c r="F401" s="46" t="s">
        <v>824</v>
      </c>
    </row>
    <row r="402" spans="2:6" ht="16.5" customHeight="1" x14ac:dyDescent="0.25">
      <c r="B402" s="11">
        <v>45597</v>
      </c>
      <c r="C402" s="1" t="s">
        <v>132</v>
      </c>
      <c r="D402" s="1">
        <v>1</v>
      </c>
      <c r="E402" s="8" t="s">
        <v>134</v>
      </c>
      <c r="F402" s="46" t="s">
        <v>825</v>
      </c>
    </row>
    <row r="403" spans="2:6" ht="16.5" customHeight="1" x14ac:dyDescent="0.25">
      <c r="B403" s="11">
        <v>45597</v>
      </c>
      <c r="C403" s="1" t="s">
        <v>132</v>
      </c>
      <c r="D403" s="1">
        <v>-1</v>
      </c>
      <c r="E403" s="8" t="s">
        <v>142</v>
      </c>
      <c r="F403" s="46" t="s">
        <v>826</v>
      </c>
    </row>
    <row r="404" spans="2:6" ht="16.5" customHeight="1" x14ac:dyDescent="0.25">
      <c r="B404" s="11">
        <v>45597</v>
      </c>
      <c r="C404" s="1" t="s">
        <v>132</v>
      </c>
      <c r="D404" s="1">
        <v>-1</v>
      </c>
      <c r="E404" s="8" t="s">
        <v>144</v>
      </c>
      <c r="F404" s="46" t="s">
        <v>827</v>
      </c>
    </row>
    <row r="405" spans="2:6" ht="16.5" customHeight="1" x14ac:dyDescent="0.25">
      <c r="B405" s="11">
        <v>45597</v>
      </c>
      <c r="C405" s="1" t="s">
        <v>132</v>
      </c>
      <c r="D405" s="1">
        <v>0</v>
      </c>
      <c r="E405" s="8" t="s">
        <v>484</v>
      </c>
      <c r="F405" s="46" t="s">
        <v>828</v>
      </c>
    </row>
    <row r="406" spans="2:6" ht="16.5" customHeight="1" x14ac:dyDescent="0.25">
      <c r="B406" s="11">
        <v>45597</v>
      </c>
      <c r="C406" s="1" t="s">
        <v>132</v>
      </c>
      <c r="D406" s="1">
        <v>1</v>
      </c>
      <c r="E406" s="8" t="s">
        <v>152</v>
      </c>
      <c r="F406" s="46" t="s">
        <v>829</v>
      </c>
    </row>
    <row r="407" spans="2:6" ht="16.5" customHeight="1" x14ac:dyDescent="0.25">
      <c r="B407" s="11">
        <v>45597</v>
      </c>
      <c r="C407" s="1" t="s">
        <v>132</v>
      </c>
      <c r="D407" s="1">
        <v>-1</v>
      </c>
      <c r="E407" s="8" t="s">
        <v>150</v>
      </c>
      <c r="F407" s="46" t="s">
        <v>830</v>
      </c>
    </row>
    <row r="408" spans="2:6" ht="16.5" customHeight="1" x14ac:dyDescent="0.25">
      <c r="B408" s="11">
        <v>45597</v>
      </c>
      <c r="C408" s="1" t="s">
        <v>132</v>
      </c>
      <c r="D408" s="1">
        <v>-1</v>
      </c>
      <c r="E408" s="8" t="s">
        <v>163</v>
      </c>
      <c r="F408" s="46" t="s">
        <v>831</v>
      </c>
    </row>
    <row r="409" spans="2:6" ht="16.5" customHeight="1" x14ac:dyDescent="0.25">
      <c r="B409" s="11">
        <v>45597</v>
      </c>
      <c r="C409" s="1" t="s">
        <v>164</v>
      </c>
      <c r="D409" s="1">
        <v>1</v>
      </c>
      <c r="E409" s="8" t="s">
        <v>168</v>
      </c>
      <c r="F409" s="46" t="s">
        <v>832</v>
      </c>
    </row>
    <row r="410" spans="2:6" ht="16.5" customHeight="1" x14ac:dyDescent="0.25">
      <c r="B410" s="11">
        <v>45597</v>
      </c>
      <c r="C410" s="1" t="s">
        <v>164</v>
      </c>
      <c r="D410" s="1">
        <v>-1</v>
      </c>
      <c r="E410" s="8" t="s">
        <v>170</v>
      </c>
      <c r="F410" s="46" t="s">
        <v>833</v>
      </c>
    </row>
    <row r="411" spans="2:6" ht="16.5" customHeight="1" x14ac:dyDescent="0.25">
      <c r="B411" s="11">
        <v>45597</v>
      </c>
      <c r="C411" s="1" t="s">
        <v>164</v>
      </c>
      <c r="D411" s="1">
        <v>1</v>
      </c>
      <c r="E411" s="8" t="s">
        <v>192</v>
      </c>
      <c r="F411" s="46" t="s">
        <v>834</v>
      </c>
    </row>
    <row r="412" spans="2:6" ht="16.5" customHeight="1" x14ac:dyDescent="0.25">
      <c r="B412" s="11">
        <v>45597</v>
      </c>
      <c r="C412" s="1" t="s">
        <v>164</v>
      </c>
      <c r="D412" s="1">
        <v>1</v>
      </c>
      <c r="E412" s="8" t="s">
        <v>174</v>
      </c>
      <c r="F412" s="46" t="s">
        <v>835</v>
      </c>
    </row>
    <row r="413" spans="2:6" ht="16.5" customHeight="1" x14ac:dyDescent="0.25">
      <c r="B413" s="11">
        <v>45597</v>
      </c>
      <c r="C413" s="1" t="s">
        <v>164</v>
      </c>
      <c r="D413" s="1">
        <v>1</v>
      </c>
      <c r="E413" s="8" t="s">
        <v>176</v>
      </c>
      <c r="F413" s="46" t="s">
        <v>836</v>
      </c>
    </row>
    <row r="414" spans="2:6" ht="16.5" customHeight="1" x14ac:dyDescent="0.25">
      <c r="B414" s="11">
        <v>45597</v>
      </c>
      <c r="C414" s="1" t="s">
        <v>164</v>
      </c>
      <c r="D414" s="1">
        <v>1</v>
      </c>
      <c r="E414" s="8" t="s">
        <v>178</v>
      </c>
      <c r="F414" s="46" t="s">
        <v>837</v>
      </c>
    </row>
    <row r="415" spans="2:6" ht="16.5" customHeight="1" x14ac:dyDescent="0.25">
      <c r="B415" s="11">
        <v>45597</v>
      </c>
      <c r="C415" s="1" t="s">
        <v>164</v>
      </c>
      <c r="D415" s="1">
        <v>1</v>
      </c>
      <c r="E415" s="8" t="s">
        <v>180</v>
      </c>
      <c r="F415" s="46" t="s">
        <v>838</v>
      </c>
    </row>
    <row r="416" spans="2:6" ht="16.5" customHeight="1" x14ac:dyDescent="0.25">
      <c r="B416" s="11">
        <v>45597</v>
      </c>
      <c r="C416" s="1" t="s">
        <v>164</v>
      </c>
      <c r="D416" s="1">
        <v>1</v>
      </c>
      <c r="E416" s="8" t="s">
        <v>182</v>
      </c>
      <c r="F416" s="46" t="s">
        <v>839</v>
      </c>
    </row>
    <row r="417" spans="2:6" ht="16.5" customHeight="1" x14ac:dyDescent="0.25">
      <c r="B417" s="11">
        <v>45597</v>
      </c>
      <c r="C417" s="1" t="s">
        <v>164</v>
      </c>
      <c r="D417" s="1">
        <v>1</v>
      </c>
      <c r="E417" s="8" t="s">
        <v>184</v>
      </c>
      <c r="F417" s="46" t="s">
        <v>840</v>
      </c>
    </row>
    <row r="418" spans="2:6" ht="16.5" customHeight="1" x14ac:dyDescent="0.25">
      <c r="B418" s="11">
        <v>45597</v>
      </c>
      <c r="C418" s="1" t="s">
        <v>164</v>
      </c>
      <c r="D418" s="1">
        <v>1</v>
      </c>
      <c r="E418" s="8" t="s">
        <v>186</v>
      </c>
      <c r="F418" s="46" t="s">
        <v>841</v>
      </c>
    </row>
    <row r="419" spans="2:6" ht="16.5" customHeight="1" x14ac:dyDescent="0.25">
      <c r="B419" s="11">
        <v>45627</v>
      </c>
      <c r="C419" s="1" t="s">
        <v>132</v>
      </c>
      <c r="D419" s="1">
        <v>-1</v>
      </c>
      <c r="E419" s="8" t="s">
        <v>136</v>
      </c>
      <c r="F419" s="46" t="s">
        <v>842</v>
      </c>
    </row>
    <row r="420" spans="2:6" ht="16.5" customHeight="1" x14ac:dyDescent="0.25">
      <c r="B420" s="11">
        <v>45627</v>
      </c>
      <c r="C420" s="1" t="s">
        <v>132</v>
      </c>
      <c r="D420" s="1">
        <v>-1</v>
      </c>
      <c r="E420" s="8" t="s">
        <v>137</v>
      </c>
      <c r="F420" s="46" t="s">
        <v>843</v>
      </c>
    </row>
    <row r="421" spans="2:6" ht="16.5" customHeight="1" x14ac:dyDescent="0.25">
      <c r="B421" s="11">
        <v>45627</v>
      </c>
      <c r="C421" s="1" t="s">
        <v>132</v>
      </c>
      <c r="D421" s="1">
        <v>0</v>
      </c>
      <c r="E421" s="8" t="s">
        <v>140</v>
      </c>
      <c r="F421" s="46" t="s">
        <v>844</v>
      </c>
    </row>
    <row r="422" spans="2:6" ht="16.5" customHeight="1" x14ac:dyDescent="0.25">
      <c r="B422" s="11">
        <v>45627</v>
      </c>
      <c r="C422" s="1" t="s">
        <v>132</v>
      </c>
      <c r="D422" s="1">
        <v>0</v>
      </c>
      <c r="E422" s="8" t="s">
        <v>134</v>
      </c>
      <c r="F422" s="46" t="s">
        <v>845</v>
      </c>
    </row>
    <row r="423" spans="2:6" ht="16.5" customHeight="1" x14ac:dyDescent="0.25">
      <c r="B423" s="11">
        <v>45627</v>
      </c>
      <c r="C423" s="1" t="s">
        <v>132</v>
      </c>
      <c r="D423" s="1">
        <v>-1</v>
      </c>
      <c r="E423" s="8" t="s">
        <v>142</v>
      </c>
      <c r="F423" s="46" t="s">
        <v>846</v>
      </c>
    </row>
    <row r="424" spans="2:6" ht="16.5" customHeight="1" x14ac:dyDescent="0.25">
      <c r="B424" s="11">
        <v>45627</v>
      </c>
      <c r="C424" s="1" t="s">
        <v>132</v>
      </c>
      <c r="D424" s="1">
        <v>-1</v>
      </c>
      <c r="E424" s="8" t="s">
        <v>144</v>
      </c>
      <c r="F424" s="46" t="s">
        <v>847</v>
      </c>
    </row>
    <row r="425" spans="2:6" ht="16.5" customHeight="1" x14ac:dyDescent="0.25">
      <c r="B425" s="11">
        <v>45627</v>
      </c>
      <c r="C425" s="1" t="s">
        <v>132</v>
      </c>
      <c r="D425" s="1">
        <v>1</v>
      </c>
      <c r="E425" s="8" t="s">
        <v>152</v>
      </c>
      <c r="F425" s="46" t="s">
        <v>848</v>
      </c>
    </row>
    <row r="426" spans="2:6" ht="16.5" customHeight="1" x14ac:dyDescent="0.25">
      <c r="B426" s="11">
        <v>45627</v>
      </c>
      <c r="C426" s="1" t="s">
        <v>132</v>
      </c>
      <c r="D426" s="1">
        <v>1</v>
      </c>
      <c r="E426" s="8" t="s">
        <v>150</v>
      </c>
      <c r="F426" s="46" t="s">
        <v>849</v>
      </c>
    </row>
    <row r="427" spans="2:6" ht="16.5" customHeight="1" x14ac:dyDescent="0.25">
      <c r="B427" s="11">
        <v>45627</v>
      </c>
      <c r="C427" s="1" t="s">
        <v>132</v>
      </c>
      <c r="D427" s="1">
        <v>1</v>
      </c>
      <c r="E427" s="8" t="s">
        <v>163</v>
      </c>
      <c r="F427" s="46" t="s">
        <v>850</v>
      </c>
    </row>
    <row r="428" spans="2:6" ht="16.5" customHeight="1" x14ac:dyDescent="0.25">
      <c r="B428" s="11">
        <v>45627</v>
      </c>
      <c r="C428" s="1" t="s">
        <v>132</v>
      </c>
      <c r="D428" s="1">
        <v>1</v>
      </c>
      <c r="E428" s="8" t="s">
        <v>148</v>
      </c>
      <c r="F428" s="46" t="s">
        <v>851</v>
      </c>
    </row>
    <row r="429" spans="2:6" ht="16.5" customHeight="1" x14ac:dyDescent="0.25">
      <c r="B429" s="11">
        <v>45627</v>
      </c>
      <c r="C429" s="1" t="s">
        <v>164</v>
      </c>
      <c r="D429" s="1">
        <v>1</v>
      </c>
      <c r="E429" s="8" t="s">
        <v>166</v>
      </c>
      <c r="F429" s="46" t="s">
        <v>852</v>
      </c>
    </row>
    <row r="430" spans="2:6" ht="16.5" customHeight="1" x14ac:dyDescent="0.25">
      <c r="B430" s="11">
        <v>45627</v>
      </c>
      <c r="C430" s="1" t="s">
        <v>164</v>
      </c>
      <c r="D430" s="1">
        <v>0</v>
      </c>
      <c r="E430" s="8" t="s">
        <v>168</v>
      </c>
      <c r="F430" s="46" t="s">
        <v>853</v>
      </c>
    </row>
    <row r="431" spans="2:6" ht="16.5" customHeight="1" x14ac:dyDescent="0.25">
      <c r="B431" s="11">
        <v>45627</v>
      </c>
      <c r="C431" s="1" t="s">
        <v>164</v>
      </c>
      <c r="D431" s="1">
        <v>1</v>
      </c>
      <c r="E431" s="8" t="s">
        <v>192</v>
      </c>
      <c r="F431" s="46" t="s">
        <v>854</v>
      </c>
    </row>
    <row r="432" spans="2:6" ht="16.5" customHeight="1" x14ac:dyDescent="0.25">
      <c r="B432" s="11">
        <v>45627</v>
      </c>
      <c r="C432" s="1" t="s">
        <v>164</v>
      </c>
      <c r="D432" s="1">
        <v>1</v>
      </c>
      <c r="E432" s="8" t="s">
        <v>172</v>
      </c>
      <c r="F432" s="46" t="s">
        <v>855</v>
      </c>
    </row>
    <row r="433" spans="2:6" ht="16.5" customHeight="1" x14ac:dyDescent="0.25">
      <c r="B433" s="11">
        <v>45627</v>
      </c>
      <c r="C433" s="1" t="s">
        <v>164</v>
      </c>
      <c r="D433" s="1">
        <v>-1</v>
      </c>
      <c r="E433" s="8" t="s">
        <v>174</v>
      </c>
      <c r="F433" s="46" t="s">
        <v>856</v>
      </c>
    </row>
    <row r="434" spans="2:6" ht="16.5" customHeight="1" x14ac:dyDescent="0.25">
      <c r="B434" s="11">
        <v>45627</v>
      </c>
      <c r="C434" s="1" t="s">
        <v>164</v>
      </c>
      <c r="D434" s="1">
        <v>-1</v>
      </c>
      <c r="E434" s="8" t="s">
        <v>178</v>
      </c>
      <c r="F434" s="46" t="s">
        <v>857</v>
      </c>
    </row>
    <row r="435" spans="2:6" ht="16.5" customHeight="1" x14ac:dyDescent="0.25">
      <c r="B435" s="11">
        <v>45627</v>
      </c>
      <c r="C435" s="1" t="s">
        <v>164</v>
      </c>
      <c r="D435" s="1">
        <v>1</v>
      </c>
      <c r="E435" s="8" t="s">
        <v>182</v>
      </c>
      <c r="F435" s="46" t="s">
        <v>858</v>
      </c>
    </row>
    <row r="436" spans="2:6" ht="16.5" customHeight="1" x14ac:dyDescent="0.25">
      <c r="B436" s="11">
        <v>45627</v>
      </c>
      <c r="C436" s="1" t="s">
        <v>164</v>
      </c>
      <c r="D436" s="1">
        <v>1</v>
      </c>
      <c r="E436" s="8" t="s">
        <v>184</v>
      </c>
      <c r="F436" s="46" t="s">
        <v>859</v>
      </c>
    </row>
    <row r="437" spans="2:6" ht="16.5" customHeight="1" x14ac:dyDescent="0.25">
      <c r="B437" s="11">
        <v>45627</v>
      </c>
      <c r="C437" s="1" t="s">
        <v>164</v>
      </c>
      <c r="D437" s="1">
        <v>1</v>
      </c>
      <c r="E437" s="8" t="s">
        <v>186</v>
      </c>
      <c r="F437" s="46" t="s">
        <v>860</v>
      </c>
    </row>
    <row r="438" spans="2:6" ht="16.5" customHeight="1" x14ac:dyDescent="0.25">
      <c r="B438" s="11">
        <v>45627</v>
      </c>
      <c r="C438" s="1" t="s">
        <v>164</v>
      </c>
      <c r="D438" s="1">
        <v>1</v>
      </c>
      <c r="E438" s="8" t="s">
        <v>188</v>
      </c>
      <c r="F438" s="46" t="s">
        <v>861</v>
      </c>
    </row>
    <row r="439" spans="2:6" ht="16.5" customHeight="1" x14ac:dyDescent="0.25">
      <c r="B439" s="11">
        <v>45292</v>
      </c>
      <c r="C439" s="1" t="s">
        <v>132</v>
      </c>
      <c r="E439" s="8" t="s">
        <v>136</v>
      </c>
      <c r="F439" s="46" t="s">
        <v>862</v>
      </c>
    </row>
    <row r="440" spans="2:6" ht="16.5" customHeight="1" x14ac:dyDescent="0.25">
      <c r="B440" s="11">
        <v>45658</v>
      </c>
      <c r="C440" s="1" t="s">
        <v>132</v>
      </c>
      <c r="E440" s="8" t="s">
        <v>137</v>
      </c>
      <c r="F440" s="46" t="s">
        <v>863</v>
      </c>
    </row>
    <row r="441" spans="2:6" ht="16.5" customHeight="1" x14ac:dyDescent="0.25">
      <c r="B441" s="11">
        <v>45658</v>
      </c>
      <c r="C441" s="1" t="s">
        <v>132</v>
      </c>
      <c r="E441" s="8" t="s">
        <v>134</v>
      </c>
      <c r="F441" s="46" t="s">
        <v>864</v>
      </c>
    </row>
    <row r="442" spans="2:6" ht="16.5" customHeight="1" x14ac:dyDescent="0.25">
      <c r="B442" s="11">
        <v>45658</v>
      </c>
      <c r="C442" s="1" t="s">
        <v>132</v>
      </c>
      <c r="E442" s="8" t="s">
        <v>140</v>
      </c>
      <c r="F442" s="46" t="s">
        <v>865</v>
      </c>
    </row>
    <row r="443" spans="2:6" ht="16.5" customHeight="1" x14ac:dyDescent="0.25">
      <c r="B443" s="11">
        <v>45658</v>
      </c>
      <c r="C443" s="1" t="s">
        <v>132</v>
      </c>
      <c r="E443" s="8" t="s">
        <v>142</v>
      </c>
      <c r="F443" s="46" t="s">
        <v>866</v>
      </c>
    </row>
    <row r="444" spans="2:6" ht="16.5" customHeight="1" x14ac:dyDescent="0.25">
      <c r="B444" s="11">
        <v>45658</v>
      </c>
      <c r="C444" s="1" t="s">
        <v>132</v>
      </c>
      <c r="E444" s="8" t="s">
        <v>152</v>
      </c>
      <c r="F444" s="46" t="s">
        <v>867</v>
      </c>
    </row>
    <row r="445" spans="2:6" ht="16.5" customHeight="1" x14ac:dyDescent="0.25">
      <c r="B445" s="11">
        <v>45658</v>
      </c>
      <c r="C445" s="1" t="s">
        <v>132</v>
      </c>
      <c r="E445" s="8" t="s">
        <v>144</v>
      </c>
      <c r="F445" s="46" t="s">
        <v>868</v>
      </c>
    </row>
    <row r="446" spans="2:6" ht="16.5" customHeight="1" x14ac:dyDescent="0.25">
      <c r="B446" s="11">
        <v>45658</v>
      </c>
      <c r="C446" s="1" t="s">
        <v>132</v>
      </c>
      <c r="E446" s="8" t="s">
        <v>150</v>
      </c>
      <c r="F446" s="46" t="s">
        <v>869</v>
      </c>
    </row>
    <row r="447" spans="2:6" ht="16.5" customHeight="1" x14ac:dyDescent="0.25">
      <c r="B447" s="11">
        <v>45658</v>
      </c>
      <c r="C447" s="1" t="s">
        <v>132</v>
      </c>
      <c r="E447" s="8" t="s">
        <v>163</v>
      </c>
      <c r="F447" s="46" t="s">
        <v>870</v>
      </c>
    </row>
    <row r="448" spans="2:6" ht="16.5" customHeight="1" x14ac:dyDescent="0.25">
      <c r="B448" s="11">
        <v>45658</v>
      </c>
      <c r="C448" s="1" t="s">
        <v>132</v>
      </c>
      <c r="E448" s="8" t="s">
        <v>484</v>
      </c>
      <c r="F448" s="46" t="s">
        <v>871</v>
      </c>
    </row>
    <row r="449" spans="2:6" ht="16.5" customHeight="1" x14ac:dyDescent="0.25">
      <c r="B449" s="11">
        <v>45658</v>
      </c>
      <c r="C449" s="1" t="s">
        <v>164</v>
      </c>
      <c r="E449" s="8" t="s">
        <v>168</v>
      </c>
      <c r="F449" s="46" t="s">
        <v>872</v>
      </c>
    </row>
    <row r="450" spans="2:6" ht="16.5" customHeight="1" x14ac:dyDescent="0.25">
      <c r="B450" s="11">
        <v>45658</v>
      </c>
      <c r="C450" s="1" t="s">
        <v>164</v>
      </c>
      <c r="E450" s="8" t="s">
        <v>170</v>
      </c>
      <c r="F450" s="46" t="s">
        <v>873</v>
      </c>
    </row>
    <row r="451" spans="2:6" ht="16.5" customHeight="1" x14ac:dyDescent="0.25">
      <c r="B451" s="11">
        <v>45658</v>
      </c>
      <c r="C451" s="1" t="s">
        <v>164</v>
      </c>
      <c r="E451" s="8" t="s">
        <v>172</v>
      </c>
      <c r="F451" s="46" t="s">
        <v>874</v>
      </c>
    </row>
    <row r="452" spans="2:6" ht="16.5" customHeight="1" x14ac:dyDescent="0.25">
      <c r="B452" s="11">
        <v>45658</v>
      </c>
      <c r="C452" s="1" t="s">
        <v>164</v>
      </c>
      <c r="E452" s="8" t="s">
        <v>174</v>
      </c>
      <c r="F452" s="46" t="s">
        <v>875</v>
      </c>
    </row>
    <row r="453" spans="2:6" ht="16.5" customHeight="1" x14ac:dyDescent="0.25">
      <c r="B453" s="11">
        <v>45658</v>
      </c>
      <c r="C453" s="1" t="s">
        <v>164</v>
      </c>
      <c r="E453" s="8" t="s">
        <v>176</v>
      </c>
      <c r="F453" s="46" t="s">
        <v>876</v>
      </c>
    </row>
    <row r="454" spans="2:6" ht="16.5" customHeight="1" x14ac:dyDescent="0.25">
      <c r="B454" s="11">
        <v>45658</v>
      </c>
      <c r="C454" s="1" t="s">
        <v>164</v>
      </c>
      <c r="E454" s="8" t="s">
        <v>178</v>
      </c>
      <c r="F454" s="46" t="s">
        <v>877</v>
      </c>
    </row>
    <row r="455" spans="2:6" ht="16.5" customHeight="1" x14ac:dyDescent="0.25">
      <c r="B455" s="11">
        <v>45658</v>
      </c>
      <c r="C455" s="1" t="s">
        <v>164</v>
      </c>
      <c r="E455" s="8" t="s">
        <v>228</v>
      </c>
      <c r="F455" s="46" t="s">
        <v>878</v>
      </c>
    </row>
    <row r="456" spans="2:6" ht="16.5" customHeight="1" x14ac:dyDescent="0.25">
      <c r="B456" s="11">
        <v>45658</v>
      </c>
      <c r="C456" s="1" t="s">
        <v>164</v>
      </c>
      <c r="E456" s="8" t="s">
        <v>182</v>
      </c>
      <c r="F456" s="46" t="s">
        <v>879</v>
      </c>
    </row>
    <row r="457" spans="2:6" ht="16.5" customHeight="1" x14ac:dyDescent="0.25">
      <c r="B457" s="11">
        <v>45658</v>
      </c>
      <c r="C457" s="1" t="s">
        <v>164</v>
      </c>
      <c r="E457" s="8" t="s">
        <v>184</v>
      </c>
      <c r="F457" s="46" t="s">
        <v>880</v>
      </c>
    </row>
    <row r="458" spans="2:6" ht="16.5" customHeight="1" x14ac:dyDescent="0.25">
      <c r="B458" s="11">
        <v>45658</v>
      </c>
      <c r="C458" s="1" t="s">
        <v>164</v>
      </c>
      <c r="E458" s="8" t="s">
        <v>188</v>
      </c>
      <c r="F458" s="46" t="s">
        <v>881</v>
      </c>
    </row>
    <row r="459" spans="2:6" ht="16.5" customHeight="1" x14ac:dyDescent="0.25">
      <c r="B459" s="11">
        <v>45689</v>
      </c>
      <c r="C459" s="1" t="s">
        <v>132</v>
      </c>
      <c r="E459" s="8" t="s">
        <v>136</v>
      </c>
      <c r="F459" s="46" t="s">
        <v>882</v>
      </c>
    </row>
    <row r="460" spans="2:6" ht="16.5" customHeight="1" x14ac:dyDescent="0.25">
      <c r="B460" s="11">
        <v>45689</v>
      </c>
      <c r="C460" s="1" t="s">
        <v>132</v>
      </c>
      <c r="E460" s="8" t="s">
        <v>137</v>
      </c>
      <c r="F460" s="46" t="s">
        <v>883</v>
      </c>
    </row>
    <row r="461" spans="2:6" ht="16.5" customHeight="1" x14ac:dyDescent="0.25">
      <c r="B461" s="11">
        <v>45689</v>
      </c>
      <c r="C461" s="1" t="s">
        <v>132</v>
      </c>
      <c r="E461" s="8" t="s">
        <v>134</v>
      </c>
      <c r="F461" s="46" t="s">
        <v>884</v>
      </c>
    </row>
    <row r="462" spans="2:6" ht="16.5" customHeight="1" x14ac:dyDescent="0.25">
      <c r="B462" s="11">
        <v>45689</v>
      </c>
      <c r="C462" s="1" t="s">
        <v>132</v>
      </c>
      <c r="E462" s="8" t="s">
        <v>140</v>
      </c>
      <c r="F462" s="46" t="s">
        <v>885</v>
      </c>
    </row>
    <row r="463" spans="2:6" ht="16.5" customHeight="1" x14ac:dyDescent="0.25">
      <c r="B463" s="11">
        <v>45689</v>
      </c>
      <c r="C463" s="1" t="s">
        <v>132</v>
      </c>
      <c r="E463" s="8" t="s">
        <v>142</v>
      </c>
      <c r="F463" s="46" t="s">
        <v>886</v>
      </c>
    </row>
    <row r="464" spans="2:6" ht="16.5" customHeight="1" x14ac:dyDescent="0.25">
      <c r="B464" s="11">
        <v>45689</v>
      </c>
      <c r="C464" s="1" t="s">
        <v>132</v>
      </c>
      <c r="E464" s="8" t="s">
        <v>144</v>
      </c>
      <c r="F464" s="46" t="s">
        <v>887</v>
      </c>
    </row>
    <row r="465" spans="2:6" ht="16.5" customHeight="1" x14ac:dyDescent="0.25">
      <c r="B465" s="11">
        <v>45689</v>
      </c>
      <c r="C465" s="1" t="s">
        <v>132</v>
      </c>
      <c r="E465" s="8" t="s">
        <v>152</v>
      </c>
      <c r="F465" s="46" t="s">
        <v>888</v>
      </c>
    </row>
    <row r="466" spans="2:6" ht="16.5" customHeight="1" x14ac:dyDescent="0.25">
      <c r="B466" s="11">
        <v>45689</v>
      </c>
      <c r="C466" s="1" t="s">
        <v>132</v>
      </c>
      <c r="E466" s="8" t="s">
        <v>202</v>
      </c>
      <c r="F466" s="46" t="s">
        <v>889</v>
      </c>
    </row>
    <row r="467" spans="2:6" ht="16.5" customHeight="1" x14ac:dyDescent="0.25">
      <c r="B467" s="11">
        <v>45689</v>
      </c>
      <c r="C467" s="1" t="s">
        <v>132</v>
      </c>
      <c r="E467" s="8" t="s">
        <v>148</v>
      </c>
      <c r="F467" s="46" t="s">
        <v>890</v>
      </c>
    </row>
    <row r="468" spans="2:6" ht="16.5" customHeight="1" x14ac:dyDescent="0.25">
      <c r="B468" s="11">
        <v>45689</v>
      </c>
      <c r="C468" s="1" t="s">
        <v>132</v>
      </c>
      <c r="E468" s="8" t="s">
        <v>163</v>
      </c>
      <c r="F468" s="46" t="s">
        <v>891</v>
      </c>
    </row>
    <row r="469" spans="2:6" ht="16.5" customHeight="1" x14ac:dyDescent="0.25">
      <c r="B469" s="11">
        <v>45689</v>
      </c>
      <c r="C469" s="1" t="s">
        <v>164</v>
      </c>
      <c r="E469" s="8" t="s">
        <v>166</v>
      </c>
      <c r="F469" s="46" t="s">
        <v>892</v>
      </c>
    </row>
    <row r="470" spans="2:6" ht="16.5" customHeight="1" x14ac:dyDescent="0.25">
      <c r="B470" s="11">
        <v>45689</v>
      </c>
      <c r="C470" s="1" t="s">
        <v>164</v>
      </c>
      <c r="E470" s="8" t="s">
        <v>226</v>
      </c>
      <c r="F470" s="46" t="s">
        <v>893</v>
      </c>
    </row>
    <row r="471" spans="2:6" ht="16.5" customHeight="1" x14ac:dyDescent="0.25">
      <c r="B471" s="11">
        <v>45689</v>
      </c>
      <c r="C471" s="1" t="s">
        <v>164</v>
      </c>
      <c r="E471" s="8" t="s">
        <v>168</v>
      </c>
      <c r="F471" s="46" t="s">
        <v>894</v>
      </c>
    </row>
    <row r="472" spans="2:6" ht="16.5" customHeight="1" x14ac:dyDescent="0.25">
      <c r="B472" s="11">
        <v>45689</v>
      </c>
      <c r="C472" s="1" t="s">
        <v>164</v>
      </c>
      <c r="E472" s="8" t="s">
        <v>170</v>
      </c>
      <c r="F472" s="46" t="s">
        <v>895</v>
      </c>
    </row>
    <row r="473" spans="2:6" ht="16.5" customHeight="1" x14ac:dyDescent="0.25">
      <c r="B473" s="11">
        <v>45689</v>
      </c>
      <c r="C473" s="1" t="s">
        <v>164</v>
      </c>
      <c r="E473" s="8" t="s">
        <v>172</v>
      </c>
      <c r="F473" s="46" t="s">
        <v>896</v>
      </c>
    </row>
    <row r="474" spans="2:6" ht="16.5" customHeight="1" x14ac:dyDescent="0.25">
      <c r="B474" s="11">
        <v>45689</v>
      </c>
      <c r="C474" s="1" t="s">
        <v>164</v>
      </c>
      <c r="E474" s="8" t="s">
        <v>174</v>
      </c>
      <c r="F474" s="46" t="s">
        <v>897</v>
      </c>
    </row>
    <row r="475" spans="2:6" ht="16.5" customHeight="1" x14ac:dyDescent="0.25">
      <c r="B475" s="11">
        <v>45689</v>
      </c>
      <c r="C475" s="1" t="s">
        <v>164</v>
      </c>
      <c r="E475" s="8" t="s">
        <v>176</v>
      </c>
      <c r="F475" s="46" t="s">
        <v>898</v>
      </c>
    </row>
    <row r="476" spans="2:6" ht="16.5" customHeight="1" x14ac:dyDescent="0.25">
      <c r="B476" s="11">
        <v>45689</v>
      </c>
      <c r="C476" s="1" t="s">
        <v>164</v>
      </c>
      <c r="E476" s="8" t="s">
        <v>178</v>
      </c>
      <c r="F476" s="46" t="s">
        <v>899</v>
      </c>
    </row>
    <row r="477" spans="2:6" ht="16.5" customHeight="1" x14ac:dyDescent="0.25">
      <c r="B477" s="11">
        <v>45689</v>
      </c>
      <c r="C477" s="1" t="s">
        <v>164</v>
      </c>
      <c r="E477" s="8" t="s">
        <v>180</v>
      </c>
      <c r="F477" s="46" t="s">
        <v>900</v>
      </c>
    </row>
    <row r="478" spans="2:6" ht="16.5" customHeight="1" x14ac:dyDescent="0.25">
      <c r="B478" s="11">
        <v>45689</v>
      </c>
      <c r="C478" s="1" t="s">
        <v>164</v>
      </c>
      <c r="E478" s="8" t="s">
        <v>188</v>
      </c>
      <c r="F478" s="46" t="s">
        <v>901</v>
      </c>
    </row>
    <row r="479" spans="2:6" ht="16.5" customHeight="1" x14ac:dyDescent="0.25">
      <c r="B479" s="11">
        <v>45717</v>
      </c>
      <c r="C479" s="1" t="s">
        <v>132</v>
      </c>
      <c r="E479" s="8" t="s">
        <v>136</v>
      </c>
      <c r="F479" s="46" t="s">
        <v>902</v>
      </c>
    </row>
    <row r="480" spans="2:6" ht="16.5" customHeight="1" x14ac:dyDescent="0.25">
      <c r="B480" s="11">
        <v>45717</v>
      </c>
      <c r="C480" s="1" t="s">
        <v>132</v>
      </c>
      <c r="E480" s="8" t="s">
        <v>137</v>
      </c>
      <c r="F480" s="46" t="s">
        <v>903</v>
      </c>
    </row>
    <row r="481" spans="2:6" ht="16.5" customHeight="1" x14ac:dyDescent="0.25">
      <c r="B481" s="11">
        <v>45717</v>
      </c>
      <c r="C481" s="1" t="s">
        <v>132</v>
      </c>
      <c r="E481" s="8" t="s">
        <v>134</v>
      </c>
      <c r="F481" s="46" t="s">
        <v>904</v>
      </c>
    </row>
    <row r="482" spans="2:6" ht="16.5" customHeight="1" x14ac:dyDescent="0.25">
      <c r="B482" s="11">
        <v>45717</v>
      </c>
      <c r="C482" s="1" t="s">
        <v>132</v>
      </c>
      <c r="E482" s="8" t="s">
        <v>140</v>
      </c>
      <c r="F482" s="46" t="s">
        <v>905</v>
      </c>
    </row>
    <row r="483" spans="2:6" ht="16.5" customHeight="1" x14ac:dyDescent="0.25">
      <c r="B483" s="11">
        <v>45717</v>
      </c>
      <c r="C483" s="1" t="s">
        <v>132</v>
      </c>
      <c r="E483" s="8" t="s">
        <v>142</v>
      </c>
      <c r="F483" s="46" t="s">
        <v>906</v>
      </c>
    </row>
    <row r="484" spans="2:6" ht="16.5" customHeight="1" x14ac:dyDescent="0.25">
      <c r="B484" s="11">
        <v>45717</v>
      </c>
      <c r="C484" s="1" t="s">
        <v>132</v>
      </c>
      <c r="E484" s="8" t="s">
        <v>144</v>
      </c>
      <c r="F484" s="46" t="s">
        <v>907</v>
      </c>
    </row>
    <row r="485" spans="2:6" ht="16.5" customHeight="1" x14ac:dyDescent="0.25">
      <c r="B485" s="11">
        <v>45717</v>
      </c>
      <c r="C485" s="1" t="s">
        <v>132</v>
      </c>
      <c r="E485" s="8" t="s">
        <v>152</v>
      </c>
      <c r="F485" s="46" t="s">
        <v>908</v>
      </c>
    </row>
    <row r="486" spans="2:6" ht="16.5" customHeight="1" x14ac:dyDescent="0.25">
      <c r="B486" s="11">
        <v>45717</v>
      </c>
      <c r="C486" s="1" t="s">
        <v>132</v>
      </c>
      <c r="E486" s="8" t="s">
        <v>150</v>
      </c>
      <c r="F486" s="46" t="s">
        <v>909</v>
      </c>
    </row>
    <row r="487" spans="2:6" ht="16.5" customHeight="1" x14ac:dyDescent="0.25">
      <c r="B487" s="11">
        <v>45717</v>
      </c>
      <c r="C487" s="1" t="s">
        <v>132</v>
      </c>
      <c r="E487" s="8" t="s">
        <v>201</v>
      </c>
      <c r="F487" s="46" t="s">
        <v>910</v>
      </c>
    </row>
    <row r="488" spans="2:6" ht="16.5" customHeight="1" x14ac:dyDescent="0.25">
      <c r="B488" s="11">
        <v>45717</v>
      </c>
      <c r="C488" s="1" t="s">
        <v>132</v>
      </c>
      <c r="E488" s="8" t="s">
        <v>163</v>
      </c>
      <c r="F488" s="46" t="s">
        <v>911</v>
      </c>
    </row>
    <row r="489" spans="2:6" ht="16.5" customHeight="1" x14ac:dyDescent="0.25">
      <c r="B489" s="11">
        <v>45748</v>
      </c>
      <c r="C489" s="1" t="s">
        <v>132</v>
      </c>
      <c r="E489" s="8" t="s">
        <v>136</v>
      </c>
      <c r="F489" s="46" t="s">
        <v>912</v>
      </c>
    </row>
    <row r="490" spans="2:6" ht="16.5" customHeight="1" x14ac:dyDescent="0.25">
      <c r="B490" s="11">
        <v>45748</v>
      </c>
      <c r="C490" s="1" t="s">
        <v>132</v>
      </c>
      <c r="E490" s="8" t="s">
        <v>137</v>
      </c>
      <c r="F490" s="46" t="s">
        <v>913</v>
      </c>
    </row>
    <row r="491" spans="2:6" ht="16.5" customHeight="1" x14ac:dyDescent="0.25">
      <c r="B491" s="11">
        <v>45748</v>
      </c>
      <c r="C491" s="1" t="s">
        <v>132</v>
      </c>
      <c r="E491" s="8" t="s">
        <v>134</v>
      </c>
      <c r="F491" s="46" t="s">
        <v>914</v>
      </c>
    </row>
    <row r="492" spans="2:6" ht="16.5" customHeight="1" x14ac:dyDescent="0.25">
      <c r="B492" s="11">
        <v>45748</v>
      </c>
      <c r="C492" s="1" t="s">
        <v>132</v>
      </c>
      <c r="E492" s="8" t="s">
        <v>140</v>
      </c>
      <c r="F492" s="46" t="s">
        <v>915</v>
      </c>
    </row>
    <row r="493" spans="2:6" ht="16.5" customHeight="1" x14ac:dyDescent="0.25">
      <c r="B493" s="11">
        <v>45748</v>
      </c>
      <c r="C493" s="1" t="s">
        <v>132</v>
      </c>
      <c r="E493" s="8" t="s">
        <v>142</v>
      </c>
      <c r="F493" s="46" t="s">
        <v>916</v>
      </c>
    </row>
    <row r="494" spans="2:6" ht="16.5" customHeight="1" x14ac:dyDescent="0.25">
      <c r="B494" s="11">
        <v>45748</v>
      </c>
      <c r="C494" s="1" t="s">
        <v>132</v>
      </c>
      <c r="E494" s="8" t="s">
        <v>144</v>
      </c>
      <c r="F494" s="46" t="s">
        <v>917</v>
      </c>
    </row>
    <row r="495" spans="2:6" ht="16.5" customHeight="1" x14ac:dyDescent="0.25">
      <c r="B495" s="11">
        <v>45748</v>
      </c>
      <c r="C495" s="1" t="s">
        <v>132</v>
      </c>
      <c r="E495" s="8" t="s">
        <v>482</v>
      </c>
      <c r="F495" s="46" t="s">
        <v>918</v>
      </c>
    </row>
    <row r="496" spans="2:6" ht="16.5" customHeight="1" x14ac:dyDescent="0.25">
      <c r="B496" s="11">
        <v>45748</v>
      </c>
      <c r="C496" s="1" t="s">
        <v>132</v>
      </c>
      <c r="E496" s="8" t="s">
        <v>152</v>
      </c>
      <c r="F496" s="46" t="s">
        <v>919</v>
      </c>
    </row>
    <row r="497" spans="2:6" ht="16.5" customHeight="1" x14ac:dyDescent="0.25">
      <c r="B497" s="11">
        <v>45748</v>
      </c>
      <c r="C497" s="1" t="s">
        <v>132</v>
      </c>
      <c r="E497" s="8" t="s">
        <v>150</v>
      </c>
      <c r="F497" s="46" t="s">
        <v>920</v>
      </c>
    </row>
    <row r="498" spans="2:6" ht="16.5" customHeight="1" x14ac:dyDescent="0.25">
      <c r="B498" s="11">
        <v>45748</v>
      </c>
      <c r="C498" s="1" t="s">
        <v>132</v>
      </c>
      <c r="E498" s="8" t="s">
        <v>202</v>
      </c>
      <c r="F498" s="46" t="s">
        <v>921</v>
      </c>
    </row>
    <row r="499" spans="2:6" ht="16.5" customHeight="1" x14ac:dyDescent="0.25">
      <c r="B499" s="11">
        <v>45717</v>
      </c>
      <c r="C499" s="1" t="s">
        <v>164</v>
      </c>
      <c r="E499" s="8" t="s">
        <v>166</v>
      </c>
      <c r="F499" s="46" t="s">
        <v>922</v>
      </c>
    </row>
    <row r="500" spans="2:6" ht="16.5" customHeight="1" x14ac:dyDescent="0.25">
      <c r="B500" s="11">
        <v>45717</v>
      </c>
      <c r="C500" s="1" t="s">
        <v>164</v>
      </c>
      <c r="E500" s="8" t="s">
        <v>168</v>
      </c>
      <c r="F500" s="46" t="s">
        <v>923</v>
      </c>
    </row>
    <row r="501" spans="2:6" ht="16.5" customHeight="1" x14ac:dyDescent="0.25">
      <c r="B501" s="11">
        <v>45717</v>
      </c>
      <c r="C501" s="1" t="s">
        <v>164</v>
      </c>
      <c r="E501" s="8" t="s">
        <v>172</v>
      </c>
      <c r="F501" s="46" t="s">
        <v>924</v>
      </c>
    </row>
    <row r="502" spans="2:6" ht="16.5" customHeight="1" x14ac:dyDescent="0.25">
      <c r="B502" s="11">
        <v>45717</v>
      </c>
      <c r="C502" s="1" t="s">
        <v>164</v>
      </c>
      <c r="E502" s="8" t="s">
        <v>174</v>
      </c>
      <c r="F502" s="46" t="s">
        <v>925</v>
      </c>
    </row>
    <row r="503" spans="2:6" ht="16.5" customHeight="1" x14ac:dyDescent="0.25">
      <c r="B503" s="11">
        <v>45717</v>
      </c>
      <c r="C503" s="1" t="s">
        <v>164</v>
      </c>
      <c r="E503" s="8" t="s">
        <v>468</v>
      </c>
      <c r="F503" s="46" t="s">
        <v>926</v>
      </c>
    </row>
    <row r="504" spans="2:6" ht="16.5" customHeight="1" x14ac:dyDescent="0.25">
      <c r="B504" s="11">
        <v>45717</v>
      </c>
      <c r="C504" s="1" t="s">
        <v>164</v>
      </c>
      <c r="E504" s="8" t="s">
        <v>178</v>
      </c>
      <c r="F504" s="46" t="s">
        <v>927</v>
      </c>
    </row>
    <row r="505" spans="2:6" ht="16.5" customHeight="1" x14ac:dyDescent="0.25">
      <c r="B505" s="11">
        <v>45717</v>
      </c>
      <c r="C505" s="1" t="s">
        <v>164</v>
      </c>
      <c r="E505" s="8" t="s">
        <v>180</v>
      </c>
      <c r="F505" s="46" t="s">
        <v>928</v>
      </c>
    </row>
    <row r="506" spans="2:6" ht="16.5" customHeight="1" x14ac:dyDescent="0.25">
      <c r="B506" s="11">
        <v>45717</v>
      </c>
      <c r="C506" s="1" t="s">
        <v>164</v>
      </c>
      <c r="E506" s="8" t="s">
        <v>184</v>
      </c>
      <c r="F506" s="46" t="s">
        <v>929</v>
      </c>
    </row>
    <row r="507" spans="2:6" ht="16.5" customHeight="1" x14ac:dyDescent="0.25">
      <c r="B507" s="11">
        <v>45717</v>
      </c>
      <c r="C507" s="1" t="s">
        <v>164</v>
      </c>
      <c r="E507" s="8" t="s">
        <v>186</v>
      </c>
      <c r="F507" s="46" t="s">
        <v>930</v>
      </c>
    </row>
    <row r="508" spans="2:6" ht="16.5" customHeight="1" x14ac:dyDescent="0.25">
      <c r="B508" s="11">
        <v>45717</v>
      </c>
      <c r="C508" s="1" t="s">
        <v>164</v>
      </c>
      <c r="E508" s="8" t="s">
        <v>188</v>
      </c>
      <c r="F508" s="46" t="s">
        <v>931</v>
      </c>
    </row>
    <row r="509" spans="2:6" ht="16.5" customHeight="1" x14ac:dyDescent="0.25">
      <c r="B509" s="11">
        <v>45748</v>
      </c>
      <c r="C509" s="1" t="s">
        <v>164</v>
      </c>
      <c r="E509" s="8" t="s">
        <v>166</v>
      </c>
      <c r="F509" s="46" t="s">
        <v>932</v>
      </c>
    </row>
    <row r="510" spans="2:6" ht="16.5" customHeight="1" x14ac:dyDescent="0.25">
      <c r="B510" s="11">
        <v>45748</v>
      </c>
      <c r="C510" s="1" t="s">
        <v>164</v>
      </c>
      <c r="E510" s="8" t="s">
        <v>226</v>
      </c>
      <c r="F510" s="46" t="s">
        <v>933</v>
      </c>
    </row>
    <row r="511" spans="2:6" ht="16.5" customHeight="1" x14ac:dyDescent="0.25">
      <c r="B511" s="11">
        <v>45748</v>
      </c>
      <c r="C511" s="1" t="s">
        <v>164</v>
      </c>
      <c r="E511" s="8" t="s">
        <v>168</v>
      </c>
      <c r="F511" s="46" t="s">
        <v>934</v>
      </c>
    </row>
    <row r="512" spans="2:6" ht="16.5" customHeight="1" x14ac:dyDescent="0.25">
      <c r="B512" s="11">
        <v>45748</v>
      </c>
      <c r="C512" s="1" t="s">
        <v>164</v>
      </c>
      <c r="E512" s="8" t="s">
        <v>170</v>
      </c>
      <c r="F512" s="46" t="s">
        <v>935</v>
      </c>
    </row>
    <row r="513" spans="2:6" ht="16.5" customHeight="1" x14ac:dyDescent="0.25">
      <c r="B513" s="11">
        <v>45748</v>
      </c>
      <c r="C513" s="1" t="s">
        <v>164</v>
      </c>
      <c r="E513" s="8" t="s">
        <v>172</v>
      </c>
      <c r="F513" s="46" t="s">
        <v>936</v>
      </c>
    </row>
    <row r="514" spans="2:6" ht="16.5" customHeight="1" x14ac:dyDescent="0.25">
      <c r="B514" s="11">
        <v>45748</v>
      </c>
      <c r="C514" s="1" t="s">
        <v>164</v>
      </c>
      <c r="E514" s="8" t="s">
        <v>468</v>
      </c>
      <c r="F514" s="46" t="s">
        <v>937</v>
      </c>
    </row>
    <row r="515" spans="2:6" ht="16.5" customHeight="1" x14ac:dyDescent="0.25">
      <c r="B515" s="11">
        <v>45748</v>
      </c>
      <c r="C515" s="1" t="s">
        <v>164</v>
      </c>
      <c r="E515" s="8" t="s">
        <v>180</v>
      </c>
      <c r="F515" s="46" t="s">
        <v>938</v>
      </c>
    </row>
    <row r="516" spans="2:6" ht="16.5" customHeight="1" x14ac:dyDescent="0.25">
      <c r="B516" s="11">
        <v>45748</v>
      </c>
      <c r="C516" s="1" t="s">
        <v>164</v>
      </c>
      <c r="E516" s="8" t="s">
        <v>228</v>
      </c>
      <c r="F516" s="46" t="s">
        <v>939</v>
      </c>
    </row>
    <row r="517" spans="2:6" ht="16.5" customHeight="1" x14ac:dyDescent="0.25">
      <c r="B517" s="11">
        <v>45748</v>
      </c>
      <c r="C517" s="1" t="s">
        <v>164</v>
      </c>
      <c r="E517" s="8" t="s">
        <v>184</v>
      </c>
      <c r="F517" s="46" t="s">
        <v>940</v>
      </c>
    </row>
    <row r="518" spans="2:6" ht="16.5" customHeight="1" x14ac:dyDescent="0.25">
      <c r="B518" s="11">
        <v>45748</v>
      </c>
      <c r="C518" s="1" t="s">
        <v>164</v>
      </c>
      <c r="E518" s="8" t="s">
        <v>186</v>
      </c>
      <c r="F518" s="46" t="s">
        <v>941</v>
      </c>
    </row>
    <row r="519" spans="2:6" ht="16.5" customHeight="1" x14ac:dyDescent="0.25">
      <c r="B519" s="11">
        <v>45778</v>
      </c>
      <c r="C519" s="1" t="s">
        <v>132</v>
      </c>
      <c r="E519" s="8" t="s">
        <v>137</v>
      </c>
      <c r="F519" s="46" t="s">
        <v>942</v>
      </c>
    </row>
    <row r="520" spans="2:6" ht="16.5" customHeight="1" x14ac:dyDescent="0.25">
      <c r="B520" s="11">
        <v>45778</v>
      </c>
      <c r="C520" s="1" t="s">
        <v>132</v>
      </c>
      <c r="E520" s="8" t="s">
        <v>140</v>
      </c>
      <c r="F520" s="46" t="s">
        <v>943</v>
      </c>
    </row>
    <row r="521" spans="2:6" ht="16.5" customHeight="1" x14ac:dyDescent="0.25">
      <c r="B521" s="11">
        <v>45778</v>
      </c>
      <c r="C521" s="1" t="s">
        <v>132</v>
      </c>
      <c r="E521" s="8" t="s">
        <v>134</v>
      </c>
      <c r="F521" s="46" t="s">
        <v>944</v>
      </c>
    </row>
    <row r="522" spans="2:6" ht="16.5" customHeight="1" x14ac:dyDescent="0.25">
      <c r="B522" s="11">
        <v>45778</v>
      </c>
      <c r="C522" s="1" t="s">
        <v>132</v>
      </c>
      <c r="E522" s="8" t="s">
        <v>136</v>
      </c>
      <c r="F522" s="46" t="s">
        <v>945</v>
      </c>
    </row>
    <row r="523" spans="2:6" ht="16.5" customHeight="1" x14ac:dyDescent="0.25">
      <c r="B523" s="11">
        <v>45778</v>
      </c>
      <c r="C523" s="1" t="s">
        <v>132</v>
      </c>
      <c r="E523" s="8" t="s">
        <v>144</v>
      </c>
      <c r="F523" s="46" t="s">
        <v>946</v>
      </c>
    </row>
    <row r="524" spans="2:6" ht="16.5" customHeight="1" x14ac:dyDescent="0.25">
      <c r="B524" s="11">
        <v>45778</v>
      </c>
      <c r="C524" s="1" t="s">
        <v>132</v>
      </c>
      <c r="E524" s="8" t="s">
        <v>142</v>
      </c>
      <c r="F524" s="46" t="s">
        <v>947</v>
      </c>
    </row>
    <row r="525" spans="2:6" ht="16.5" customHeight="1" x14ac:dyDescent="0.25">
      <c r="B525" s="11">
        <v>45778</v>
      </c>
      <c r="C525" s="1" t="s">
        <v>132</v>
      </c>
      <c r="E525" s="8" t="s">
        <v>152</v>
      </c>
      <c r="F525" s="46" t="s">
        <v>948</v>
      </c>
    </row>
    <row r="526" spans="2:6" ht="16.5" customHeight="1" x14ac:dyDescent="0.25">
      <c r="B526" s="11">
        <v>45778</v>
      </c>
      <c r="C526" s="1" t="s">
        <v>132</v>
      </c>
      <c r="E526" s="8" t="s">
        <v>163</v>
      </c>
      <c r="F526" s="46" t="s">
        <v>949</v>
      </c>
    </row>
    <row r="527" spans="2:6" ht="16.5" customHeight="1" x14ac:dyDescent="0.25">
      <c r="B527" s="11">
        <v>45778</v>
      </c>
      <c r="C527" s="1" t="s">
        <v>132</v>
      </c>
      <c r="E527" s="8" t="s">
        <v>150</v>
      </c>
      <c r="F527" s="46" t="s">
        <v>950</v>
      </c>
    </row>
    <row r="528" spans="2:6" ht="16.5" customHeight="1" x14ac:dyDescent="0.25">
      <c r="B528" s="11">
        <v>45778</v>
      </c>
      <c r="C528" s="1" t="s">
        <v>132</v>
      </c>
      <c r="E528" s="8" t="s">
        <v>203</v>
      </c>
      <c r="F528" s="46" t="s">
        <v>951</v>
      </c>
    </row>
    <row r="529" spans="2:6" ht="16.5" customHeight="1" x14ac:dyDescent="0.25">
      <c r="B529" s="11">
        <v>45778</v>
      </c>
      <c r="C529" s="1" t="s">
        <v>164</v>
      </c>
      <c r="E529" s="8" t="s">
        <v>168</v>
      </c>
      <c r="F529" s="46" t="s">
        <v>952</v>
      </c>
    </row>
    <row r="530" spans="2:6" ht="16.5" customHeight="1" x14ac:dyDescent="0.25">
      <c r="B530" s="11">
        <v>45778</v>
      </c>
      <c r="C530" s="1" t="s">
        <v>164</v>
      </c>
      <c r="E530" s="8" t="s">
        <v>192</v>
      </c>
      <c r="F530" s="46" t="s">
        <v>953</v>
      </c>
    </row>
    <row r="531" spans="2:6" ht="16.5" customHeight="1" x14ac:dyDescent="0.25">
      <c r="B531" s="11">
        <v>45778</v>
      </c>
      <c r="C531" s="1" t="s">
        <v>164</v>
      </c>
      <c r="E531" s="8" t="s">
        <v>172</v>
      </c>
      <c r="F531" s="46" t="s">
        <v>954</v>
      </c>
    </row>
    <row r="532" spans="2:6" ht="16.5" customHeight="1" x14ac:dyDescent="0.25">
      <c r="B532" s="11">
        <v>45778</v>
      </c>
      <c r="C532" s="1" t="s">
        <v>164</v>
      </c>
      <c r="E532" s="8" t="s">
        <v>174</v>
      </c>
      <c r="F532" s="46" t="s">
        <v>955</v>
      </c>
    </row>
    <row r="533" spans="2:6" ht="16.5" customHeight="1" x14ac:dyDescent="0.25">
      <c r="B533" s="11">
        <v>45778</v>
      </c>
      <c r="C533" s="1" t="s">
        <v>164</v>
      </c>
      <c r="E533" s="8" t="s">
        <v>467</v>
      </c>
      <c r="F533" s="46" t="s">
        <v>956</v>
      </c>
    </row>
    <row r="534" spans="2:6" ht="16.5" customHeight="1" x14ac:dyDescent="0.25">
      <c r="B534" s="11">
        <v>45778</v>
      </c>
      <c r="C534" s="1" t="s">
        <v>164</v>
      </c>
      <c r="E534" s="8" t="s">
        <v>178</v>
      </c>
      <c r="F534" s="46" t="s">
        <v>957</v>
      </c>
    </row>
    <row r="535" spans="2:6" ht="16.5" customHeight="1" x14ac:dyDescent="0.25">
      <c r="B535" s="11">
        <v>45778</v>
      </c>
      <c r="C535" s="1" t="s">
        <v>164</v>
      </c>
      <c r="E535" s="8" t="s">
        <v>180</v>
      </c>
      <c r="F535" s="46" t="s">
        <v>958</v>
      </c>
    </row>
    <row r="536" spans="2:6" ht="16.5" customHeight="1" x14ac:dyDescent="0.25">
      <c r="B536" s="11">
        <v>45778</v>
      </c>
      <c r="C536" s="1" t="s">
        <v>164</v>
      </c>
      <c r="E536" s="8" t="s">
        <v>182</v>
      </c>
      <c r="F536" s="46" t="s">
        <v>959</v>
      </c>
    </row>
    <row r="537" spans="2:6" ht="16.5" customHeight="1" x14ac:dyDescent="0.25">
      <c r="B537" s="11">
        <v>45778</v>
      </c>
      <c r="C537" s="1" t="s">
        <v>164</v>
      </c>
      <c r="E537" s="8" t="s">
        <v>184</v>
      </c>
      <c r="F537" s="46" t="s">
        <v>960</v>
      </c>
    </row>
    <row r="538" spans="2:6" ht="16.5" customHeight="1" x14ac:dyDescent="0.25">
      <c r="B538" s="11">
        <v>45778</v>
      </c>
      <c r="C538" s="1" t="s">
        <v>164</v>
      </c>
      <c r="E538" s="8" t="s">
        <v>186</v>
      </c>
      <c r="F538" s="46" t="s">
        <v>961</v>
      </c>
    </row>
    <row r="539" spans="2:6" ht="16.5" customHeight="1" x14ac:dyDescent="0.25">
      <c r="B539" s="11">
        <v>45809</v>
      </c>
      <c r="C539" s="1" t="s">
        <v>132</v>
      </c>
      <c r="E539" s="8" t="s">
        <v>144</v>
      </c>
      <c r="F539" s="46" t="s">
        <v>962</v>
      </c>
    </row>
    <row r="540" spans="2:6" ht="16.5" customHeight="1" x14ac:dyDescent="0.25">
      <c r="B540" s="11">
        <v>45809</v>
      </c>
      <c r="C540" s="1" t="s">
        <v>132</v>
      </c>
      <c r="E540" s="8" t="s">
        <v>485</v>
      </c>
      <c r="F540" s="46" t="s">
        <v>963</v>
      </c>
    </row>
    <row r="541" spans="2:6" ht="16.5" customHeight="1" x14ac:dyDescent="0.25">
      <c r="B541" s="11">
        <v>45809</v>
      </c>
      <c r="C541" s="1" t="s">
        <v>132</v>
      </c>
      <c r="E541" s="8" t="s">
        <v>136</v>
      </c>
      <c r="F541" s="46" t="s">
        <v>964</v>
      </c>
    </row>
    <row r="542" spans="2:6" ht="16.5" customHeight="1" x14ac:dyDescent="0.25">
      <c r="B542" s="11">
        <v>45809</v>
      </c>
      <c r="C542" s="1" t="s">
        <v>132</v>
      </c>
      <c r="E542" s="8" t="s">
        <v>142</v>
      </c>
      <c r="F542" s="46" t="s">
        <v>965</v>
      </c>
    </row>
    <row r="543" spans="2:6" ht="16.5" customHeight="1" x14ac:dyDescent="0.25">
      <c r="B543" s="11">
        <v>45809</v>
      </c>
      <c r="C543" s="1" t="s">
        <v>132</v>
      </c>
      <c r="E543" s="8" t="s">
        <v>140</v>
      </c>
      <c r="F543" s="46" t="s">
        <v>966</v>
      </c>
    </row>
    <row r="544" spans="2:6" ht="16.5" customHeight="1" x14ac:dyDescent="0.25">
      <c r="B544" s="11">
        <v>45809</v>
      </c>
      <c r="C544" s="1" t="s">
        <v>132</v>
      </c>
      <c r="E544" s="8" t="s">
        <v>134</v>
      </c>
      <c r="F544" s="46" t="s">
        <v>967</v>
      </c>
    </row>
    <row r="545" spans="2:6" ht="16.5" customHeight="1" x14ac:dyDescent="0.25">
      <c r="B545" s="11">
        <v>45809</v>
      </c>
      <c r="C545" s="1" t="s">
        <v>132</v>
      </c>
      <c r="E545" s="8" t="s">
        <v>201</v>
      </c>
      <c r="F545" s="46" t="s">
        <v>968</v>
      </c>
    </row>
    <row r="546" spans="2:6" ht="16.5" customHeight="1" x14ac:dyDescent="0.25">
      <c r="B546" s="11">
        <v>45809</v>
      </c>
      <c r="C546" s="1" t="s">
        <v>132</v>
      </c>
      <c r="E546" s="8" t="s">
        <v>163</v>
      </c>
      <c r="F546" s="46" t="s">
        <v>969</v>
      </c>
    </row>
    <row r="547" spans="2:6" ht="16.5" customHeight="1" x14ac:dyDescent="0.25">
      <c r="B547" s="11">
        <v>45809</v>
      </c>
      <c r="C547" s="1" t="s">
        <v>132</v>
      </c>
      <c r="E547" s="8" t="s">
        <v>150</v>
      </c>
      <c r="F547" s="46" t="s">
        <v>970</v>
      </c>
    </row>
    <row r="548" spans="2:6" ht="16.5" customHeight="1" x14ac:dyDescent="0.25">
      <c r="B548" s="11">
        <v>45809</v>
      </c>
      <c r="C548" s="1" t="s">
        <v>132</v>
      </c>
      <c r="E548" s="8" t="s">
        <v>137</v>
      </c>
      <c r="F548" s="46" t="s">
        <v>971</v>
      </c>
    </row>
    <row r="549" spans="2:6" ht="16.5" customHeight="1" x14ac:dyDescent="0.25">
      <c r="B549" s="11">
        <v>45809</v>
      </c>
      <c r="C549" s="1" t="s">
        <v>164</v>
      </c>
      <c r="E549" s="8" t="s">
        <v>166</v>
      </c>
      <c r="F549" s="46" t="s">
        <v>972</v>
      </c>
    </row>
    <row r="550" spans="2:6" ht="16.5" customHeight="1" x14ac:dyDescent="0.25">
      <c r="B550" s="11">
        <v>45809</v>
      </c>
      <c r="C550" s="1" t="s">
        <v>164</v>
      </c>
      <c r="E550" s="8" t="s">
        <v>226</v>
      </c>
      <c r="F550" s="46" t="s">
        <v>973</v>
      </c>
    </row>
    <row r="551" spans="2:6" ht="16.5" customHeight="1" x14ac:dyDescent="0.25">
      <c r="B551" s="11">
        <v>45809</v>
      </c>
      <c r="C551" s="1" t="s">
        <v>164</v>
      </c>
      <c r="E551" s="8" t="s">
        <v>168</v>
      </c>
      <c r="F551" s="46" t="s">
        <v>974</v>
      </c>
    </row>
    <row r="552" spans="2:6" ht="16.5" customHeight="1" x14ac:dyDescent="0.25">
      <c r="B552" s="11">
        <v>45809</v>
      </c>
      <c r="C552" s="1" t="s">
        <v>164</v>
      </c>
      <c r="E552" s="8" t="s">
        <v>172</v>
      </c>
      <c r="F552" s="46" t="s">
        <v>975</v>
      </c>
    </row>
    <row r="553" spans="2:6" ht="16.5" customHeight="1" x14ac:dyDescent="0.25">
      <c r="B553" s="11">
        <v>45809</v>
      </c>
      <c r="C553" s="1" t="s">
        <v>164</v>
      </c>
      <c r="E553" s="8" t="s">
        <v>174</v>
      </c>
      <c r="F553" s="46" t="s">
        <v>976</v>
      </c>
    </row>
    <row r="554" spans="2:6" ht="16.5" customHeight="1" x14ac:dyDescent="0.25">
      <c r="B554" s="11">
        <v>45809</v>
      </c>
      <c r="C554" s="1" t="s">
        <v>164</v>
      </c>
      <c r="E554" s="8" t="s">
        <v>468</v>
      </c>
      <c r="F554" s="46" t="s">
        <v>977</v>
      </c>
    </row>
    <row r="555" spans="2:6" ht="16.5" customHeight="1" x14ac:dyDescent="0.25">
      <c r="B555" s="11">
        <v>45809</v>
      </c>
      <c r="C555" s="1" t="s">
        <v>164</v>
      </c>
      <c r="E555" s="8" t="s">
        <v>178</v>
      </c>
      <c r="F555" s="46" t="s">
        <v>978</v>
      </c>
    </row>
    <row r="556" spans="2:6" ht="16.5" customHeight="1" x14ac:dyDescent="0.25">
      <c r="B556" s="11">
        <v>45809</v>
      </c>
      <c r="C556" s="1" t="s">
        <v>164</v>
      </c>
      <c r="E556" s="8" t="s">
        <v>228</v>
      </c>
      <c r="F556" s="46" t="s">
        <v>979</v>
      </c>
    </row>
    <row r="557" spans="2:6" ht="16.5" customHeight="1" x14ac:dyDescent="0.25">
      <c r="B557" s="11">
        <v>45809</v>
      </c>
      <c r="C557" s="1" t="s">
        <v>164</v>
      </c>
      <c r="E557" s="8" t="s">
        <v>186</v>
      </c>
      <c r="F557" s="46" t="s">
        <v>980</v>
      </c>
    </row>
    <row r="558" spans="2:6" ht="16.5" customHeight="1" x14ac:dyDescent="0.25">
      <c r="B558" s="11">
        <v>45809</v>
      </c>
      <c r="C558" s="1" t="s">
        <v>164</v>
      </c>
      <c r="E558" s="8" t="s">
        <v>188</v>
      </c>
      <c r="F558" s="46" t="s">
        <v>981</v>
      </c>
    </row>
    <row r="559" spans="2:6" ht="16.5" customHeight="1" x14ac:dyDescent="0.25">
      <c r="B559" s="11">
        <v>45839</v>
      </c>
      <c r="C559" s="1" t="s">
        <v>132</v>
      </c>
      <c r="E559" s="8" t="s">
        <v>134</v>
      </c>
      <c r="F559" s="46" t="s">
        <v>982</v>
      </c>
    </row>
    <row r="560" spans="2:6" ht="16.5" customHeight="1" x14ac:dyDescent="0.25">
      <c r="B560" s="11">
        <v>45839</v>
      </c>
      <c r="C560" s="1" t="s">
        <v>132</v>
      </c>
      <c r="E560" s="8" t="s">
        <v>136</v>
      </c>
      <c r="F560" s="46" t="s">
        <v>983</v>
      </c>
    </row>
    <row r="561" spans="2:6" ht="16.5" customHeight="1" x14ac:dyDescent="0.25">
      <c r="B561" s="11">
        <v>45839</v>
      </c>
      <c r="C561" s="1" t="s">
        <v>132</v>
      </c>
      <c r="E561" s="8" t="s">
        <v>482</v>
      </c>
      <c r="F561" s="46" t="s">
        <v>984</v>
      </c>
    </row>
    <row r="562" spans="2:6" ht="16.5" customHeight="1" x14ac:dyDescent="0.25">
      <c r="B562" s="11">
        <v>45839</v>
      </c>
      <c r="C562" s="1" t="s">
        <v>132</v>
      </c>
      <c r="E562" s="8" t="s">
        <v>142</v>
      </c>
      <c r="F562" s="46" t="s">
        <v>985</v>
      </c>
    </row>
    <row r="563" spans="2:6" ht="16.5" customHeight="1" x14ac:dyDescent="0.25">
      <c r="B563" s="11">
        <v>45839</v>
      </c>
      <c r="C563" s="1" t="s">
        <v>132</v>
      </c>
      <c r="E563" s="8" t="s">
        <v>144</v>
      </c>
      <c r="F563" s="46" t="s">
        <v>986</v>
      </c>
    </row>
    <row r="564" spans="2:6" ht="16.5" customHeight="1" x14ac:dyDescent="0.25">
      <c r="B564" s="11">
        <v>45839</v>
      </c>
      <c r="C564" s="1" t="s">
        <v>132</v>
      </c>
      <c r="E564" s="8" t="s">
        <v>150</v>
      </c>
      <c r="F564" s="46" t="s">
        <v>987</v>
      </c>
    </row>
    <row r="565" spans="2:6" ht="16.5" customHeight="1" x14ac:dyDescent="0.25">
      <c r="B565" s="11">
        <v>45839</v>
      </c>
      <c r="C565" s="1" t="s">
        <v>132</v>
      </c>
      <c r="E565" s="8" t="s">
        <v>152</v>
      </c>
      <c r="F565" s="46" t="s">
        <v>988</v>
      </c>
    </row>
    <row r="566" spans="2:6" ht="16.5" customHeight="1" x14ac:dyDescent="0.25">
      <c r="B566" s="11">
        <v>45839</v>
      </c>
      <c r="C566" s="1" t="s">
        <v>132</v>
      </c>
      <c r="E566" s="8" t="s">
        <v>202</v>
      </c>
      <c r="F566" s="46" t="s">
        <v>989</v>
      </c>
    </row>
    <row r="567" spans="2:6" ht="16.5" customHeight="1" x14ac:dyDescent="0.25">
      <c r="B567" s="11">
        <v>45839</v>
      </c>
      <c r="C567" s="1" t="s">
        <v>132</v>
      </c>
      <c r="E567" s="8" t="s">
        <v>146</v>
      </c>
      <c r="F567" s="46" t="s">
        <v>990</v>
      </c>
    </row>
    <row r="568" spans="2:6" ht="16.5" customHeight="1" x14ac:dyDescent="0.25">
      <c r="B568" s="11">
        <v>45839</v>
      </c>
      <c r="C568" s="1" t="s">
        <v>132</v>
      </c>
      <c r="E568" s="8" t="s">
        <v>163</v>
      </c>
      <c r="F568" s="46" t="s">
        <v>991</v>
      </c>
    </row>
    <row r="569" spans="2:6" ht="16.5" customHeight="1" x14ac:dyDescent="0.25">
      <c r="B569" s="11">
        <v>45839</v>
      </c>
      <c r="C569" s="1" t="s">
        <v>132</v>
      </c>
      <c r="E569" s="8" t="s">
        <v>137</v>
      </c>
      <c r="F569" s="46" t="s">
        <v>992</v>
      </c>
    </row>
    <row r="570" spans="2:6" ht="16.5" customHeight="1" x14ac:dyDescent="0.25">
      <c r="B570" s="11">
        <v>45839</v>
      </c>
      <c r="C570" s="1" t="s">
        <v>164</v>
      </c>
      <c r="E570" s="8" t="s">
        <v>166</v>
      </c>
      <c r="F570" s="46" t="s">
        <v>993</v>
      </c>
    </row>
    <row r="571" spans="2:6" ht="16.5" customHeight="1" x14ac:dyDescent="0.25">
      <c r="B571" s="11">
        <v>45839</v>
      </c>
      <c r="C571" s="1" t="s">
        <v>164</v>
      </c>
      <c r="E571" s="8" t="s">
        <v>226</v>
      </c>
      <c r="F571" s="46" t="s">
        <v>994</v>
      </c>
    </row>
    <row r="572" spans="2:6" ht="16.5" customHeight="1" x14ac:dyDescent="0.25">
      <c r="B572" s="11">
        <v>45839</v>
      </c>
      <c r="C572" s="1" t="s">
        <v>164</v>
      </c>
      <c r="E572" s="8" t="s">
        <v>168</v>
      </c>
      <c r="F572" s="46" t="s">
        <v>995</v>
      </c>
    </row>
    <row r="573" spans="2:6" ht="16.5" customHeight="1" x14ac:dyDescent="0.25">
      <c r="B573" s="11">
        <v>45839</v>
      </c>
      <c r="C573" s="1" t="s">
        <v>164</v>
      </c>
      <c r="E573" s="8" t="s">
        <v>170</v>
      </c>
      <c r="F573" s="46" t="s">
        <v>996</v>
      </c>
    </row>
    <row r="574" spans="2:6" ht="16.5" customHeight="1" x14ac:dyDescent="0.25">
      <c r="B574" s="11">
        <v>45839</v>
      </c>
      <c r="C574" s="1" t="s">
        <v>164</v>
      </c>
      <c r="E574" s="8" t="s">
        <v>192</v>
      </c>
      <c r="F574" s="46" t="s">
        <v>997</v>
      </c>
    </row>
    <row r="575" spans="2:6" ht="16.5" customHeight="1" x14ac:dyDescent="0.25">
      <c r="B575" s="11">
        <v>45839</v>
      </c>
      <c r="C575" s="1" t="s">
        <v>164</v>
      </c>
      <c r="E575" s="8" t="s">
        <v>172</v>
      </c>
      <c r="F575" s="46" t="s">
        <v>998</v>
      </c>
    </row>
    <row r="576" spans="2:6" ht="16.5" customHeight="1" x14ac:dyDescent="0.25">
      <c r="B576" s="11">
        <v>45839</v>
      </c>
      <c r="C576" s="1" t="s">
        <v>164</v>
      </c>
      <c r="E576" s="8" t="s">
        <v>467</v>
      </c>
      <c r="F576" s="46" t="s">
        <v>999</v>
      </c>
    </row>
    <row r="577" spans="2:6" ht="16.5" customHeight="1" x14ac:dyDescent="0.25">
      <c r="B577" s="11">
        <v>45839</v>
      </c>
      <c r="C577" s="1" t="s">
        <v>164</v>
      </c>
      <c r="E577" s="8" t="s">
        <v>228</v>
      </c>
      <c r="F577" s="46" t="s">
        <v>1000</v>
      </c>
    </row>
    <row r="578" spans="2:6" ht="16.5" customHeight="1" x14ac:dyDescent="0.25">
      <c r="B578" s="11">
        <v>45839</v>
      </c>
      <c r="C578" s="1" t="s">
        <v>164</v>
      </c>
      <c r="E578" s="8" t="s">
        <v>182</v>
      </c>
      <c r="F578" s="46" t="s">
        <v>1001</v>
      </c>
    </row>
    <row r="579" spans="2:6" ht="16.5" customHeight="1" x14ac:dyDescent="0.25">
      <c r="B579" s="11">
        <v>45839</v>
      </c>
      <c r="C579" s="1" t="s">
        <v>164</v>
      </c>
      <c r="E579" s="8" t="s">
        <v>184</v>
      </c>
      <c r="F579" s="46" t="s">
        <v>1002</v>
      </c>
    </row>
    <row r="580" spans="2:6" ht="16.5" customHeight="1" x14ac:dyDescent="0.25">
      <c r="B580" s="11">
        <v>45870</v>
      </c>
      <c r="C580" s="1" t="s">
        <v>132</v>
      </c>
      <c r="E580" s="8" t="s">
        <v>140</v>
      </c>
      <c r="F580" s="46" t="s">
        <v>1003</v>
      </c>
    </row>
    <row r="581" spans="2:6" ht="16.5" customHeight="1" x14ac:dyDescent="0.25">
      <c r="B581" s="11">
        <v>45870</v>
      </c>
      <c r="C581" s="1" t="s">
        <v>132</v>
      </c>
      <c r="E581" s="8" t="s">
        <v>136</v>
      </c>
      <c r="F581" s="46" t="s">
        <v>1004</v>
      </c>
    </row>
    <row r="582" spans="2:6" ht="16.5" customHeight="1" x14ac:dyDescent="0.25">
      <c r="B582" s="11">
        <v>45870</v>
      </c>
      <c r="C582" s="1" t="s">
        <v>132</v>
      </c>
      <c r="E582" s="8" t="s">
        <v>201</v>
      </c>
      <c r="F582" s="46" t="s">
        <v>1005</v>
      </c>
    </row>
    <row r="583" spans="2:6" ht="16.5" customHeight="1" x14ac:dyDescent="0.25">
      <c r="B583" s="11">
        <v>45870</v>
      </c>
      <c r="C583" s="1" t="s">
        <v>132</v>
      </c>
      <c r="E583" s="8" t="s">
        <v>134</v>
      </c>
      <c r="F583" s="46" t="s">
        <v>1006</v>
      </c>
    </row>
    <row r="584" spans="2:6" ht="16.5" customHeight="1" x14ac:dyDescent="0.25">
      <c r="B584" s="11">
        <v>45870</v>
      </c>
      <c r="C584" s="1" t="s">
        <v>132</v>
      </c>
      <c r="E584" s="8" t="s">
        <v>142</v>
      </c>
      <c r="F584" s="46" t="s">
        <v>1007</v>
      </c>
    </row>
    <row r="585" spans="2:6" ht="16.5" customHeight="1" x14ac:dyDescent="0.25">
      <c r="B585" s="11">
        <v>45870</v>
      </c>
      <c r="C585" s="1" t="s">
        <v>132</v>
      </c>
      <c r="E585" s="8" t="s">
        <v>144</v>
      </c>
      <c r="F585" s="46" t="s">
        <v>1008</v>
      </c>
    </row>
    <row r="586" spans="2:6" ht="16.5" customHeight="1" x14ac:dyDescent="0.25">
      <c r="B586" s="11">
        <v>45870</v>
      </c>
      <c r="C586" s="1" t="s">
        <v>132</v>
      </c>
      <c r="E586" s="8" t="s">
        <v>137</v>
      </c>
      <c r="F586" s="46" t="s">
        <v>1009</v>
      </c>
    </row>
    <row r="587" spans="2:6" ht="16.5" customHeight="1" x14ac:dyDescent="0.25">
      <c r="B587" s="11">
        <v>45870</v>
      </c>
      <c r="C587" s="1" t="s">
        <v>132</v>
      </c>
      <c r="E587" s="8" t="s">
        <v>485</v>
      </c>
      <c r="F587" s="46" t="s">
        <v>1010</v>
      </c>
    </row>
    <row r="588" spans="2:6" ht="16.5" customHeight="1" x14ac:dyDescent="0.25">
      <c r="B588" s="11">
        <v>45870</v>
      </c>
      <c r="C588" s="1" t="s">
        <v>132</v>
      </c>
      <c r="E588" s="8" t="s">
        <v>152</v>
      </c>
      <c r="F588" s="46" t="s">
        <v>1011</v>
      </c>
    </row>
    <row r="589" spans="2:6" ht="16.5" customHeight="1" x14ac:dyDescent="0.25">
      <c r="B589" s="11">
        <v>45870</v>
      </c>
      <c r="C589" s="1" t="s">
        <v>132</v>
      </c>
      <c r="E589" s="8" t="s">
        <v>202</v>
      </c>
      <c r="F589" s="46" t="s">
        <v>1012</v>
      </c>
    </row>
    <row r="590" spans="2:6" ht="16.5" customHeight="1" x14ac:dyDescent="0.25">
      <c r="B590" s="11">
        <v>45870</v>
      </c>
      <c r="C590" s="1" t="s">
        <v>164</v>
      </c>
      <c r="E590" s="8" t="s">
        <v>166</v>
      </c>
      <c r="F590" s="46" t="s">
        <v>1013</v>
      </c>
    </row>
    <row r="591" spans="2:6" ht="16.5" customHeight="1" x14ac:dyDescent="0.25">
      <c r="B591" s="11">
        <v>45870</v>
      </c>
      <c r="C591" s="1" t="s">
        <v>164</v>
      </c>
      <c r="E591" s="8" t="s">
        <v>226</v>
      </c>
      <c r="F591" s="46" t="s">
        <v>1014</v>
      </c>
    </row>
    <row r="592" spans="2:6" ht="16.5" customHeight="1" x14ac:dyDescent="0.25">
      <c r="B592" s="11">
        <v>45870</v>
      </c>
      <c r="C592" s="1" t="s">
        <v>164</v>
      </c>
      <c r="E592" s="8" t="s">
        <v>192</v>
      </c>
      <c r="F592" s="46" t="s">
        <v>1015</v>
      </c>
    </row>
    <row r="593" spans="2:6" ht="16.5" customHeight="1" x14ac:dyDescent="0.25">
      <c r="B593" s="11">
        <v>45870</v>
      </c>
      <c r="C593" s="1" t="s">
        <v>164</v>
      </c>
      <c r="E593" s="8" t="s">
        <v>176</v>
      </c>
      <c r="F593" s="46" t="s">
        <v>1016</v>
      </c>
    </row>
    <row r="594" spans="2:6" ht="16.5" customHeight="1" x14ac:dyDescent="0.25">
      <c r="B594" s="11">
        <v>45870</v>
      </c>
      <c r="C594" s="1" t="s">
        <v>164</v>
      </c>
      <c r="E594" s="8" t="s">
        <v>1017</v>
      </c>
      <c r="F594" s="46" t="s">
        <v>468</v>
      </c>
    </row>
    <row r="595" spans="2:6" ht="16.5" customHeight="1" x14ac:dyDescent="0.25">
      <c r="B595" s="11">
        <v>45870</v>
      </c>
      <c r="C595" s="1" t="s">
        <v>164</v>
      </c>
      <c r="E595" s="8" t="s">
        <v>178</v>
      </c>
      <c r="F595" s="46" t="s">
        <v>1018</v>
      </c>
    </row>
    <row r="596" spans="2:6" ht="16.5" customHeight="1" x14ac:dyDescent="0.25">
      <c r="B596" s="11">
        <v>45870</v>
      </c>
      <c r="C596" s="1" t="s">
        <v>164</v>
      </c>
      <c r="E596" s="8" t="s">
        <v>180</v>
      </c>
      <c r="F596" s="46" t="s">
        <v>1019</v>
      </c>
    </row>
    <row r="597" spans="2:6" ht="16.5" customHeight="1" x14ac:dyDescent="0.25">
      <c r="B597" s="11">
        <v>45870</v>
      </c>
      <c r="C597" s="1" t="s">
        <v>164</v>
      </c>
      <c r="E597" s="8" t="s">
        <v>228</v>
      </c>
      <c r="F597" s="46" t="s">
        <v>1020</v>
      </c>
    </row>
    <row r="598" spans="2:6" ht="16.5" customHeight="1" x14ac:dyDescent="0.25">
      <c r="B598" s="11">
        <v>45870</v>
      </c>
      <c r="C598" s="1" t="s">
        <v>164</v>
      </c>
      <c r="E598" s="8" t="s">
        <v>182</v>
      </c>
      <c r="F598" s="46" t="s">
        <v>1021</v>
      </c>
    </row>
    <row r="599" spans="2:6" ht="16.5" customHeight="1" x14ac:dyDescent="0.25">
      <c r="B599" s="11">
        <v>45870</v>
      </c>
      <c r="C599" s="1" t="s">
        <v>164</v>
      </c>
      <c r="E599" s="8" t="s">
        <v>184</v>
      </c>
      <c r="F599" s="46" t="s">
        <v>1022</v>
      </c>
    </row>
    <row r="600" spans="2:6" ht="16.5" customHeight="1" x14ac:dyDescent="0.25">
      <c r="B600" s="11">
        <v>45901</v>
      </c>
      <c r="C600" s="1" t="s">
        <v>132</v>
      </c>
      <c r="E600" s="8" t="s">
        <v>137</v>
      </c>
      <c r="F600" s="46" t="s">
        <v>1023</v>
      </c>
    </row>
    <row r="601" spans="2:6" ht="16.5" customHeight="1" x14ac:dyDescent="0.25">
      <c r="B601" s="11">
        <v>45901</v>
      </c>
      <c r="C601" s="1" t="s">
        <v>132</v>
      </c>
      <c r="E601" s="8" t="s">
        <v>136</v>
      </c>
      <c r="F601" s="46" t="s">
        <v>1024</v>
      </c>
    </row>
    <row r="602" spans="2:6" ht="16.5" customHeight="1" x14ac:dyDescent="0.25">
      <c r="B602" s="11">
        <v>45901</v>
      </c>
      <c r="C602" s="1" t="s">
        <v>132</v>
      </c>
      <c r="E602" s="8" t="s">
        <v>142</v>
      </c>
      <c r="F602" s="46" t="s">
        <v>1025</v>
      </c>
    </row>
    <row r="603" spans="2:6" ht="16.5" customHeight="1" x14ac:dyDescent="0.25">
      <c r="B603" s="11">
        <v>45901</v>
      </c>
      <c r="C603" s="1" t="s">
        <v>132</v>
      </c>
      <c r="E603" s="8" t="s">
        <v>201</v>
      </c>
      <c r="F603" s="46" t="s">
        <v>1026</v>
      </c>
    </row>
    <row r="604" spans="2:6" ht="16.5" customHeight="1" x14ac:dyDescent="0.25">
      <c r="B604" s="11">
        <v>45901</v>
      </c>
      <c r="C604" s="1" t="s">
        <v>132</v>
      </c>
      <c r="E604" s="8" t="s">
        <v>152</v>
      </c>
      <c r="F604" s="46" t="s">
        <v>1027</v>
      </c>
    </row>
    <row r="605" spans="2:6" ht="16.5" customHeight="1" x14ac:dyDescent="0.25">
      <c r="B605" s="11">
        <v>45901</v>
      </c>
      <c r="C605" s="1" t="s">
        <v>132</v>
      </c>
      <c r="E605" s="8" t="s">
        <v>140</v>
      </c>
      <c r="F605" s="46" t="s">
        <v>1028</v>
      </c>
    </row>
    <row r="606" spans="2:6" ht="16.5" customHeight="1" x14ac:dyDescent="0.25">
      <c r="B606" s="11">
        <v>45901</v>
      </c>
      <c r="C606" s="1" t="s">
        <v>132</v>
      </c>
      <c r="E606" s="8" t="s">
        <v>134</v>
      </c>
      <c r="F606" s="46" t="s">
        <v>1029</v>
      </c>
    </row>
    <row r="607" spans="2:6" ht="16.5" customHeight="1" x14ac:dyDescent="0.25">
      <c r="B607" s="11">
        <v>45901</v>
      </c>
      <c r="C607" s="1" t="s">
        <v>132</v>
      </c>
      <c r="E607" s="8" t="s">
        <v>148</v>
      </c>
      <c r="F607" s="46" t="s">
        <v>1030</v>
      </c>
    </row>
    <row r="608" spans="2:6" ht="16.5" customHeight="1" x14ac:dyDescent="0.25">
      <c r="B608" s="11">
        <v>45901</v>
      </c>
      <c r="C608" s="1" t="s">
        <v>132</v>
      </c>
      <c r="E608" s="8" t="s">
        <v>144</v>
      </c>
      <c r="F608" s="46" t="s">
        <v>1031</v>
      </c>
    </row>
    <row r="609" spans="2:6" ht="16.5" customHeight="1" x14ac:dyDescent="0.25">
      <c r="B609" s="11">
        <v>45901</v>
      </c>
      <c r="C609" s="1" t="s">
        <v>132</v>
      </c>
      <c r="E609" s="8" t="s">
        <v>150</v>
      </c>
      <c r="F609" s="46" t="s">
        <v>1032</v>
      </c>
    </row>
    <row r="610" spans="2:6" ht="16.5" customHeight="1" x14ac:dyDescent="0.25">
      <c r="B610" s="11">
        <v>45870</v>
      </c>
      <c r="C610" s="1" t="s">
        <v>164</v>
      </c>
      <c r="E610" s="8" t="s">
        <v>166</v>
      </c>
      <c r="F610" s="46" t="s">
        <v>1033</v>
      </c>
    </row>
    <row r="611" spans="2:6" ht="16.5" customHeight="1" x14ac:dyDescent="0.25">
      <c r="B611" s="11">
        <v>45870</v>
      </c>
      <c r="C611" s="1" t="s">
        <v>164</v>
      </c>
      <c r="E611" s="8" t="s">
        <v>168</v>
      </c>
      <c r="F611" s="46" t="s">
        <v>1034</v>
      </c>
    </row>
    <row r="612" spans="2:6" ht="16.5" customHeight="1" x14ac:dyDescent="0.25">
      <c r="B612" s="11">
        <v>45870</v>
      </c>
      <c r="C612" s="1" t="s">
        <v>164</v>
      </c>
      <c r="E612" s="8" t="s">
        <v>172</v>
      </c>
      <c r="F612" s="46" t="s">
        <v>1035</v>
      </c>
    </row>
    <row r="613" spans="2:6" ht="16.5" customHeight="1" x14ac:dyDescent="0.25">
      <c r="B613" s="11">
        <v>45870</v>
      </c>
      <c r="C613" s="1" t="s">
        <v>164</v>
      </c>
      <c r="E613" s="8" t="s">
        <v>174</v>
      </c>
      <c r="F613" s="46" t="s">
        <v>1036</v>
      </c>
    </row>
    <row r="614" spans="2:6" ht="16.5" customHeight="1" x14ac:dyDescent="0.25">
      <c r="B614" s="11">
        <v>45870</v>
      </c>
      <c r="C614" s="1" t="s">
        <v>164</v>
      </c>
      <c r="E614" s="8" t="s">
        <v>178</v>
      </c>
      <c r="F614" s="46" t="s">
        <v>1037</v>
      </c>
    </row>
    <row r="615" spans="2:6" ht="16.5" customHeight="1" x14ac:dyDescent="0.25">
      <c r="B615" s="11">
        <v>45870</v>
      </c>
      <c r="C615" s="1" t="s">
        <v>164</v>
      </c>
      <c r="E615" s="8" t="s">
        <v>180</v>
      </c>
      <c r="F615" s="46" t="s">
        <v>1038</v>
      </c>
    </row>
    <row r="616" spans="2:6" ht="16.5" customHeight="1" x14ac:dyDescent="0.25">
      <c r="B616" s="11">
        <v>45870</v>
      </c>
      <c r="C616" s="1" t="s">
        <v>164</v>
      </c>
      <c r="E616" s="8" t="s">
        <v>228</v>
      </c>
      <c r="F616" s="46" t="s">
        <v>1039</v>
      </c>
    </row>
    <row r="617" spans="2:6" ht="16.5" customHeight="1" x14ac:dyDescent="0.25">
      <c r="B617" s="11">
        <v>45870</v>
      </c>
      <c r="C617" s="1" t="s">
        <v>164</v>
      </c>
      <c r="E617" s="8" t="s">
        <v>182</v>
      </c>
      <c r="F617" s="46" t="s">
        <v>1040</v>
      </c>
    </row>
    <row r="618" spans="2:6" ht="16.5" customHeight="1" x14ac:dyDescent="0.25">
      <c r="B618" s="11">
        <v>45870</v>
      </c>
      <c r="C618" s="1" t="s">
        <v>164</v>
      </c>
      <c r="E618" s="8" t="s">
        <v>186</v>
      </c>
      <c r="F618" s="46" t="s">
        <v>1041</v>
      </c>
    </row>
    <row r="619" spans="2:6" ht="16.5" customHeight="1" x14ac:dyDescent="0.25">
      <c r="B619" s="11">
        <v>45870</v>
      </c>
      <c r="C619" s="1" t="s">
        <v>164</v>
      </c>
      <c r="E619" s="8" t="s">
        <v>188</v>
      </c>
      <c r="F619" s="46" t="s">
        <v>1042</v>
      </c>
    </row>
    <row r="620" spans="2:6" ht="16.5" customHeight="1" x14ac:dyDescent="0.25">
      <c r="B620" s="11">
        <v>45931</v>
      </c>
      <c r="C620" s="1" t="s">
        <v>132</v>
      </c>
      <c r="E620" s="8" t="s">
        <v>136</v>
      </c>
      <c r="F620" s="46" t="s">
        <v>1043</v>
      </c>
    </row>
    <row r="621" spans="2:6" ht="16.5" customHeight="1" x14ac:dyDescent="0.25">
      <c r="B621" s="11">
        <v>45931</v>
      </c>
      <c r="C621" s="1" t="s">
        <v>132</v>
      </c>
      <c r="E621" s="8" t="s">
        <v>201</v>
      </c>
      <c r="F621" s="46" t="s">
        <v>1044</v>
      </c>
    </row>
    <row r="622" spans="2:6" ht="16.5" customHeight="1" x14ac:dyDescent="0.25">
      <c r="B622" s="11">
        <v>45931</v>
      </c>
      <c r="C622" s="1" t="s">
        <v>132</v>
      </c>
      <c r="E622" s="8" t="s">
        <v>150</v>
      </c>
      <c r="F622" s="46" t="s">
        <v>1045</v>
      </c>
    </row>
    <row r="623" spans="2:6" ht="16.5" customHeight="1" x14ac:dyDescent="0.25">
      <c r="B623" s="11">
        <v>45931</v>
      </c>
      <c r="C623" s="1" t="s">
        <v>132</v>
      </c>
      <c r="E623" s="8" t="s">
        <v>144</v>
      </c>
      <c r="F623" s="46" t="s">
        <v>1046</v>
      </c>
    </row>
    <row r="624" spans="2:6" ht="16.5" customHeight="1" x14ac:dyDescent="0.25">
      <c r="B624" s="11">
        <v>45931</v>
      </c>
      <c r="C624" s="1" t="s">
        <v>132</v>
      </c>
      <c r="E624" s="8" t="s">
        <v>142</v>
      </c>
      <c r="F624" s="46" t="s">
        <v>1047</v>
      </c>
    </row>
    <row r="625" spans="2:6" ht="16.5" customHeight="1" x14ac:dyDescent="0.25">
      <c r="B625" s="11">
        <v>45931</v>
      </c>
      <c r="C625" s="1" t="s">
        <v>132</v>
      </c>
      <c r="E625" s="8" t="s">
        <v>137</v>
      </c>
      <c r="F625" s="46" t="s">
        <v>1048</v>
      </c>
    </row>
    <row r="626" spans="2:6" ht="16.5" customHeight="1" x14ac:dyDescent="0.25">
      <c r="B626" s="11">
        <v>45931</v>
      </c>
      <c r="C626" s="1" t="s">
        <v>132</v>
      </c>
      <c r="E626" s="8" t="s">
        <v>142</v>
      </c>
      <c r="F626" s="46" t="s">
        <v>1049</v>
      </c>
    </row>
    <row r="627" spans="2:6" ht="16.5" customHeight="1" x14ac:dyDescent="0.25">
      <c r="B627" s="11">
        <v>45931</v>
      </c>
      <c r="C627" s="1" t="s">
        <v>132</v>
      </c>
      <c r="E627" s="8" t="s">
        <v>134</v>
      </c>
      <c r="F627" s="46" t="s">
        <v>1050</v>
      </c>
    </row>
    <row r="628" spans="2:6" ht="16.5" customHeight="1" x14ac:dyDescent="0.25">
      <c r="B628" s="11">
        <v>45931</v>
      </c>
      <c r="C628" s="1" t="s">
        <v>132</v>
      </c>
      <c r="E628" s="8" t="s">
        <v>140</v>
      </c>
      <c r="F628" s="46" t="s">
        <v>1051</v>
      </c>
    </row>
    <row r="629" spans="2:6" ht="16.5" customHeight="1" x14ac:dyDescent="0.25">
      <c r="B629" s="11">
        <v>45931</v>
      </c>
      <c r="C629" s="1" t="s">
        <v>132</v>
      </c>
      <c r="E629" s="8" t="s">
        <v>136</v>
      </c>
      <c r="F629" s="46" t="s">
        <v>1052</v>
      </c>
    </row>
    <row r="630" spans="2:6" ht="16.5" customHeight="1" x14ac:dyDescent="0.25">
      <c r="B630" s="11">
        <v>45931</v>
      </c>
      <c r="C630" s="1" t="s">
        <v>164</v>
      </c>
      <c r="E630" s="8" t="s">
        <v>192</v>
      </c>
      <c r="F630" s="46" t="s">
        <v>1053</v>
      </c>
    </row>
    <row r="631" spans="2:6" ht="16.5" customHeight="1" x14ac:dyDescent="0.25">
      <c r="B631" s="11">
        <v>45931</v>
      </c>
      <c r="C631" s="1" t="s">
        <v>164</v>
      </c>
      <c r="E631" s="8" t="s">
        <v>176</v>
      </c>
      <c r="F631" s="46" t="s">
        <v>1054</v>
      </c>
    </row>
    <row r="632" spans="2:6" ht="16.5" customHeight="1" x14ac:dyDescent="0.25">
      <c r="B632" s="11">
        <v>45931</v>
      </c>
      <c r="C632" s="1" t="s">
        <v>164</v>
      </c>
      <c r="E632" s="8" t="s">
        <v>467</v>
      </c>
      <c r="F632" s="46" t="s">
        <v>1055</v>
      </c>
    </row>
    <row r="633" spans="2:6" ht="16.5" customHeight="1" x14ac:dyDescent="0.25">
      <c r="B633" s="11">
        <v>45931</v>
      </c>
      <c r="C633" s="1" t="s">
        <v>164</v>
      </c>
      <c r="E633" s="8" t="s">
        <v>178</v>
      </c>
      <c r="F633" s="46" t="s">
        <v>1056</v>
      </c>
    </row>
    <row r="634" spans="2:6" ht="16.5" customHeight="1" x14ac:dyDescent="0.25">
      <c r="B634" s="11">
        <v>45931</v>
      </c>
      <c r="C634" s="1" t="s">
        <v>164</v>
      </c>
      <c r="E634" s="8" t="s">
        <v>180</v>
      </c>
      <c r="F634" s="46" t="s">
        <v>1057</v>
      </c>
    </row>
    <row r="635" spans="2:6" ht="16.5" customHeight="1" x14ac:dyDescent="0.25">
      <c r="B635" s="11">
        <v>45931</v>
      </c>
      <c r="C635" s="1" t="s">
        <v>164</v>
      </c>
      <c r="E635" s="8" t="s">
        <v>228</v>
      </c>
      <c r="F635" s="46" t="s">
        <v>1058</v>
      </c>
    </row>
    <row r="636" spans="2:6" ht="16.5" customHeight="1" x14ac:dyDescent="0.25">
      <c r="B636" s="11">
        <v>45931</v>
      </c>
      <c r="C636" s="1" t="s">
        <v>164</v>
      </c>
      <c r="E636" s="8" t="s">
        <v>182</v>
      </c>
      <c r="F636" s="46" t="s">
        <v>1059</v>
      </c>
    </row>
    <row r="637" spans="2:6" ht="16.5" customHeight="1" x14ac:dyDescent="0.25">
      <c r="B637" s="11">
        <v>45931</v>
      </c>
      <c r="C637" s="1" t="s">
        <v>164</v>
      </c>
      <c r="E637" s="8" t="s">
        <v>184</v>
      </c>
      <c r="F637" s="46" t="s">
        <v>1060</v>
      </c>
    </row>
    <row r="638" spans="2:6" ht="16.5" customHeight="1" x14ac:dyDescent="0.25">
      <c r="B638" s="11">
        <v>45931</v>
      </c>
      <c r="C638" s="1" t="s">
        <v>164</v>
      </c>
      <c r="E638" s="8" t="s">
        <v>186</v>
      </c>
      <c r="F638" s="46" t="s">
        <v>1061</v>
      </c>
    </row>
    <row r="639" spans="2:6" ht="16.5" customHeight="1" x14ac:dyDescent="0.25">
      <c r="B639" s="11">
        <v>45931</v>
      </c>
      <c r="C639" s="1" t="s">
        <v>164</v>
      </c>
      <c r="E639" s="8" t="s">
        <v>188</v>
      </c>
      <c r="F639" s="46" t="s">
        <v>1062</v>
      </c>
    </row>
    <row r="640" spans="2:6" ht="16.5" customHeight="1" x14ac:dyDescent="0.25">
      <c r="B640" s="11"/>
    </row>
    <row r="641" spans="2:2" ht="16.5" customHeight="1" x14ac:dyDescent="0.25">
      <c r="B641" s="11"/>
    </row>
    <row r="642" spans="2:2" ht="16.5" customHeight="1" x14ac:dyDescent="0.25">
      <c r="B642" s="11"/>
    </row>
    <row r="643" spans="2:2" ht="16.5" customHeight="1" x14ac:dyDescent="0.25">
      <c r="B643" s="11"/>
    </row>
    <row r="644" spans="2:2" ht="16.5" customHeight="1" x14ac:dyDescent="0.25">
      <c r="B644" s="11"/>
    </row>
    <row r="645" spans="2:2" ht="16.5" customHeight="1" x14ac:dyDescent="0.25">
      <c r="B645" s="11"/>
    </row>
    <row r="646" spans="2:2" ht="16.5" customHeight="1" x14ac:dyDescent="0.25">
      <c r="B646" s="11"/>
    </row>
    <row r="647" spans="2:2" ht="16.5" customHeight="1" x14ac:dyDescent="0.25">
      <c r="B647" s="11"/>
    </row>
    <row r="648" spans="2:2" ht="16.5" customHeight="1" x14ac:dyDescent="0.25">
      <c r="B648" s="11"/>
    </row>
    <row r="649" spans="2:2" ht="16.5" customHeight="1" x14ac:dyDescent="0.25">
      <c r="B649" s="11"/>
    </row>
    <row r="650" spans="2:2" ht="16.5" customHeight="1" x14ac:dyDescent="0.25">
      <c r="B650" s="11"/>
    </row>
    <row r="651" spans="2:2" ht="16.5" customHeight="1" x14ac:dyDescent="0.25">
      <c r="B651" s="11"/>
    </row>
    <row r="652" spans="2:2" ht="16.5" customHeight="1" x14ac:dyDescent="0.25">
      <c r="B652" s="11"/>
    </row>
    <row r="653" spans="2:2" ht="16.5" customHeight="1" x14ac:dyDescent="0.25">
      <c r="B653" s="11"/>
    </row>
    <row r="654" spans="2:2" ht="16.5" customHeight="1" x14ac:dyDescent="0.25">
      <c r="B654" s="11"/>
    </row>
    <row r="655" spans="2:2" ht="16.5" customHeight="1" x14ac:dyDescent="0.25">
      <c r="B655" s="11"/>
    </row>
    <row r="656" spans="2:2" ht="16.5" customHeight="1" x14ac:dyDescent="0.25">
      <c r="B656" s="11"/>
    </row>
    <row r="657" spans="2:2" ht="16.5" customHeight="1" x14ac:dyDescent="0.25">
      <c r="B657" s="11"/>
    </row>
    <row r="658" spans="2:2" ht="16.5" customHeight="1" x14ac:dyDescent="0.25">
      <c r="B658" s="11"/>
    </row>
    <row r="659" spans="2:2" ht="16.5" customHeight="1" x14ac:dyDescent="0.25">
      <c r="B659" s="11"/>
    </row>
    <row r="660" spans="2:2" ht="16.5" customHeight="1" x14ac:dyDescent="0.25">
      <c r="B660" s="11"/>
    </row>
    <row r="661" spans="2:2" ht="16.5" customHeight="1" x14ac:dyDescent="0.25">
      <c r="B661" s="11"/>
    </row>
    <row r="662" spans="2:2" ht="16.5" customHeight="1" x14ac:dyDescent="0.25">
      <c r="B662" s="11"/>
    </row>
    <row r="663" spans="2:2" ht="16.5" customHeight="1" x14ac:dyDescent="0.25">
      <c r="B663" s="11"/>
    </row>
    <row r="664" spans="2:2" ht="16.5" customHeight="1" x14ac:dyDescent="0.25">
      <c r="B664" s="11"/>
    </row>
    <row r="665" spans="2:2" ht="16.5" customHeight="1" x14ac:dyDescent="0.25">
      <c r="B665" s="11"/>
    </row>
    <row r="666" spans="2:2" ht="16.5" customHeight="1" x14ac:dyDescent="0.25">
      <c r="B666" s="11"/>
    </row>
    <row r="667" spans="2:2" ht="16.5" customHeight="1" x14ac:dyDescent="0.25">
      <c r="B667" s="11"/>
    </row>
    <row r="668" spans="2:2" ht="16.5" customHeight="1" x14ac:dyDescent="0.25">
      <c r="B668" s="11"/>
    </row>
    <row r="669" spans="2:2" ht="16.5" customHeight="1" x14ac:dyDescent="0.25">
      <c r="B669" s="11"/>
    </row>
    <row r="670" spans="2:2" ht="16.5" customHeight="1" x14ac:dyDescent="0.25">
      <c r="B670" s="11"/>
    </row>
    <row r="671" spans="2:2" ht="16.5" customHeight="1" x14ac:dyDescent="0.25">
      <c r="B671" s="11"/>
    </row>
    <row r="672" spans="2:2" ht="16.5" customHeight="1" x14ac:dyDescent="0.25">
      <c r="B672" s="11"/>
    </row>
    <row r="673" spans="2:2" ht="16.5" customHeight="1" x14ac:dyDescent="0.25">
      <c r="B673" s="11"/>
    </row>
    <row r="674" spans="2:2" ht="16.5" customHeight="1" x14ac:dyDescent="0.25">
      <c r="B674" s="11"/>
    </row>
    <row r="675" spans="2:2" ht="16.5" customHeight="1" x14ac:dyDescent="0.25">
      <c r="B675" s="11"/>
    </row>
    <row r="676" spans="2:2" ht="16.5" customHeight="1" x14ac:dyDescent="0.25">
      <c r="B676" s="11"/>
    </row>
    <row r="677" spans="2:2" ht="16.5" customHeight="1" x14ac:dyDescent="0.25">
      <c r="B677" s="11"/>
    </row>
    <row r="678" spans="2:2" ht="16.5" customHeight="1" x14ac:dyDescent="0.25">
      <c r="B678" s="11"/>
    </row>
    <row r="679" spans="2:2" ht="16.5" customHeight="1" x14ac:dyDescent="0.25">
      <c r="B679" s="11"/>
    </row>
    <row r="680" spans="2:2" ht="16.5" customHeight="1" x14ac:dyDescent="0.25">
      <c r="B680" s="11"/>
    </row>
    <row r="681" spans="2:2" ht="16.5" customHeight="1" x14ac:dyDescent="0.25">
      <c r="B681" s="11"/>
    </row>
    <row r="682" spans="2:2" ht="16.5" customHeight="1" x14ac:dyDescent="0.25">
      <c r="B682" s="11"/>
    </row>
    <row r="683" spans="2:2" ht="16.5" customHeight="1" x14ac:dyDescent="0.25">
      <c r="B683" s="11"/>
    </row>
    <row r="684" spans="2:2" ht="16.5" customHeight="1" x14ac:dyDescent="0.25">
      <c r="B684" s="11"/>
    </row>
    <row r="685" spans="2:2" ht="16.5" customHeight="1" x14ac:dyDescent="0.25">
      <c r="B685" s="11"/>
    </row>
    <row r="686" spans="2:2" ht="16.5" customHeight="1" x14ac:dyDescent="0.25">
      <c r="B686" s="11"/>
    </row>
    <row r="687" spans="2:2" ht="16.5" customHeight="1" x14ac:dyDescent="0.25">
      <c r="B687" s="11"/>
    </row>
    <row r="688" spans="2:2" ht="16.5" customHeight="1" x14ac:dyDescent="0.25">
      <c r="B688" s="11"/>
    </row>
    <row r="689" spans="2:2" ht="16.5" customHeight="1" x14ac:dyDescent="0.25">
      <c r="B689" s="11"/>
    </row>
    <row r="690" spans="2:2" ht="16.5" customHeight="1" x14ac:dyDescent="0.25">
      <c r="B690" s="11"/>
    </row>
    <row r="691" spans="2:2" ht="16.5" customHeight="1" x14ac:dyDescent="0.25">
      <c r="B691" s="11"/>
    </row>
    <row r="692" spans="2:2" ht="16.5" customHeight="1" x14ac:dyDescent="0.25">
      <c r="B692" s="11"/>
    </row>
    <row r="693" spans="2:2" ht="16.5" customHeight="1" x14ac:dyDescent="0.25">
      <c r="B693" s="11"/>
    </row>
    <row r="694" spans="2:2" ht="16.5" customHeight="1" x14ac:dyDescent="0.25">
      <c r="B694" s="11"/>
    </row>
    <row r="695" spans="2:2" ht="16.5" customHeight="1" x14ac:dyDescent="0.25">
      <c r="B695" s="11"/>
    </row>
    <row r="696" spans="2:2" ht="16.5" customHeight="1" x14ac:dyDescent="0.25">
      <c r="B696" s="11"/>
    </row>
    <row r="697" spans="2:2" ht="16.5" customHeight="1" x14ac:dyDescent="0.25">
      <c r="B697" s="11"/>
    </row>
    <row r="698" spans="2:2" ht="16.5" customHeight="1" x14ac:dyDescent="0.25">
      <c r="B698" s="11"/>
    </row>
    <row r="699" spans="2:2" ht="16.5" customHeight="1" x14ac:dyDescent="0.25">
      <c r="B699" s="11"/>
    </row>
    <row r="700" spans="2:2" ht="16.5" customHeight="1" x14ac:dyDescent="0.25">
      <c r="B700" s="11"/>
    </row>
    <row r="701" spans="2:2" ht="16.5" customHeight="1" x14ac:dyDescent="0.25">
      <c r="B701" s="11"/>
    </row>
    <row r="702" spans="2:2" ht="16.5" customHeight="1" x14ac:dyDescent="0.25">
      <c r="B702" s="11"/>
    </row>
    <row r="703" spans="2:2" ht="16.5" customHeight="1" x14ac:dyDescent="0.25">
      <c r="B703" s="11"/>
    </row>
    <row r="704" spans="2:2" ht="16.5" customHeight="1" x14ac:dyDescent="0.25">
      <c r="B704" s="11"/>
    </row>
    <row r="705" spans="2:2" ht="16.5" customHeight="1" x14ac:dyDescent="0.25">
      <c r="B705" s="11"/>
    </row>
    <row r="706" spans="2:2" ht="16.5" customHeight="1" x14ac:dyDescent="0.25">
      <c r="B706" s="11"/>
    </row>
    <row r="707" spans="2:2" ht="16.5" customHeight="1" x14ac:dyDescent="0.25">
      <c r="B707" s="11"/>
    </row>
    <row r="708" spans="2:2" ht="16.5" customHeight="1" x14ac:dyDescent="0.25">
      <c r="B708" s="11"/>
    </row>
    <row r="709" spans="2:2" ht="16.5" customHeight="1" x14ac:dyDescent="0.25">
      <c r="B709" s="11"/>
    </row>
    <row r="710" spans="2:2" ht="16.5" customHeight="1" x14ac:dyDescent="0.25">
      <c r="B710" s="11"/>
    </row>
    <row r="711" spans="2:2" ht="16.5" customHeight="1" x14ac:dyDescent="0.25">
      <c r="B711" s="11"/>
    </row>
    <row r="712" spans="2:2" ht="16.5" customHeight="1" x14ac:dyDescent="0.25">
      <c r="B712" s="11"/>
    </row>
    <row r="713" spans="2:2" ht="16.5" customHeight="1" x14ac:dyDescent="0.25">
      <c r="B713" s="11"/>
    </row>
    <row r="714" spans="2:2" ht="16.5" customHeight="1" x14ac:dyDescent="0.25">
      <c r="B714" s="11"/>
    </row>
    <row r="715" spans="2:2" ht="16.5" customHeight="1" x14ac:dyDescent="0.25">
      <c r="B715" s="11"/>
    </row>
    <row r="716" spans="2:2" ht="16.5" customHeight="1" x14ac:dyDescent="0.25">
      <c r="B716" s="11"/>
    </row>
    <row r="717" spans="2:2" ht="16.5" customHeight="1" x14ac:dyDescent="0.25">
      <c r="B717" s="11"/>
    </row>
    <row r="718" spans="2:2" ht="16.5" customHeight="1" x14ac:dyDescent="0.25">
      <c r="B718" s="11"/>
    </row>
    <row r="719" spans="2:2" ht="16.5" customHeight="1" x14ac:dyDescent="0.25">
      <c r="B719" s="11"/>
    </row>
    <row r="720" spans="2:2" ht="16.5" customHeight="1" x14ac:dyDescent="0.25">
      <c r="B720" s="11"/>
    </row>
    <row r="721" spans="2:2" ht="16.5" customHeight="1" x14ac:dyDescent="0.25">
      <c r="B721" s="11"/>
    </row>
    <row r="722" spans="2:2" ht="16.5" customHeight="1" x14ac:dyDescent="0.25">
      <c r="B722" s="11"/>
    </row>
    <row r="723" spans="2:2" ht="16.5" customHeight="1" x14ac:dyDescent="0.25">
      <c r="B723" s="11"/>
    </row>
    <row r="724" spans="2:2" ht="16.5" customHeight="1" x14ac:dyDescent="0.25">
      <c r="B724" s="11"/>
    </row>
    <row r="725" spans="2:2" ht="16.5" customHeight="1" x14ac:dyDescent="0.25">
      <c r="B725" s="11"/>
    </row>
    <row r="726" spans="2:2" ht="16.5" customHeight="1" x14ac:dyDescent="0.25">
      <c r="B726" s="11"/>
    </row>
    <row r="727" spans="2:2" ht="16.5" customHeight="1" x14ac:dyDescent="0.25">
      <c r="B727" s="11"/>
    </row>
    <row r="728" spans="2:2" ht="16.5" customHeight="1" x14ac:dyDescent="0.25">
      <c r="B728" s="11"/>
    </row>
    <row r="729" spans="2:2" ht="16.5" customHeight="1" x14ac:dyDescent="0.25">
      <c r="B729" s="11"/>
    </row>
    <row r="730" spans="2:2" ht="16.5" customHeight="1" x14ac:dyDescent="0.25">
      <c r="B730" s="11"/>
    </row>
    <row r="731" spans="2:2" ht="16.5" customHeight="1" x14ac:dyDescent="0.25">
      <c r="B731" s="11"/>
    </row>
    <row r="732" spans="2:2" ht="16.5" customHeight="1" x14ac:dyDescent="0.25">
      <c r="B732" s="11"/>
    </row>
    <row r="733" spans="2:2" ht="16.5" customHeight="1" x14ac:dyDescent="0.25">
      <c r="B733" s="11"/>
    </row>
    <row r="734" spans="2:2" ht="16.5" customHeight="1" x14ac:dyDescent="0.25">
      <c r="B734" s="11"/>
    </row>
    <row r="735" spans="2:2" ht="16.5" customHeight="1" x14ac:dyDescent="0.25">
      <c r="B735" s="11"/>
    </row>
    <row r="736" spans="2:2" ht="16.5" customHeight="1" x14ac:dyDescent="0.25">
      <c r="B736" s="11"/>
    </row>
    <row r="737" spans="2:2" ht="16.5" customHeight="1" x14ac:dyDescent="0.25">
      <c r="B737" s="11"/>
    </row>
    <row r="738" spans="2:2" ht="16.5" customHeight="1" x14ac:dyDescent="0.25">
      <c r="B738" s="11"/>
    </row>
    <row r="739" spans="2:2" ht="16.5" customHeight="1" x14ac:dyDescent="0.25">
      <c r="B739" s="11"/>
    </row>
    <row r="740" spans="2:2" ht="16.5" customHeight="1" x14ac:dyDescent="0.25">
      <c r="B740" s="11"/>
    </row>
    <row r="741" spans="2:2" ht="16.5" customHeight="1" x14ac:dyDescent="0.25">
      <c r="B741" s="11"/>
    </row>
    <row r="742" spans="2:2" ht="16.5" customHeight="1" x14ac:dyDescent="0.25">
      <c r="B742" s="11"/>
    </row>
    <row r="743" spans="2:2" ht="16.5" customHeight="1" x14ac:dyDescent="0.25">
      <c r="B743" s="11"/>
    </row>
    <row r="744" spans="2:2" ht="16.5" customHeight="1" x14ac:dyDescent="0.25">
      <c r="B744" s="11"/>
    </row>
    <row r="745" spans="2:2" ht="16.5" customHeight="1" x14ac:dyDescent="0.25">
      <c r="B745" s="11"/>
    </row>
    <row r="746" spans="2:2" ht="16.5" customHeight="1" x14ac:dyDescent="0.25">
      <c r="B746" s="11"/>
    </row>
    <row r="747" spans="2:2" ht="16.5" customHeight="1" x14ac:dyDescent="0.25">
      <c r="B747" s="11"/>
    </row>
    <row r="748" spans="2:2" ht="16.5" customHeight="1" x14ac:dyDescent="0.25">
      <c r="B748" s="11"/>
    </row>
    <row r="749" spans="2:2" ht="16.5" customHeight="1" x14ac:dyDescent="0.25">
      <c r="B749" s="11"/>
    </row>
    <row r="750" spans="2:2" ht="16.5" customHeight="1" x14ac:dyDescent="0.25">
      <c r="B750" s="11"/>
    </row>
    <row r="751" spans="2:2" ht="16.5" customHeight="1" x14ac:dyDescent="0.25">
      <c r="B751" s="11"/>
    </row>
    <row r="752" spans="2:2" ht="16.5" customHeight="1" x14ac:dyDescent="0.25">
      <c r="B752" s="11"/>
    </row>
    <row r="753" spans="2:2" ht="16.5" customHeight="1" x14ac:dyDescent="0.25">
      <c r="B753" s="11"/>
    </row>
    <row r="754" spans="2:2" ht="16.5" customHeight="1" x14ac:dyDescent="0.25">
      <c r="B754" s="11"/>
    </row>
    <row r="755" spans="2:2" ht="16.5" customHeight="1" x14ac:dyDescent="0.25">
      <c r="B755" s="11"/>
    </row>
    <row r="756" spans="2:2" ht="16.5" customHeight="1" x14ac:dyDescent="0.25">
      <c r="B756" s="11"/>
    </row>
    <row r="757" spans="2:2" ht="16.5" customHeight="1" x14ac:dyDescent="0.25">
      <c r="B757" s="11"/>
    </row>
    <row r="758" spans="2:2" ht="16.5" customHeight="1" x14ac:dyDescent="0.25">
      <c r="B758" s="11"/>
    </row>
    <row r="759" spans="2:2" ht="16.5" customHeight="1" x14ac:dyDescent="0.25">
      <c r="B759" s="11"/>
    </row>
    <row r="760" spans="2:2" ht="16.5" customHeight="1" x14ac:dyDescent="0.25">
      <c r="B760" s="11"/>
    </row>
    <row r="761" spans="2:2" ht="16.5" customHeight="1" x14ac:dyDescent="0.25">
      <c r="B761" s="11"/>
    </row>
    <row r="762" spans="2:2" ht="16.5" customHeight="1" x14ac:dyDescent="0.25">
      <c r="B762" s="11"/>
    </row>
    <row r="763" spans="2:2" ht="16.5" customHeight="1" x14ac:dyDescent="0.25">
      <c r="B763" s="11"/>
    </row>
    <row r="764" spans="2:2" ht="16.5" customHeight="1" x14ac:dyDescent="0.25">
      <c r="B764" s="11"/>
    </row>
    <row r="765" spans="2:2" ht="16.5" customHeight="1" x14ac:dyDescent="0.25">
      <c r="B765" s="11"/>
    </row>
    <row r="766" spans="2:2" ht="16.5" customHeight="1" x14ac:dyDescent="0.25">
      <c r="B766" s="11"/>
    </row>
    <row r="767" spans="2:2" ht="16.5" customHeight="1" x14ac:dyDescent="0.25">
      <c r="B767" s="11"/>
    </row>
    <row r="768" spans="2:2" ht="16.5" customHeight="1" x14ac:dyDescent="0.25">
      <c r="B768" s="11"/>
    </row>
    <row r="769" spans="2:2" ht="16.5" customHeight="1" x14ac:dyDescent="0.25">
      <c r="B769" s="11"/>
    </row>
    <row r="770" spans="2:2" ht="16.5" customHeight="1" x14ac:dyDescent="0.25">
      <c r="B770" s="11"/>
    </row>
    <row r="771" spans="2:2" ht="16.5" customHeight="1" x14ac:dyDescent="0.25">
      <c r="B771" s="11"/>
    </row>
    <row r="772" spans="2:2" ht="16.5" customHeight="1" x14ac:dyDescent="0.25">
      <c r="B772" s="11"/>
    </row>
    <row r="773" spans="2:2" ht="16.5" customHeight="1" x14ac:dyDescent="0.25">
      <c r="B773" s="11"/>
    </row>
    <row r="774" spans="2:2" ht="16.5" customHeight="1" x14ac:dyDescent="0.25">
      <c r="B774" s="11"/>
    </row>
    <row r="775" spans="2:2" ht="16.5" customHeight="1" x14ac:dyDescent="0.25">
      <c r="B775" s="11"/>
    </row>
    <row r="776" spans="2:2" ht="16.5" customHeight="1" x14ac:dyDescent="0.25">
      <c r="B776" s="11"/>
    </row>
    <row r="777" spans="2:2" ht="16.5" customHeight="1" x14ac:dyDescent="0.25">
      <c r="B777" s="11"/>
    </row>
    <row r="778" spans="2:2" ht="16.5" customHeight="1" x14ac:dyDescent="0.25">
      <c r="B778" s="11"/>
    </row>
    <row r="779" spans="2:2" ht="16.5" customHeight="1" x14ac:dyDescent="0.25">
      <c r="B779" s="11"/>
    </row>
    <row r="780" spans="2:2" ht="16.5" customHeight="1" x14ac:dyDescent="0.25">
      <c r="B780" s="11"/>
    </row>
    <row r="781" spans="2:2" ht="16.5" customHeight="1" x14ac:dyDescent="0.25">
      <c r="B781" s="11"/>
    </row>
    <row r="782" spans="2:2" ht="16.5" customHeight="1" x14ac:dyDescent="0.25">
      <c r="B782" s="11"/>
    </row>
    <row r="783" spans="2:2" ht="16.5" customHeight="1" x14ac:dyDescent="0.25">
      <c r="B783" s="11"/>
    </row>
    <row r="784" spans="2:2" ht="16.5" customHeight="1" x14ac:dyDescent="0.25">
      <c r="B784" s="11"/>
    </row>
    <row r="785" spans="2:2" ht="16.5" customHeight="1" x14ac:dyDescent="0.25">
      <c r="B785" s="11"/>
    </row>
    <row r="786" spans="2:2" ht="16.5" customHeight="1" x14ac:dyDescent="0.25">
      <c r="B786" s="11"/>
    </row>
    <row r="787" spans="2:2" ht="16.5" customHeight="1" x14ac:dyDescent="0.25">
      <c r="B787" s="11"/>
    </row>
    <row r="788" spans="2:2" ht="16.5" customHeight="1" x14ac:dyDescent="0.25">
      <c r="B788" s="11"/>
    </row>
    <row r="789" spans="2:2" ht="16.5" customHeight="1" x14ac:dyDescent="0.25">
      <c r="B789" s="11"/>
    </row>
    <row r="790" spans="2:2" ht="16.5" customHeight="1" x14ac:dyDescent="0.25">
      <c r="B790" s="11"/>
    </row>
    <row r="791" spans="2:2" ht="16.5" customHeight="1" x14ac:dyDescent="0.25">
      <c r="B791" s="11"/>
    </row>
    <row r="792" spans="2:2" ht="16.5" customHeight="1" x14ac:dyDescent="0.25">
      <c r="B792" s="11"/>
    </row>
    <row r="793" spans="2:2" ht="16.5" customHeight="1" x14ac:dyDescent="0.25">
      <c r="B793" s="11"/>
    </row>
    <row r="794" spans="2:2" ht="16.5" customHeight="1" x14ac:dyDescent="0.25">
      <c r="B794" s="11"/>
    </row>
    <row r="795" spans="2:2" ht="16.5" customHeight="1" x14ac:dyDescent="0.25">
      <c r="B795" s="11"/>
    </row>
    <row r="796" spans="2:2" ht="16.5" customHeight="1" x14ac:dyDescent="0.25">
      <c r="B796" s="11"/>
    </row>
    <row r="797" spans="2:2" ht="16.5" customHeight="1" x14ac:dyDescent="0.25">
      <c r="B797" s="11"/>
    </row>
    <row r="798" spans="2:2" ht="16.5" customHeight="1" x14ac:dyDescent="0.25">
      <c r="B798" s="11"/>
    </row>
    <row r="799" spans="2:2" ht="16.5" customHeight="1" x14ac:dyDescent="0.25">
      <c r="B799" s="11"/>
    </row>
    <row r="800" spans="2:2" ht="16.5" customHeight="1" x14ac:dyDescent="0.25">
      <c r="B800" s="11"/>
    </row>
    <row r="801" spans="2:2" ht="16.5" customHeight="1" x14ac:dyDescent="0.25">
      <c r="B801" s="11"/>
    </row>
    <row r="802" spans="2:2" ht="16.5" customHeight="1" x14ac:dyDescent="0.25">
      <c r="B802" s="11"/>
    </row>
    <row r="803" spans="2:2" ht="16.5" customHeight="1" x14ac:dyDescent="0.25">
      <c r="B803" s="11"/>
    </row>
    <row r="804" spans="2:2" ht="16.5" customHeight="1" x14ac:dyDescent="0.25">
      <c r="B804" s="11"/>
    </row>
    <row r="805" spans="2:2" ht="16.5" customHeight="1" x14ac:dyDescent="0.25">
      <c r="B805" s="11"/>
    </row>
    <row r="806" spans="2:2" ht="16.5" customHeight="1" x14ac:dyDescent="0.25">
      <c r="B806" s="11"/>
    </row>
    <row r="807" spans="2:2" ht="16.5" customHeight="1" x14ac:dyDescent="0.25">
      <c r="B807" s="11"/>
    </row>
    <row r="808" spans="2:2" ht="16.5" customHeight="1" x14ac:dyDescent="0.25">
      <c r="B808" s="11"/>
    </row>
    <row r="809" spans="2:2" ht="16.5" customHeight="1" x14ac:dyDescent="0.25">
      <c r="B809" s="11"/>
    </row>
    <row r="810" spans="2:2" ht="16.5" customHeight="1" x14ac:dyDescent="0.25">
      <c r="B810" s="11"/>
    </row>
    <row r="811" spans="2:2" ht="16.5" customHeight="1" x14ac:dyDescent="0.25">
      <c r="B811" s="11"/>
    </row>
    <row r="812" spans="2:2" ht="16.5" customHeight="1" x14ac:dyDescent="0.25">
      <c r="B812" s="11"/>
    </row>
    <row r="813" spans="2:2" ht="16.5" customHeight="1" x14ac:dyDescent="0.25">
      <c r="B813" s="11"/>
    </row>
    <row r="814" spans="2:2" ht="16.5" customHeight="1" x14ac:dyDescent="0.25">
      <c r="B814" s="11"/>
    </row>
    <row r="815" spans="2:2" ht="16.5" customHeight="1" x14ac:dyDescent="0.25">
      <c r="B815" s="11"/>
    </row>
    <row r="816" spans="2:2" ht="16.5" customHeight="1" x14ac:dyDescent="0.25">
      <c r="B816" s="11"/>
    </row>
    <row r="817" spans="2:2" ht="16.5" customHeight="1" x14ac:dyDescent="0.25">
      <c r="B817" s="11"/>
    </row>
    <row r="818" spans="2:2" ht="16.5" customHeight="1" x14ac:dyDescent="0.25">
      <c r="B818" s="11"/>
    </row>
    <row r="819" spans="2:2" ht="16.5" customHeight="1" x14ac:dyDescent="0.25">
      <c r="B819" s="11"/>
    </row>
    <row r="820" spans="2:2" ht="16.5" customHeight="1" x14ac:dyDescent="0.25">
      <c r="B820" s="11"/>
    </row>
    <row r="821" spans="2:2" ht="16.5" customHeight="1" x14ac:dyDescent="0.25">
      <c r="B821" s="11"/>
    </row>
    <row r="822" spans="2:2" ht="16.5" customHeight="1" x14ac:dyDescent="0.25">
      <c r="B822" s="11"/>
    </row>
    <row r="823" spans="2:2" ht="16.5" customHeight="1" x14ac:dyDescent="0.25">
      <c r="B823" s="11"/>
    </row>
    <row r="824" spans="2:2" ht="16.5" customHeight="1" x14ac:dyDescent="0.25">
      <c r="B824" s="11"/>
    </row>
    <row r="825" spans="2:2" ht="16.5" customHeight="1" x14ac:dyDescent="0.25">
      <c r="B825" s="11"/>
    </row>
    <row r="826" spans="2:2" ht="16.5" customHeight="1" x14ac:dyDescent="0.25">
      <c r="B826" s="11"/>
    </row>
    <row r="827" spans="2:2" ht="16.5" customHeight="1" x14ac:dyDescent="0.25">
      <c r="B827" s="11"/>
    </row>
    <row r="828" spans="2:2" ht="16.5" customHeight="1" x14ac:dyDescent="0.25">
      <c r="B828" s="11"/>
    </row>
    <row r="829" spans="2:2" ht="16.5" customHeight="1" x14ac:dyDescent="0.25">
      <c r="B829" s="11"/>
    </row>
    <row r="830" spans="2:2" ht="16.5" customHeight="1" x14ac:dyDescent="0.25">
      <c r="B830" s="11"/>
    </row>
    <row r="831" spans="2:2" ht="16.5" customHeight="1" x14ac:dyDescent="0.25">
      <c r="B831" s="11"/>
    </row>
    <row r="832" spans="2:2" ht="16.5" customHeight="1" x14ac:dyDescent="0.25">
      <c r="B832" s="11"/>
    </row>
    <row r="833" spans="2:2" ht="16.5" customHeight="1" x14ac:dyDescent="0.25">
      <c r="B833" s="11"/>
    </row>
    <row r="834" spans="2:2" ht="16.5" customHeight="1" x14ac:dyDescent="0.25">
      <c r="B834" s="11"/>
    </row>
    <row r="835" spans="2:2" ht="16.5" customHeight="1" x14ac:dyDescent="0.25">
      <c r="B835" s="11"/>
    </row>
    <row r="836" spans="2:2" ht="16.5" customHeight="1" x14ac:dyDescent="0.25">
      <c r="B836" s="11"/>
    </row>
    <row r="837" spans="2:2" ht="16.5" customHeight="1" x14ac:dyDescent="0.25">
      <c r="B837" s="11"/>
    </row>
    <row r="838" spans="2:2" ht="16.5" customHeight="1" x14ac:dyDescent="0.25">
      <c r="B838" s="11"/>
    </row>
    <row r="839" spans="2:2" ht="16.5" customHeight="1" x14ac:dyDescent="0.25">
      <c r="B839" s="11"/>
    </row>
    <row r="840" spans="2:2" ht="16.5" customHeight="1" x14ac:dyDescent="0.25">
      <c r="B840" s="11"/>
    </row>
    <row r="841" spans="2:2" ht="16.5" customHeight="1" x14ac:dyDescent="0.25">
      <c r="B841" s="11"/>
    </row>
    <row r="842" spans="2:2" ht="16.5" customHeight="1" x14ac:dyDescent="0.25">
      <c r="B842" s="11"/>
    </row>
    <row r="843" spans="2:2" ht="16.5" customHeight="1" x14ac:dyDescent="0.25">
      <c r="B843" s="11"/>
    </row>
    <row r="844" spans="2:2" ht="16.5" customHeight="1" x14ac:dyDescent="0.25">
      <c r="B844" s="11"/>
    </row>
    <row r="845" spans="2:2" ht="16.5" customHeight="1" x14ac:dyDescent="0.25">
      <c r="B845" s="11"/>
    </row>
    <row r="846" spans="2:2" ht="16.5" customHeight="1" x14ac:dyDescent="0.25">
      <c r="B846" s="11"/>
    </row>
    <row r="847" spans="2:2" ht="16.5" customHeight="1" x14ac:dyDescent="0.25">
      <c r="B847" s="11"/>
    </row>
    <row r="848" spans="2:2" ht="16.5" customHeight="1" x14ac:dyDescent="0.25">
      <c r="B848" s="11"/>
    </row>
    <row r="849" spans="2:2" ht="16.5" customHeight="1" x14ac:dyDescent="0.25">
      <c r="B849" s="11"/>
    </row>
    <row r="850" spans="2:2" ht="16.5" customHeight="1" x14ac:dyDescent="0.25">
      <c r="B850" s="11"/>
    </row>
    <row r="851" spans="2:2" ht="16.5" customHeight="1" x14ac:dyDescent="0.25">
      <c r="B851" s="11"/>
    </row>
    <row r="852" spans="2:2" ht="16.5" customHeight="1" x14ac:dyDescent="0.25">
      <c r="B852" s="11"/>
    </row>
    <row r="853" spans="2:2" ht="16.5" customHeight="1" x14ac:dyDescent="0.25">
      <c r="B853" s="11"/>
    </row>
    <row r="854" spans="2:2" ht="16.5" customHeight="1" x14ac:dyDescent="0.25">
      <c r="B854" s="11"/>
    </row>
    <row r="855" spans="2:2" ht="16.5" customHeight="1" x14ac:dyDescent="0.25">
      <c r="B855" s="11"/>
    </row>
    <row r="856" spans="2:2" ht="16.5" customHeight="1" x14ac:dyDescent="0.25">
      <c r="B856" s="11"/>
    </row>
    <row r="857" spans="2:2" ht="16.5" customHeight="1" x14ac:dyDescent="0.25">
      <c r="B857" s="11"/>
    </row>
    <row r="858" spans="2:2" ht="16.5" customHeight="1" x14ac:dyDescent="0.25">
      <c r="B858" s="11"/>
    </row>
    <row r="859" spans="2:2" ht="16.5" customHeight="1" x14ac:dyDescent="0.25">
      <c r="B859" s="11"/>
    </row>
    <row r="860" spans="2:2" ht="16.5" customHeight="1" x14ac:dyDescent="0.25">
      <c r="B860" s="11"/>
    </row>
    <row r="861" spans="2:2" ht="16.5" customHeight="1" x14ac:dyDescent="0.25">
      <c r="B861" s="11"/>
    </row>
    <row r="862" spans="2:2" ht="16.5" customHeight="1" x14ac:dyDescent="0.25">
      <c r="B862" s="11"/>
    </row>
    <row r="863" spans="2:2" ht="16.5" customHeight="1" x14ac:dyDescent="0.25">
      <c r="B863" s="11"/>
    </row>
    <row r="864" spans="2:2" ht="16.5" customHeight="1" x14ac:dyDescent="0.25">
      <c r="B864" s="11"/>
    </row>
    <row r="865" spans="2:2" ht="16.5" customHeight="1" x14ac:dyDescent="0.25">
      <c r="B865" s="11"/>
    </row>
    <row r="866" spans="2:2" ht="16.5" customHeight="1" x14ac:dyDescent="0.25">
      <c r="B866" s="11"/>
    </row>
    <row r="867" spans="2:2" ht="16.5" customHeight="1" x14ac:dyDescent="0.25">
      <c r="B867" s="11"/>
    </row>
    <row r="868" spans="2:2" ht="16.5" customHeight="1" x14ac:dyDescent="0.25">
      <c r="B868" s="11"/>
    </row>
    <row r="869" spans="2:2" ht="16.5" customHeight="1" x14ac:dyDescent="0.25">
      <c r="B869" s="11"/>
    </row>
    <row r="870" spans="2:2" ht="16.5" customHeight="1" x14ac:dyDescent="0.25">
      <c r="B870" s="11"/>
    </row>
    <row r="871" spans="2:2" ht="16.5" customHeight="1" x14ac:dyDescent="0.25">
      <c r="B871" s="11"/>
    </row>
    <row r="872" spans="2:2" ht="16.5" customHeight="1" x14ac:dyDescent="0.25">
      <c r="B872" s="11"/>
    </row>
    <row r="873" spans="2:2" ht="16.5" customHeight="1" x14ac:dyDescent="0.25">
      <c r="B873" s="11"/>
    </row>
    <row r="874" spans="2:2" ht="16.5" customHeight="1" x14ac:dyDescent="0.25">
      <c r="B874" s="11"/>
    </row>
    <row r="875" spans="2:2" ht="16.5" customHeight="1" x14ac:dyDescent="0.25">
      <c r="B875" s="11"/>
    </row>
    <row r="876" spans="2:2" ht="16.5" customHeight="1" x14ac:dyDescent="0.25">
      <c r="B876" s="11"/>
    </row>
    <row r="877" spans="2:2" ht="16.5" customHeight="1" x14ac:dyDescent="0.25">
      <c r="B877" s="11"/>
    </row>
    <row r="878" spans="2:2" ht="16.5" customHeight="1" x14ac:dyDescent="0.25">
      <c r="B878" s="11"/>
    </row>
    <row r="879" spans="2:2" ht="16.5" customHeight="1" x14ac:dyDescent="0.25">
      <c r="B879" s="11"/>
    </row>
    <row r="880" spans="2:2" ht="16.5" customHeight="1" x14ac:dyDescent="0.25">
      <c r="B880" s="11"/>
    </row>
    <row r="881" spans="2:2" ht="16.5" customHeight="1" x14ac:dyDescent="0.25">
      <c r="B881" s="11"/>
    </row>
    <row r="882" spans="2:2" ht="16.5" customHeight="1" x14ac:dyDescent="0.25">
      <c r="B882" s="11"/>
    </row>
    <row r="883" spans="2:2" ht="16.5" customHeight="1" x14ac:dyDescent="0.25">
      <c r="B883" s="11"/>
    </row>
    <row r="884" spans="2:2" ht="16.5" customHeight="1" x14ac:dyDescent="0.25">
      <c r="B884" s="11"/>
    </row>
    <row r="885" spans="2:2" ht="16.5" customHeight="1" x14ac:dyDescent="0.25">
      <c r="B885" s="11"/>
    </row>
    <row r="886" spans="2:2" ht="16.5" customHeight="1" x14ac:dyDescent="0.25">
      <c r="B886" s="11"/>
    </row>
    <row r="887" spans="2:2" ht="16.5" customHeight="1" x14ac:dyDescent="0.25">
      <c r="B887" s="11"/>
    </row>
    <row r="888" spans="2:2" ht="16.5" customHeight="1" x14ac:dyDescent="0.25">
      <c r="B888" s="11"/>
    </row>
    <row r="889" spans="2:2" ht="16.5" customHeight="1" x14ac:dyDescent="0.25">
      <c r="B889" s="11"/>
    </row>
    <row r="890" spans="2:2" ht="16.5" customHeight="1" x14ac:dyDescent="0.25">
      <c r="B890" s="11"/>
    </row>
    <row r="891" spans="2:2" ht="16.5" customHeight="1" x14ac:dyDescent="0.25">
      <c r="B891" s="11"/>
    </row>
    <row r="892" spans="2:2" ht="16.5" customHeight="1" x14ac:dyDescent="0.25">
      <c r="B892" s="11"/>
    </row>
    <row r="893" spans="2:2" ht="16.5" customHeight="1" x14ac:dyDescent="0.25">
      <c r="B893" s="11"/>
    </row>
    <row r="894" spans="2:2" ht="16.5" customHeight="1" x14ac:dyDescent="0.25">
      <c r="B894" s="11"/>
    </row>
    <row r="895" spans="2:2" ht="16.5" customHeight="1" x14ac:dyDescent="0.25">
      <c r="B895" s="11"/>
    </row>
    <row r="896" spans="2:2" ht="16.5" customHeight="1" x14ac:dyDescent="0.25">
      <c r="B896" s="11"/>
    </row>
    <row r="897" spans="2:2" ht="16.5" customHeight="1" x14ac:dyDescent="0.25">
      <c r="B897" s="11"/>
    </row>
    <row r="898" spans="2:2" ht="16.5" customHeight="1" x14ac:dyDescent="0.25">
      <c r="B898" s="11"/>
    </row>
    <row r="899" spans="2:2" ht="16.5" customHeight="1" x14ac:dyDescent="0.25">
      <c r="B899" s="11"/>
    </row>
    <row r="900" spans="2:2" ht="16.5" customHeight="1" x14ac:dyDescent="0.25">
      <c r="B900" s="11"/>
    </row>
    <row r="901" spans="2:2" ht="16.5" customHeight="1" x14ac:dyDescent="0.25">
      <c r="B901" s="11"/>
    </row>
    <row r="902" spans="2:2" ht="16.5" customHeight="1" x14ac:dyDescent="0.25">
      <c r="B902" s="11"/>
    </row>
    <row r="903" spans="2:2" ht="16.5" customHeight="1" x14ac:dyDescent="0.25">
      <c r="B903" s="11"/>
    </row>
    <row r="904" spans="2:2" ht="16.5" customHeight="1" x14ac:dyDescent="0.25">
      <c r="B904" s="11"/>
    </row>
    <row r="905" spans="2:2" ht="16.5" customHeight="1" x14ac:dyDescent="0.25">
      <c r="B905" s="11"/>
    </row>
    <row r="906" spans="2:2" ht="16.5" customHeight="1" x14ac:dyDescent="0.25">
      <c r="B906" s="11"/>
    </row>
    <row r="907" spans="2:2" ht="16.5" customHeight="1" x14ac:dyDescent="0.25">
      <c r="B907" s="11"/>
    </row>
    <row r="908" spans="2:2" ht="16.5" customHeight="1" x14ac:dyDescent="0.25">
      <c r="B908" s="11"/>
    </row>
    <row r="909" spans="2:2" ht="16.5" customHeight="1" x14ac:dyDescent="0.25">
      <c r="B909" s="11"/>
    </row>
    <row r="910" spans="2:2" ht="16.5" customHeight="1" x14ac:dyDescent="0.25">
      <c r="B910" s="11"/>
    </row>
    <row r="911" spans="2:2" ht="16.5" customHeight="1" x14ac:dyDescent="0.25">
      <c r="B911" s="11"/>
    </row>
    <row r="912" spans="2:2" ht="16.5" customHeight="1" x14ac:dyDescent="0.25">
      <c r="B912" s="11"/>
    </row>
    <row r="913" spans="2:2" ht="16.5" customHeight="1" x14ac:dyDescent="0.25">
      <c r="B913" s="11"/>
    </row>
    <row r="914" spans="2:2" ht="16.5" customHeight="1" x14ac:dyDescent="0.25">
      <c r="B914" s="11"/>
    </row>
    <row r="915" spans="2:2" ht="16.5" customHeight="1" x14ac:dyDescent="0.25">
      <c r="B915" s="11"/>
    </row>
    <row r="916" spans="2:2" ht="16.5" customHeight="1" x14ac:dyDescent="0.25">
      <c r="B916" s="11"/>
    </row>
    <row r="917" spans="2:2" ht="16.5" customHeight="1" x14ac:dyDescent="0.25">
      <c r="B917" s="11"/>
    </row>
    <row r="918" spans="2:2" ht="16.5" customHeight="1" x14ac:dyDescent="0.25">
      <c r="B918" s="11"/>
    </row>
    <row r="919" spans="2:2" ht="16.5" customHeight="1" x14ac:dyDescent="0.25">
      <c r="B919" s="11"/>
    </row>
    <row r="920" spans="2:2" ht="16.5" customHeight="1" x14ac:dyDescent="0.25">
      <c r="B920" s="11"/>
    </row>
    <row r="921" spans="2:2" ht="16.5" customHeight="1" x14ac:dyDescent="0.25">
      <c r="B921" s="11"/>
    </row>
    <row r="922" spans="2:2" ht="16.5" customHeight="1" x14ac:dyDescent="0.25">
      <c r="B922" s="11"/>
    </row>
    <row r="923" spans="2:2" ht="16.5" customHeight="1" x14ac:dyDescent="0.25">
      <c r="B923" s="11"/>
    </row>
    <row r="924" spans="2:2" ht="16.5" customHeight="1" x14ac:dyDescent="0.25">
      <c r="B924" s="11"/>
    </row>
    <row r="925" spans="2:2" ht="16.5" customHeight="1" x14ac:dyDescent="0.25">
      <c r="B925" s="11"/>
    </row>
    <row r="926" spans="2:2" ht="16.5" customHeight="1" x14ac:dyDescent="0.25">
      <c r="B926" s="11"/>
    </row>
    <row r="927" spans="2:2" ht="16.5" customHeight="1" x14ac:dyDescent="0.25">
      <c r="B927" s="11"/>
    </row>
    <row r="928" spans="2:2" ht="16.5" customHeight="1" x14ac:dyDescent="0.25">
      <c r="B928" s="11"/>
    </row>
    <row r="929" spans="2:2" ht="16.5" customHeight="1" x14ac:dyDescent="0.25">
      <c r="B929" s="11"/>
    </row>
    <row r="930" spans="2:2" ht="16.5" customHeight="1" x14ac:dyDescent="0.25">
      <c r="B930" s="11"/>
    </row>
    <row r="931" spans="2:2" ht="16.5" customHeight="1" x14ac:dyDescent="0.25">
      <c r="B931" s="11"/>
    </row>
    <row r="932" spans="2:2" ht="16.5" customHeight="1" x14ac:dyDescent="0.25">
      <c r="B932" s="11"/>
    </row>
    <row r="933" spans="2:2" ht="16.5" customHeight="1" x14ac:dyDescent="0.25">
      <c r="B933" s="11"/>
    </row>
    <row r="934" spans="2:2" ht="16.5" customHeight="1" x14ac:dyDescent="0.25">
      <c r="B934" s="11"/>
    </row>
    <row r="935" spans="2:2" ht="16.5" customHeight="1" x14ac:dyDescent="0.25">
      <c r="B935" s="11"/>
    </row>
    <row r="936" spans="2:2" ht="16.5" customHeight="1" x14ac:dyDescent="0.25">
      <c r="B936" s="11"/>
    </row>
    <row r="937" spans="2:2" ht="16.5" customHeight="1" x14ac:dyDescent="0.25">
      <c r="B937" s="11"/>
    </row>
    <row r="938" spans="2:2" ht="16.5" customHeight="1" x14ac:dyDescent="0.25">
      <c r="B938" s="11"/>
    </row>
    <row r="939" spans="2:2" ht="16.5" customHeight="1" x14ac:dyDescent="0.25">
      <c r="B939" s="11"/>
    </row>
    <row r="940" spans="2:2" ht="16.5" customHeight="1" x14ac:dyDescent="0.25">
      <c r="B940" s="11"/>
    </row>
    <row r="941" spans="2:2" ht="16.5" customHeight="1" x14ac:dyDescent="0.25">
      <c r="B941" s="11"/>
    </row>
    <row r="942" spans="2:2" ht="16.5" customHeight="1" x14ac:dyDescent="0.25">
      <c r="B942" s="11"/>
    </row>
    <row r="943" spans="2:2" ht="16.5" customHeight="1" x14ac:dyDescent="0.25">
      <c r="B943" s="11"/>
    </row>
    <row r="944" spans="2:2" ht="16.5" customHeight="1" x14ac:dyDescent="0.25">
      <c r="B944" s="11"/>
    </row>
    <row r="945" spans="2:2" ht="16.5" customHeight="1" x14ac:dyDescent="0.25">
      <c r="B945" s="11"/>
    </row>
    <row r="946" spans="2:2" ht="16.5" customHeight="1" x14ac:dyDescent="0.25">
      <c r="B946" s="11"/>
    </row>
    <row r="947" spans="2:2" ht="16.5" customHeight="1" x14ac:dyDescent="0.25">
      <c r="B947" s="11"/>
    </row>
    <row r="948" spans="2:2" ht="16.5" customHeight="1" x14ac:dyDescent="0.25">
      <c r="B948" s="11"/>
    </row>
    <row r="949" spans="2:2" ht="16.5" customHeight="1" x14ac:dyDescent="0.25">
      <c r="B949" s="11"/>
    </row>
    <row r="950" spans="2:2" ht="16.5" customHeight="1" x14ac:dyDescent="0.25">
      <c r="B950" s="11"/>
    </row>
    <row r="951" spans="2:2" ht="16.5" customHeight="1" x14ac:dyDescent="0.25">
      <c r="B951" s="11"/>
    </row>
    <row r="952" spans="2:2" ht="16.5" customHeight="1" x14ac:dyDescent="0.25">
      <c r="B952" s="11"/>
    </row>
    <row r="953" spans="2:2" ht="16.5" customHeight="1" x14ac:dyDescent="0.25">
      <c r="B953" s="11"/>
    </row>
    <row r="954" spans="2:2" ht="16.5" customHeight="1" x14ac:dyDescent="0.25">
      <c r="B954" s="11"/>
    </row>
    <row r="955" spans="2:2" ht="16.5" customHeight="1" x14ac:dyDescent="0.25">
      <c r="B955" s="11"/>
    </row>
    <row r="956" spans="2:2" ht="16.5" customHeight="1" x14ac:dyDescent="0.25">
      <c r="B956" s="11"/>
    </row>
    <row r="957" spans="2:2" ht="16.5" customHeight="1" x14ac:dyDescent="0.25">
      <c r="B957" s="11"/>
    </row>
    <row r="958" spans="2:2" ht="16.5" customHeight="1" x14ac:dyDescent="0.25">
      <c r="B958" s="11"/>
    </row>
    <row r="959" spans="2:2" ht="16.5" customHeight="1" x14ac:dyDescent="0.25">
      <c r="B959" s="11"/>
    </row>
    <row r="960" spans="2:2" ht="16.5" customHeight="1" x14ac:dyDescent="0.25">
      <c r="B960" s="11"/>
    </row>
    <row r="961" spans="2:2" ht="16.5" customHeight="1" x14ac:dyDescent="0.25">
      <c r="B961" s="11"/>
    </row>
    <row r="962" spans="2:2" ht="16.5" customHeight="1" x14ac:dyDescent="0.25">
      <c r="B962" s="11"/>
    </row>
    <row r="963" spans="2:2" ht="16.5" customHeight="1" x14ac:dyDescent="0.25">
      <c r="B963" s="11"/>
    </row>
    <row r="964" spans="2:2" ht="16.5" customHeight="1" x14ac:dyDescent="0.25">
      <c r="B964" s="11"/>
    </row>
    <row r="965" spans="2:2" ht="16.5" customHeight="1" x14ac:dyDescent="0.25">
      <c r="B965" s="11"/>
    </row>
    <row r="966" spans="2:2" ht="16.5" customHeight="1" x14ac:dyDescent="0.25">
      <c r="B966" s="11"/>
    </row>
    <row r="967" spans="2:2" ht="16.5" customHeight="1" x14ac:dyDescent="0.25">
      <c r="B967" s="11"/>
    </row>
    <row r="968" spans="2:2" ht="16.5" customHeight="1" x14ac:dyDescent="0.25">
      <c r="B968" s="11"/>
    </row>
    <row r="969" spans="2:2" ht="16.5" customHeight="1" x14ac:dyDescent="0.25">
      <c r="B969" s="11"/>
    </row>
    <row r="970" spans="2:2" ht="16.5" customHeight="1" x14ac:dyDescent="0.25">
      <c r="B970" s="11"/>
    </row>
    <row r="971" spans="2:2" ht="16.5" customHeight="1" x14ac:dyDescent="0.25">
      <c r="B971" s="11"/>
    </row>
    <row r="972" spans="2:2" ht="16.5" customHeight="1" x14ac:dyDescent="0.25">
      <c r="B972" s="11"/>
    </row>
    <row r="973" spans="2:2" ht="16.5" customHeight="1" x14ac:dyDescent="0.25">
      <c r="B973" s="11"/>
    </row>
    <row r="974" spans="2:2" ht="16.5" customHeight="1" x14ac:dyDescent="0.25">
      <c r="B974" s="11"/>
    </row>
    <row r="975" spans="2:2" ht="16.5" customHeight="1" x14ac:dyDescent="0.25">
      <c r="B975" s="11"/>
    </row>
    <row r="976" spans="2:2" ht="16.5" customHeight="1" x14ac:dyDescent="0.25">
      <c r="B976" s="11"/>
    </row>
    <row r="977" spans="2:2" ht="16.5" customHeight="1" x14ac:dyDescent="0.25">
      <c r="B977" s="11"/>
    </row>
    <row r="978" spans="2:2" ht="16.5" customHeight="1" x14ac:dyDescent="0.25">
      <c r="B978" s="11"/>
    </row>
    <row r="979" spans="2:2" ht="16.5" customHeight="1" x14ac:dyDescent="0.25">
      <c r="B979" s="11"/>
    </row>
    <row r="980" spans="2:2" ht="16.5" customHeight="1" x14ac:dyDescent="0.25">
      <c r="B980" s="11"/>
    </row>
    <row r="981" spans="2:2" ht="16.5" customHeight="1" x14ac:dyDescent="0.25">
      <c r="B981" s="11"/>
    </row>
    <row r="982" spans="2:2" ht="16.5" customHeight="1" x14ac:dyDescent="0.25">
      <c r="B982" s="11"/>
    </row>
    <row r="983" spans="2:2" ht="16.5" customHeight="1" x14ac:dyDescent="0.25">
      <c r="B983" s="11"/>
    </row>
    <row r="984" spans="2:2" ht="16.5" customHeight="1" x14ac:dyDescent="0.25">
      <c r="B984" s="11"/>
    </row>
    <row r="985" spans="2:2" ht="16.5" customHeight="1" x14ac:dyDescent="0.25">
      <c r="B985" s="11"/>
    </row>
    <row r="986" spans="2:2" ht="16.5" customHeight="1" x14ac:dyDescent="0.25">
      <c r="B986" s="11"/>
    </row>
    <row r="987" spans="2:2" ht="16.5" customHeight="1" x14ac:dyDescent="0.25">
      <c r="B987" s="11"/>
    </row>
    <row r="988" spans="2:2" ht="16.5" customHeight="1" x14ac:dyDescent="0.25">
      <c r="B988" s="11"/>
    </row>
    <row r="989" spans="2:2" ht="16.5" customHeight="1" x14ac:dyDescent="0.25">
      <c r="B989" s="11"/>
    </row>
    <row r="990" spans="2:2" ht="16.5" customHeight="1" x14ac:dyDescent="0.25">
      <c r="B990" s="11"/>
    </row>
    <row r="991" spans="2:2" ht="16.5" customHeight="1" x14ac:dyDescent="0.25">
      <c r="B991" s="11"/>
    </row>
    <row r="992" spans="2:2" ht="16.5" customHeight="1" x14ac:dyDescent="0.25">
      <c r="B992" s="11"/>
    </row>
    <row r="993" spans="2:2" ht="16.5" customHeight="1" x14ac:dyDescent="0.25">
      <c r="B993" s="11"/>
    </row>
    <row r="994" spans="2:2" ht="16.5" customHeight="1" x14ac:dyDescent="0.25">
      <c r="B994" s="11"/>
    </row>
    <row r="995" spans="2:2" ht="16.5" customHeight="1" x14ac:dyDescent="0.25">
      <c r="B995" s="11"/>
    </row>
    <row r="996" spans="2:2" ht="16.5" customHeight="1" x14ac:dyDescent="0.25">
      <c r="B996" s="11"/>
    </row>
    <row r="997" spans="2:2" ht="16.5" customHeight="1" x14ac:dyDescent="0.25">
      <c r="B997" s="11"/>
    </row>
    <row r="998" spans="2:2" ht="16.5" customHeight="1" x14ac:dyDescent="0.25">
      <c r="B998" s="11"/>
    </row>
    <row r="999" spans="2:2" ht="16.5" customHeight="1" x14ac:dyDescent="0.25">
      <c r="B999" s="11"/>
    </row>
    <row r="1000" spans="2:2" ht="16.5" customHeight="1" x14ac:dyDescent="0.25">
      <c r="B1000" s="11"/>
    </row>
    <row r="1001" spans="2:2" ht="16.5" customHeight="1" x14ac:dyDescent="0.25">
      <c r="B1001" s="11"/>
    </row>
    <row r="1002" spans="2:2" ht="16.5" customHeight="1" x14ac:dyDescent="0.25">
      <c r="B1002" s="11"/>
    </row>
    <row r="1003" spans="2:2" ht="16.5" customHeight="1" x14ac:dyDescent="0.25">
      <c r="B1003" s="11"/>
    </row>
    <row r="1004" spans="2:2" ht="16.5" customHeight="1" x14ac:dyDescent="0.25">
      <c r="B1004" s="11"/>
    </row>
    <row r="1005" spans="2:2" ht="16.5" customHeight="1" x14ac:dyDescent="0.25">
      <c r="B1005" s="11"/>
    </row>
    <row r="1006" spans="2:2" ht="16.5" customHeight="1" x14ac:dyDescent="0.25">
      <c r="B1006" s="11"/>
    </row>
    <row r="1007" spans="2:2" ht="16.5" customHeight="1" x14ac:dyDescent="0.25">
      <c r="B1007" s="11"/>
    </row>
    <row r="1008" spans="2:2" ht="16.5" customHeight="1" x14ac:dyDescent="0.25">
      <c r="B1008" s="11"/>
    </row>
    <row r="1009" spans="2:2" ht="16.5" customHeight="1" x14ac:dyDescent="0.25">
      <c r="B1009" s="11"/>
    </row>
    <row r="1010" spans="2:2" ht="16.5" customHeight="1" x14ac:dyDescent="0.25">
      <c r="B1010" s="11"/>
    </row>
    <row r="1011" spans="2:2" ht="16.5" customHeight="1" x14ac:dyDescent="0.25">
      <c r="B1011" s="11"/>
    </row>
    <row r="1012" spans="2:2" ht="16.5" customHeight="1" x14ac:dyDescent="0.25">
      <c r="B1012" s="11"/>
    </row>
    <row r="1013" spans="2:2" ht="16.5" customHeight="1" x14ac:dyDescent="0.25">
      <c r="B1013" s="11"/>
    </row>
    <row r="1014" spans="2:2" ht="16.5" customHeight="1" x14ac:dyDescent="0.25">
      <c r="B1014" s="11"/>
    </row>
    <row r="1015" spans="2:2" ht="16.5" customHeight="1" x14ac:dyDescent="0.25">
      <c r="B1015" s="11"/>
    </row>
    <row r="1016" spans="2:2" ht="16.5" customHeight="1" x14ac:dyDescent="0.25">
      <c r="B1016" s="11"/>
    </row>
    <row r="1017" spans="2:2" ht="16.5" customHeight="1" x14ac:dyDescent="0.25">
      <c r="B1017" s="11"/>
    </row>
    <row r="1018" spans="2:2" ht="16.5" customHeight="1" x14ac:dyDescent="0.25">
      <c r="B1018" s="11"/>
    </row>
    <row r="1019" spans="2:2" ht="16.5" customHeight="1" x14ac:dyDescent="0.25">
      <c r="B1019" s="11"/>
    </row>
    <row r="1020" spans="2:2" ht="16.5" customHeight="1" x14ac:dyDescent="0.25">
      <c r="B1020" s="11"/>
    </row>
    <row r="1021" spans="2:2" ht="16.5" customHeight="1" x14ac:dyDescent="0.25">
      <c r="B1021" s="11"/>
    </row>
    <row r="1022" spans="2:2" ht="16.5" customHeight="1" x14ac:dyDescent="0.25">
      <c r="B1022" s="11"/>
    </row>
    <row r="1023" spans="2:2" ht="16.5" customHeight="1" x14ac:dyDescent="0.25">
      <c r="B1023" s="11"/>
    </row>
    <row r="1024" spans="2:2" ht="16.5" customHeight="1" x14ac:dyDescent="0.25">
      <c r="B1024" s="11"/>
    </row>
    <row r="1025" spans="2:2" ht="16.5" customHeight="1" x14ac:dyDescent="0.25">
      <c r="B1025" s="11"/>
    </row>
    <row r="1026" spans="2:2" ht="16.5" customHeight="1" x14ac:dyDescent="0.25">
      <c r="B1026" s="11"/>
    </row>
    <row r="1027" spans="2:2" ht="16.5" customHeight="1" x14ac:dyDescent="0.25">
      <c r="B1027" s="11"/>
    </row>
    <row r="1028" spans="2:2" ht="16.5" customHeight="1" x14ac:dyDescent="0.25">
      <c r="B1028" s="11"/>
    </row>
    <row r="1029" spans="2:2" ht="16.5" customHeight="1" x14ac:dyDescent="0.25">
      <c r="B1029" s="11"/>
    </row>
    <row r="1030" spans="2:2" ht="16.5" customHeight="1" x14ac:dyDescent="0.25">
      <c r="B1030" s="11"/>
    </row>
    <row r="1031" spans="2:2" ht="16.5" customHeight="1" x14ac:dyDescent="0.25">
      <c r="B1031" s="11"/>
    </row>
    <row r="1032" spans="2:2" ht="16.5" customHeight="1" x14ac:dyDescent="0.25">
      <c r="B1032" s="11"/>
    </row>
    <row r="1033" spans="2:2" ht="16.5" customHeight="1" x14ac:dyDescent="0.25">
      <c r="B1033" s="11"/>
    </row>
    <row r="1034" spans="2:2" ht="16.5" customHeight="1" x14ac:dyDescent="0.25">
      <c r="B1034" s="11"/>
    </row>
    <row r="1035" spans="2:2" ht="16.5" customHeight="1" x14ac:dyDescent="0.25">
      <c r="B1035" s="11"/>
    </row>
    <row r="1036" spans="2:2" ht="16.5" customHeight="1" x14ac:dyDescent="0.25">
      <c r="B1036" s="11"/>
    </row>
    <row r="1037" spans="2:2" ht="16.5" customHeight="1" x14ac:dyDescent="0.25">
      <c r="B1037" s="11"/>
    </row>
    <row r="1038" spans="2:2" ht="16.5" customHeight="1" x14ac:dyDescent="0.25">
      <c r="B1038" s="11"/>
    </row>
    <row r="1039" spans="2:2" ht="16.5" customHeight="1" x14ac:dyDescent="0.25">
      <c r="B1039" s="11"/>
    </row>
    <row r="1040" spans="2:2" ht="16.5" customHeight="1" x14ac:dyDescent="0.25">
      <c r="B1040" s="11"/>
    </row>
    <row r="1041" spans="2:2" ht="16.5" customHeight="1" x14ac:dyDescent="0.25">
      <c r="B1041" s="11"/>
    </row>
    <row r="1042" spans="2:2" ht="16.5" customHeight="1" x14ac:dyDescent="0.25">
      <c r="B1042" s="11"/>
    </row>
    <row r="1043" spans="2:2" ht="16.5" customHeight="1" x14ac:dyDescent="0.25">
      <c r="B1043" s="11"/>
    </row>
    <row r="1044" spans="2:2" ht="16.5" customHeight="1" x14ac:dyDescent="0.25">
      <c r="B1044" s="11"/>
    </row>
    <row r="1045" spans="2:2" ht="16.5" customHeight="1" x14ac:dyDescent="0.25">
      <c r="B1045" s="11"/>
    </row>
    <row r="1046" spans="2:2" ht="16.5" customHeight="1" x14ac:dyDescent="0.25">
      <c r="B1046" s="11"/>
    </row>
    <row r="1047" spans="2:2" ht="16.5" customHeight="1" x14ac:dyDescent="0.25">
      <c r="B1047" s="11"/>
    </row>
    <row r="1048" spans="2:2" ht="16.5" customHeight="1" x14ac:dyDescent="0.25">
      <c r="B1048" s="11"/>
    </row>
    <row r="1049" spans="2:2" ht="16.5" customHeight="1" x14ac:dyDescent="0.25">
      <c r="B1049" s="11"/>
    </row>
    <row r="1050" spans="2:2" ht="16.5" customHeight="1" x14ac:dyDescent="0.25">
      <c r="B1050" s="11"/>
    </row>
    <row r="1051" spans="2:2" ht="16.5" customHeight="1" x14ac:dyDescent="0.25">
      <c r="B1051" s="11"/>
    </row>
    <row r="1052" spans="2:2" ht="16.5" customHeight="1" x14ac:dyDescent="0.25">
      <c r="B1052" s="11"/>
    </row>
    <row r="1053" spans="2:2" ht="16.5" customHeight="1" x14ac:dyDescent="0.25">
      <c r="B1053" s="11"/>
    </row>
    <row r="1054" spans="2:2" ht="16.5" customHeight="1" x14ac:dyDescent="0.25">
      <c r="B1054" s="11"/>
    </row>
    <row r="1055" spans="2:2" ht="16.5" customHeight="1" x14ac:dyDescent="0.25">
      <c r="B1055" s="11"/>
    </row>
    <row r="1056" spans="2:2" ht="16.5" customHeight="1" x14ac:dyDescent="0.25">
      <c r="B1056" s="11"/>
    </row>
    <row r="1057" spans="2:2" ht="16.5" customHeight="1" x14ac:dyDescent="0.25">
      <c r="B1057" s="11"/>
    </row>
    <row r="1058" spans="2:2" ht="16.5" customHeight="1" x14ac:dyDescent="0.25">
      <c r="B1058" s="11"/>
    </row>
    <row r="1059" spans="2:2" ht="16.5" customHeight="1" x14ac:dyDescent="0.25">
      <c r="B1059" s="11"/>
    </row>
    <row r="1060" spans="2:2" ht="16.5" customHeight="1" x14ac:dyDescent="0.25">
      <c r="B1060" s="11"/>
    </row>
    <row r="1061" spans="2:2" ht="16.5" customHeight="1" x14ac:dyDescent="0.25">
      <c r="B1061" s="11"/>
    </row>
    <row r="1062" spans="2:2" ht="16.5" customHeight="1" x14ac:dyDescent="0.25">
      <c r="B1062" s="11"/>
    </row>
    <row r="1063" spans="2:2" ht="16.5" customHeight="1" x14ac:dyDescent="0.25">
      <c r="B1063" s="11"/>
    </row>
    <row r="1064" spans="2:2" ht="16.5" customHeight="1" x14ac:dyDescent="0.25">
      <c r="B1064" s="11"/>
    </row>
    <row r="1065" spans="2:2" ht="16.5" customHeight="1" x14ac:dyDescent="0.25">
      <c r="B1065" s="11"/>
    </row>
    <row r="1066" spans="2:2" ht="16.5" customHeight="1" x14ac:dyDescent="0.25">
      <c r="B1066" s="11"/>
    </row>
    <row r="1067" spans="2:2" ht="16.5" customHeight="1" x14ac:dyDescent="0.25">
      <c r="B1067" s="11"/>
    </row>
    <row r="1068" spans="2:2" ht="16.5" customHeight="1" x14ac:dyDescent="0.25">
      <c r="B1068" s="11"/>
    </row>
    <row r="1069" spans="2:2" ht="16.5" customHeight="1" x14ac:dyDescent="0.25">
      <c r="B1069" s="11"/>
    </row>
    <row r="1070" spans="2:2" ht="16.5" customHeight="1" x14ac:dyDescent="0.25">
      <c r="B1070" s="11"/>
    </row>
    <row r="1071" spans="2:2" ht="16.5" customHeight="1" x14ac:dyDescent="0.25">
      <c r="B1071" s="11"/>
    </row>
    <row r="1072" spans="2:2" ht="16.5" customHeight="1" x14ac:dyDescent="0.25">
      <c r="B1072" s="11"/>
    </row>
    <row r="1073" spans="2:2" ht="16.5" customHeight="1" x14ac:dyDescent="0.25">
      <c r="B1073" s="11"/>
    </row>
    <row r="1074" spans="2:2" ht="16.5" customHeight="1" x14ac:dyDescent="0.25">
      <c r="B1074" s="11"/>
    </row>
    <row r="1075" spans="2:2" ht="16.5" customHeight="1" x14ac:dyDescent="0.25">
      <c r="B1075" s="11"/>
    </row>
    <row r="1076" spans="2:2" ht="16.5" customHeight="1" x14ac:dyDescent="0.25">
      <c r="B1076" s="11"/>
    </row>
    <row r="1077" spans="2:2" ht="16.5" customHeight="1" x14ac:dyDescent="0.25">
      <c r="B1077" s="11"/>
    </row>
    <row r="1078" spans="2:2" ht="16.5" customHeight="1" x14ac:dyDescent="0.25">
      <c r="B1078" s="11"/>
    </row>
    <row r="1079" spans="2:2" ht="16.5" customHeight="1" x14ac:dyDescent="0.25">
      <c r="B1079" s="11"/>
    </row>
    <row r="1080" spans="2:2" ht="16.5" customHeight="1" x14ac:dyDescent="0.25">
      <c r="B1080" s="11"/>
    </row>
    <row r="1081" spans="2:2" ht="16.5" customHeight="1" x14ac:dyDescent="0.25">
      <c r="B1081" s="11"/>
    </row>
    <row r="1082" spans="2:2" ht="16.5" customHeight="1" x14ac:dyDescent="0.25">
      <c r="B1082" s="11"/>
    </row>
    <row r="1083" spans="2:2" ht="16.5" customHeight="1" x14ac:dyDescent="0.25">
      <c r="B1083" s="11"/>
    </row>
    <row r="1084" spans="2:2" ht="16.5" customHeight="1" x14ac:dyDescent="0.25">
      <c r="B1084" s="11"/>
    </row>
    <row r="1085" spans="2:2" ht="16.5" customHeight="1" x14ac:dyDescent="0.25">
      <c r="B1085" s="11"/>
    </row>
    <row r="1086" spans="2:2" ht="16.5" customHeight="1" x14ac:dyDescent="0.25">
      <c r="B1086" s="11"/>
    </row>
    <row r="1087" spans="2:2" ht="16.5" customHeight="1" x14ac:dyDescent="0.25">
      <c r="B1087" s="11"/>
    </row>
    <row r="1088" spans="2:2" ht="16.5" customHeight="1" x14ac:dyDescent="0.25">
      <c r="B1088" s="11"/>
    </row>
    <row r="1089" spans="2:2" ht="16.5" customHeight="1" x14ac:dyDescent="0.25">
      <c r="B1089" s="11"/>
    </row>
    <row r="1090" spans="2:2" ht="16.5" customHeight="1" x14ac:dyDescent="0.25">
      <c r="B1090" s="11"/>
    </row>
    <row r="1091" spans="2:2" ht="16.5" customHeight="1" x14ac:dyDescent="0.25">
      <c r="B1091" s="11"/>
    </row>
    <row r="1092" spans="2:2" ht="16.5" customHeight="1" x14ac:dyDescent="0.25">
      <c r="B1092" s="11"/>
    </row>
    <row r="1093" spans="2:2" ht="16.5" customHeight="1" x14ac:dyDescent="0.25">
      <c r="B1093" s="11"/>
    </row>
    <row r="1094" spans="2:2" ht="16.5" customHeight="1" x14ac:dyDescent="0.25">
      <c r="B1094" s="11"/>
    </row>
    <row r="1095" spans="2:2" ht="16.5" customHeight="1" x14ac:dyDescent="0.25">
      <c r="B1095" s="11"/>
    </row>
    <row r="1096" spans="2:2" ht="16.5" customHeight="1" x14ac:dyDescent="0.25">
      <c r="B1096" s="11"/>
    </row>
    <row r="1097" spans="2:2" ht="16.5" customHeight="1" x14ac:dyDescent="0.25">
      <c r="B1097" s="11"/>
    </row>
    <row r="1098" spans="2:2" ht="16.5" customHeight="1" x14ac:dyDescent="0.25">
      <c r="B1098" s="11"/>
    </row>
    <row r="1099" spans="2:2" ht="16.5" customHeight="1" x14ac:dyDescent="0.25">
      <c r="B1099" s="11"/>
    </row>
    <row r="1100" spans="2:2" ht="16.5" customHeight="1" x14ac:dyDescent="0.25">
      <c r="B1100" s="11"/>
    </row>
    <row r="1101" spans="2:2" ht="16.5" customHeight="1" x14ac:dyDescent="0.25">
      <c r="B1101" s="11"/>
    </row>
    <row r="1102" spans="2:2" ht="16.5" customHeight="1" x14ac:dyDescent="0.25">
      <c r="B1102" s="11"/>
    </row>
    <row r="1103" spans="2:2" ht="16.5" customHeight="1" x14ac:dyDescent="0.25">
      <c r="B1103" s="11"/>
    </row>
    <row r="1104" spans="2:2" ht="16.5" customHeight="1" x14ac:dyDescent="0.25">
      <c r="B1104" s="11"/>
    </row>
    <row r="1105" spans="2:2" ht="16.5" customHeight="1" x14ac:dyDescent="0.25">
      <c r="B1105" s="11"/>
    </row>
    <row r="1106" spans="2:2" ht="16.5" customHeight="1" x14ac:dyDescent="0.25">
      <c r="B1106" s="11"/>
    </row>
    <row r="1107" spans="2:2" ht="16.5" customHeight="1" x14ac:dyDescent="0.25">
      <c r="B1107" s="11"/>
    </row>
    <row r="1108" spans="2:2" ht="16.5" customHeight="1" x14ac:dyDescent="0.25">
      <c r="B1108" s="11"/>
    </row>
    <row r="1109" spans="2:2" ht="16.5" customHeight="1" x14ac:dyDescent="0.25">
      <c r="B1109" s="11"/>
    </row>
    <row r="1110" spans="2:2" ht="16.5" customHeight="1" x14ac:dyDescent="0.25">
      <c r="B1110" s="11"/>
    </row>
    <row r="1111" spans="2:2" ht="16.5" customHeight="1" x14ac:dyDescent="0.25">
      <c r="B1111" s="11"/>
    </row>
    <row r="1112" spans="2:2" ht="16.5" customHeight="1" x14ac:dyDescent="0.25">
      <c r="B1112" s="11"/>
    </row>
    <row r="1113" spans="2:2" ht="16.5" customHeight="1" x14ac:dyDescent="0.25">
      <c r="B1113" s="11"/>
    </row>
    <row r="1114" spans="2:2" ht="16.5" customHeight="1" x14ac:dyDescent="0.25">
      <c r="B1114" s="11"/>
    </row>
    <row r="1115" spans="2:2" ht="16.5" customHeight="1" x14ac:dyDescent="0.25">
      <c r="B1115" s="11"/>
    </row>
    <row r="1116" spans="2:2" ht="16.5" customHeight="1" x14ac:dyDescent="0.25">
      <c r="B1116" s="11"/>
    </row>
    <row r="1117" spans="2:2" ht="16.5" customHeight="1" x14ac:dyDescent="0.25">
      <c r="B1117" s="11"/>
    </row>
    <row r="1118" spans="2:2" ht="16.5" customHeight="1" x14ac:dyDescent="0.25">
      <c r="B1118" s="11"/>
    </row>
    <row r="1119" spans="2:2" ht="16.5" customHeight="1" x14ac:dyDescent="0.25">
      <c r="B1119" s="11"/>
    </row>
    <row r="1120" spans="2:2" ht="16.5" customHeight="1" x14ac:dyDescent="0.25">
      <c r="B1120" s="11"/>
    </row>
    <row r="1121" spans="2:2" ht="16.5" customHeight="1" x14ac:dyDescent="0.25">
      <c r="B1121" s="11"/>
    </row>
    <row r="1122" spans="2:2" ht="16.5" customHeight="1" x14ac:dyDescent="0.25">
      <c r="B1122" s="11"/>
    </row>
    <row r="1123" spans="2:2" ht="16.5" customHeight="1" x14ac:dyDescent="0.25">
      <c r="B1123" s="11"/>
    </row>
    <row r="1124" spans="2:2" ht="16.5" customHeight="1" x14ac:dyDescent="0.25">
      <c r="B1124" s="11"/>
    </row>
    <row r="1125" spans="2:2" ht="16.5" customHeight="1" x14ac:dyDescent="0.25">
      <c r="B1125" s="11"/>
    </row>
    <row r="1126" spans="2:2" ht="16.5" customHeight="1" x14ac:dyDescent="0.25">
      <c r="B1126" s="11"/>
    </row>
    <row r="1127" spans="2:2" ht="16.5" customHeight="1" x14ac:dyDescent="0.25">
      <c r="B1127" s="11"/>
    </row>
    <row r="1128" spans="2:2" ht="16.5" customHeight="1" x14ac:dyDescent="0.25">
      <c r="B1128" s="11"/>
    </row>
    <row r="1129" spans="2:2" ht="16.5" customHeight="1" x14ac:dyDescent="0.25">
      <c r="B1129" s="11"/>
    </row>
    <row r="1130" spans="2:2" ht="16.5" customHeight="1" x14ac:dyDescent="0.25">
      <c r="B1130" s="11"/>
    </row>
    <row r="1131" spans="2:2" ht="16.5" customHeight="1" x14ac:dyDescent="0.25">
      <c r="B1131" s="11"/>
    </row>
    <row r="1132" spans="2:2" ht="16.5" customHeight="1" x14ac:dyDescent="0.25">
      <c r="B1132" s="11"/>
    </row>
    <row r="1133" spans="2:2" ht="16.5" customHeight="1" x14ac:dyDescent="0.25">
      <c r="B1133" s="11"/>
    </row>
    <row r="1134" spans="2:2" ht="16.5" customHeight="1" x14ac:dyDescent="0.25">
      <c r="B1134" s="11"/>
    </row>
    <row r="1135" spans="2:2" ht="16.5" customHeight="1" x14ac:dyDescent="0.25">
      <c r="B1135" s="11"/>
    </row>
    <row r="1136" spans="2:2" ht="16.5" customHeight="1" x14ac:dyDescent="0.25">
      <c r="B1136" s="11"/>
    </row>
    <row r="1137" spans="2:2" ht="16.5" customHeight="1" x14ac:dyDescent="0.25">
      <c r="B1137" s="11"/>
    </row>
    <row r="1138" spans="2:2" ht="16.5" customHeight="1" x14ac:dyDescent="0.25">
      <c r="B1138" s="11"/>
    </row>
    <row r="1139" spans="2:2" ht="16.5" customHeight="1" x14ac:dyDescent="0.25">
      <c r="B1139" s="11"/>
    </row>
    <row r="1140" spans="2:2" ht="16.5" customHeight="1" x14ac:dyDescent="0.25">
      <c r="B1140" s="11"/>
    </row>
    <row r="1141" spans="2:2" ht="16.5" customHeight="1" x14ac:dyDescent="0.25">
      <c r="B1141" s="11"/>
    </row>
    <row r="1142" spans="2:2" ht="16.5" customHeight="1" x14ac:dyDescent="0.25">
      <c r="B1142" s="11"/>
    </row>
    <row r="1143" spans="2:2" ht="16.5" customHeight="1" x14ac:dyDescent="0.25">
      <c r="B1143" s="11"/>
    </row>
    <row r="1144" spans="2:2" ht="16.5" customHeight="1" x14ac:dyDescent="0.25">
      <c r="B1144" s="11"/>
    </row>
    <row r="1145" spans="2:2" ht="16.5" customHeight="1" x14ac:dyDescent="0.25">
      <c r="B1145" s="11"/>
    </row>
    <row r="1146" spans="2:2" ht="16.5" customHeight="1" x14ac:dyDescent="0.25">
      <c r="B1146" s="11"/>
    </row>
    <row r="1147" spans="2:2" ht="16.5" customHeight="1" x14ac:dyDescent="0.25">
      <c r="B1147" s="11"/>
    </row>
    <row r="1148" spans="2:2" ht="16.5" customHeight="1" x14ac:dyDescent="0.25">
      <c r="B1148" s="11"/>
    </row>
    <row r="1149" spans="2:2" ht="16.5" customHeight="1" x14ac:dyDescent="0.25">
      <c r="B1149" s="11"/>
    </row>
    <row r="1150" spans="2:2" ht="16.5" customHeight="1" x14ac:dyDescent="0.25">
      <c r="B1150" s="11"/>
    </row>
    <row r="1151" spans="2:2" ht="16.5" customHeight="1" x14ac:dyDescent="0.25">
      <c r="B1151" s="11"/>
    </row>
    <row r="1152" spans="2:2" ht="16.5" customHeight="1" x14ac:dyDescent="0.25">
      <c r="B1152" s="11"/>
    </row>
    <row r="1153" spans="2:2" ht="16.5" customHeight="1" x14ac:dyDescent="0.25">
      <c r="B1153" s="11"/>
    </row>
    <row r="1154" spans="2:2" ht="16.5" customHeight="1" x14ac:dyDescent="0.25">
      <c r="B1154" s="11"/>
    </row>
    <row r="1155" spans="2:2" ht="16.5" customHeight="1" x14ac:dyDescent="0.25">
      <c r="B1155" s="11"/>
    </row>
    <row r="1156" spans="2:2" ht="16.5" customHeight="1" x14ac:dyDescent="0.25">
      <c r="B1156" s="11"/>
    </row>
    <row r="1157" spans="2:2" ht="16.5" customHeight="1" x14ac:dyDescent="0.25">
      <c r="B1157" s="11"/>
    </row>
    <row r="1158" spans="2:2" ht="16.5" customHeight="1" x14ac:dyDescent="0.25">
      <c r="B1158" s="11"/>
    </row>
    <row r="1159" spans="2:2" ht="16.5" customHeight="1" x14ac:dyDescent="0.25">
      <c r="B1159" s="11"/>
    </row>
    <row r="1160" spans="2:2" ht="16.5" customHeight="1" x14ac:dyDescent="0.25">
      <c r="B1160" s="11"/>
    </row>
    <row r="1161" spans="2:2" ht="16.5" customHeight="1" x14ac:dyDescent="0.25">
      <c r="B1161" s="11"/>
    </row>
    <row r="1162" spans="2:2" ht="16.5" customHeight="1" x14ac:dyDescent="0.25">
      <c r="B1162" s="11"/>
    </row>
    <row r="1163" spans="2:2" ht="16.5" customHeight="1" x14ac:dyDescent="0.25">
      <c r="B1163" s="11"/>
    </row>
  </sheetData>
  <autoFilter ref="B2:F257" xr:uid="{D7059EBC-0597-40E9-8A93-585160797B38}">
    <sortState xmlns:xlrd2="http://schemas.microsoft.com/office/spreadsheetml/2017/richdata2" ref="B3:F197">
      <sortCondition ref="B2:B197"/>
    </sortState>
  </autoFilter>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98701-D29B-4AFD-B1F3-11FB0D384D17}">
  <dimension ref="A1:S98"/>
  <sheetViews>
    <sheetView showGridLines="0" workbookViewId="0">
      <pane xSplit="1" ySplit="1" topLeftCell="B53" activePane="bottomRight" state="frozen"/>
      <selection pane="topRight" activeCell="C1" sqref="C1"/>
      <selection pane="bottomLeft" activeCell="A3" sqref="A3"/>
      <selection pane="bottomRight" activeCell="B63" sqref="B63"/>
    </sheetView>
  </sheetViews>
  <sheetFormatPr defaultRowHeight="15" x14ac:dyDescent="0.25"/>
  <cols>
    <col min="1" max="16384" width="9.140625" style="1"/>
  </cols>
  <sheetData>
    <row r="1" spans="1:19" ht="75.75" customHeight="1" x14ac:dyDescent="0.25">
      <c r="A1" s="3" t="s">
        <v>0</v>
      </c>
      <c r="B1" s="2" t="s">
        <v>91</v>
      </c>
      <c r="C1" s="2" t="s">
        <v>92</v>
      </c>
      <c r="D1" s="2" t="s">
        <v>93</v>
      </c>
      <c r="E1" s="2" t="s">
        <v>94</v>
      </c>
      <c r="F1" s="2" t="s">
        <v>95</v>
      </c>
      <c r="G1" s="2" t="s">
        <v>96</v>
      </c>
      <c r="H1" s="2" t="s">
        <v>97</v>
      </c>
      <c r="I1" s="2" t="s">
        <v>98</v>
      </c>
      <c r="J1" s="2" t="s">
        <v>99</v>
      </c>
      <c r="K1" s="2" t="s">
        <v>100</v>
      </c>
      <c r="L1" s="2" t="s">
        <v>101</v>
      </c>
      <c r="M1" s="2" t="s">
        <v>102</v>
      </c>
      <c r="N1" s="2" t="s">
        <v>103</v>
      </c>
      <c r="O1" s="2" t="s">
        <v>104</v>
      </c>
      <c r="P1" s="2" t="s">
        <v>105</v>
      </c>
      <c r="Q1" s="2" t="s">
        <v>106</v>
      </c>
      <c r="R1" s="2" t="s">
        <v>107</v>
      </c>
      <c r="S1" s="2" t="s">
        <v>108</v>
      </c>
    </row>
    <row r="2" spans="1:19" ht="18" customHeight="1" x14ac:dyDescent="0.25">
      <c r="A2" s="5">
        <v>43831</v>
      </c>
      <c r="B2" s="4">
        <v>5</v>
      </c>
      <c r="C2" s="4">
        <v>12</v>
      </c>
      <c r="D2" s="4">
        <v>-3</v>
      </c>
      <c r="E2" s="4">
        <v>6</v>
      </c>
      <c r="F2" s="4">
        <v>2</v>
      </c>
      <c r="G2" s="4">
        <v>7</v>
      </c>
      <c r="H2" s="4">
        <v>10</v>
      </c>
      <c r="I2" s="4">
        <v>3</v>
      </c>
      <c r="J2" s="4">
        <v>11</v>
      </c>
      <c r="K2" s="4">
        <v>-4</v>
      </c>
      <c r="L2" s="4">
        <v>-1</v>
      </c>
      <c r="M2" s="4">
        <v>1</v>
      </c>
      <c r="N2" s="4">
        <v>8</v>
      </c>
      <c r="O2" s="4">
        <v>0</v>
      </c>
      <c r="P2" s="4">
        <v>0</v>
      </c>
      <c r="Q2" s="4">
        <v>9</v>
      </c>
      <c r="R2" s="4">
        <v>4</v>
      </c>
      <c r="S2" s="4">
        <v>-2</v>
      </c>
    </row>
    <row r="3" spans="1:19" ht="18" customHeight="1" x14ac:dyDescent="0.25">
      <c r="A3" s="5">
        <v>43862</v>
      </c>
      <c r="B3" s="4">
        <v>13</v>
      </c>
      <c r="C3" s="4">
        <v>0</v>
      </c>
      <c r="D3" s="4">
        <v>-3</v>
      </c>
      <c r="E3" s="4">
        <v>4</v>
      </c>
      <c r="F3" s="4">
        <v>5</v>
      </c>
      <c r="G3" s="4">
        <v>9</v>
      </c>
      <c r="H3" s="4">
        <v>6</v>
      </c>
      <c r="I3" s="4">
        <v>-2</v>
      </c>
      <c r="J3" s="4">
        <v>12</v>
      </c>
      <c r="K3" s="4">
        <v>11</v>
      </c>
      <c r="L3" s="4">
        <v>1</v>
      </c>
      <c r="M3" s="4">
        <v>2</v>
      </c>
      <c r="N3" s="4">
        <v>8</v>
      </c>
      <c r="O3" s="4">
        <v>10</v>
      </c>
      <c r="P3" s="4">
        <v>0</v>
      </c>
      <c r="Q3" s="4">
        <v>7</v>
      </c>
      <c r="R3" s="4">
        <v>-1</v>
      </c>
      <c r="S3" s="4">
        <v>3</v>
      </c>
    </row>
    <row r="4" spans="1:19" ht="18" customHeight="1" x14ac:dyDescent="0.25">
      <c r="A4" s="5">
        <v>43891</v>
      </c>
      <c r="B4" s="4">
        <v>4</v>
      </c>
      <c r="C4" s="4">
        <v>0</v>
      </c>
      <c r="D4" s="4">
        <v>-9</v>
      </c>
      <c r="E4" s="4">
        <v>3</v>
      </c>
      <c r="F4" s="4">
        <v>-6</v>
      </c>
      <c r="G4" s="4">
        <v>1</v>
      </c>
      <c r="H4" s="4">
        <v>5</v>
      </c>
      <c r="I4" s="4">
        <v>-1</v>
      </c>
      <c r="J4" s="4">
        <v>0</v>
      </c>
      <c r="K4" s="4">
        <v>-8</v>
      </c>
      <c r="L4" s="4">
        <v>-7</v>
      </c>
      <c r="M4" s="4">
        <v>-4</v>
      </c>
      <c r="N4" s="4">
        <v>2</v>
      </c>
      <c r="O4" s="4">
        <v>0</v>
      </c>
      <c r="P4" s="4">
        <v>-5</v>
      </c>
      <c r="Q4" s="4">
        <v>-3</v>
      </c>
      <c r="R4" s="4">
        <v>0</v>
      </c>
      <c r="S4" s="4">
        <v>-2</v>
      </c>
    </row>
    <row r="5" spans="1:19" ht="18" customHeight="1" x14ac:dyDescent="0.25">
      <c r="A5" s="5">
        <v>43922</v>
      </c>
      <c r="B5" s="4">
        <v>-2</v>
      </c>
      <c r="C5" s="4">
        <v>-16</v>
      </c>
      <c r="D5" s="4">
        <v>-17</v>
      </c>
      <c r="E5" s="4">
        <v>-7</v>
      </c>
      <c r="F5" s="4">
        <v>-10</v>
      </c>
      <c r="G5" s="4"/>
      <c r="H5" s="4">
        <v>-4</v>
      </c>
      <c r="I5" s="4">
        <v>-3</v>
      </c>
      <c r="J5" s="4">
        <v>-9</v>
      </c>
      <c r="K5" s="4">
        <v>-5</v>
      </c>
      <c r="L5" s="4">
        <v>-13</v>
      </c>
      <c r="M5" s="4">
        <v>-11</v>
      </c>
      <c r="N5" s="4">
        <v>-1</v>
      </c>
      <c r="O5" s="4">
        <v>-12</v>
      </c>
      <c r="P5" s="4">
        <v>-14</v>
      </c>
      <c r="Q5" s="4">
        <v>-15</v>
      </c>
      <c r="R5" s="4">
        <v>-6</v>
      </c>
      <c r="S5" s="4">
        <v>-8</v>
      </c>
    </row>
    <row r="6" spans="1:19" ht="18" customHeight="1" x14ac:dyDescent="0.25">
      <c r="A6" s="5">
        <v>43952</v>
      </c>
      <c r="B6" s="4">
        <v>-5</v>
      </c>
      <c r="C6" s="4">
        <v>3</v>
      </c>
      <c r="D6" s="4">
        <v>-8</v>
      </c>
      <c r="E6" s="4">
        <v>-11</v>
      </c>
      <c r="F6" s="4">
        <v>-12</v>
      </c>
      <c r="G6" s="4">
        <v>2</v>
      </c>
      <c r="H6" s="4">
        <v>-6</v>
      </c>
      <c r="I6" s="4">
        <v>-1</v>
      </c>
      <c r="J6" s="4">
        <v>-3</v>
      </c>
      <c r="K6" s="4">
        <v>-13</v>
      </c>
      <c r="L6" s="4">
        <v>-10</v>
      </c>
      <c r="M6" s="4">
        <v>-7</v>
      </c>
      <c r="N6" s="4">
        <v>0</v>
      </c>
      <c r="O6" s="4">
        <v>0</v>
      </c>
      <c r="P6" s="4">
        <v>1</v>
      </c>
      <c r="Q6" s="4">
        <v>-2</v>
      </c>
      <c r="R6" s="4">
        <v>-9</v>
      </c>
      <c r="S6" s="4">
        <v>-4</v>
      </c>
    </row>
    <row r="7" spans="1:19" ht="18" customHeight="1" x14ac:dyDescent="0.25">
      <c r="A7" s="5">
        <v>43983</v>
      </c>
      <c r="B7" s="4">
        <v>14</v>
      </c>
      <c r="C7" s="4">
        <v>15</v>
      </c>
      <c r="D7" s="4">
        <v>0</v>
      </c>
      <c r="E7" s="4">
        <v>8</v>
      </c>
      <c r="F7" s="4">
        <v>3</v>
      </c>
      <c r="G7" s="4">
        <v>5</v>
      </c>
      <c r="H7" s="4">
        <v>11</v>
      </c>
      <c r="I7" s="4">
        <v>2</v>
      </c>
      <c r="J7" s="4">
        <v>6</v>
      </c>
      <c r="K7" s="4">
        <v>0</v>
      </c>
      <c r="L7" s="4">
        <v>-1</v>
      </c>
      <c r="M7" s="4">
        <v>4</v>
      </c>
      <c r="N7" s="4">
        <v>1</v>
      </c>
      <c r="O7" s="4">
        <v>13</v>
      </c>
      <c r="P7" s="4">
        <v>10</v>
      </c>
      <c r="Q7" s="4">
        <v>7</v>
      </c>
      <c r="R7" s="4">
        <v>9</v>
      </c>
      <c r="S7" s="4">
        <v>12</v>
      </c>
    </row>
    <row r="8" spans="1:19" ht="18" customHeight="1" x14ac:dyDescent="0.25">
      <c r="A8" s="5">
        <v>44013</v>
      </c>
      <c r="B8" s="4">
        <v>5</v>
      </c>
      <c r="C8" s="4">
        <v>6</v>
      </c>
      <c r="D8" s="4">
        <v>11</v>
      </c>
      <c r="E8" s="4">
        <v>4</v>
      </c>
      <c r="F8" s="4">
        <v>12</v>
      </c>
      <c r="G8" s="4">
        <v>2</v>
      </c>
      <c r="H8" s="4">
        <v>9</v>
      </c>
      <c r="I8" s="4">
        <v>-1</v>
      </c>
      <c r="J8" s="4">
        <v>3</v>
      </c>
      <c r="K8" s="4">
        <v>-3</v>
      </c>
      <c r="L8" s="4">
        <v>-2</v>
      </c>
      <c r="M8" s="4">
        <v>0</v>
      </c>
      <c r="N8" s="4">
        <v>7</v>
      </c>
      <c r="O8" s="4">
        <v>8</v>
      </c>
      <c r="P8" s="4">
        <v>13</v>
      </c>
      <c r="Q8" s="4">
        <v>14</v>
      </c>
      <c r="R8" s="4">
        <v>1</v>
      </c>
      <c r="S8" s="4">
        <v>10</v>
      </c>
    </row>
    <row r="9" spans="1:19" ht="18" customHeight="1" x14ac:dyDescent="0.25">
      <c r="A9" s="5">
        <v>44044</v>
      </c>
      <c r="B9" s="4">
        <v>2</v>
      </c>
      <c r="C9" s="4">
        <v>-3</v>
      </c>
      <c r="D9" s="4">
        <v>13</v>
      </c>
      <c r="E9" s="4">
        <v>6</v>
      </c>
      <c r="F9" s="4">
        <v>3</v>
      </c>
      <c r="G9" s="4">
        <v>4</v>
      </c>
      <c r="H9" s="4">
        <v>9</v>
      </c>
      <c r="I9" s="4">
        <v>-2</v>
      </c>
      <c r="J9" s="4">
        <v>11</v>
      </c>
      <c r="K9" s="4">
        <v>-1</v>
      </c>
      <c r="L9" s="4">
        <v>0</v>
      </c>
      <c r="M9" s="4">
        <v>0</v>
      </c>
      <c r="N9" s="4">
        <v>7</v>
      </c>
      <c r="O9" s="4">
        <v>10</v>
      </c>
      <c r="P9" s="4">
        <v>1</v>
      </c>
      <c r="Q9" s="4">
        <v>5</v>
      </c>
      <c r="R9" s="4">
        <v>12</v>
      </c>
      <c r="S9" s="4">
        <v>8</v>
      </c>
    </row>
    <row r="10" spans="1:19" ht="18" customHeight="1" x14ac:dyDescent="0.25">
      <c r="A10" s="5">
        <v>44094</v>
      </c>
      <c r="B10" s="4">
        <v>13</v>
      </c>
      <c r="C10" s="4">
        <v>-1</v>
      </c>
      <c r="D10" s="4">
        <v>16</v>
      </c>
      <c r="E10" s="4">
        <v>4</v>
      </c>
      <c r="F10" s="4">
        <v>8</v>
      </c>
      <c r="G10" s="4">
        <v>7</v>
      </c>
      <c r="H10" s="4">
        <v>9</v>
      </c>
      <c r="I10" s="4">
        <v>3</v>
      </c>
      <c r="J10" s="4">
        <v>12</v>
      </c>
      <c r="K10" s="4">
        <v>5</v>
      </c>
      <c r="L10" s="4">
        <v>2</v>
      </c>
      <c r="M10" s="4">
        <v>1</v>
      </c>
      <c r="N10" s="4">
        <v>6</v>
      </c>
      <c r="O10" s="4">
        <v>15</v>
      </c>
      <c r="P10" s="4">
        <v>0</v>
      </c>
      <c r="Q10" s="4">
        <v>11</v>
      </c>
      <c r="R10" s="4">
        <v>14</v>
      </c>
      <c r="S10" s="4">
        <v>10</v>
      </c>
    </row>
    <row r="11" spans="1:19" ht="18" customHeight="1" x14ac:dyDescent="0.25">
      <c r="A11" s="5">
        <v>44105</v>
      </c>
      <c r="B11" s="4">
        <v>15</v>
      </c>
      <c r="C11" s="4">
        <v>12</v>
      </c>
      <c r="D11" s="4">
        <v>0</v>
      </c>
      <c r="E11" s="4">
        <v>10</v>
      </c>
      <c r="F11" s="4">
        <v>7</v>
      </c>
      <c r="G11" s="4">
        <v>8</v>
      </c>
      <c r="H11" s="4">
        <v>11</v>
      </c>
      <c r="I11" s="4">
        <v>2</v>
      </c>
      <c r="J11" s="4">
        <v>9</v>
      </c>
      <c r="K11" s="4">
        <v>14</v>
      </c>
      <c r="L11" s="4">
        <v>5</v>
      </c>
      <c r="M11" s="4">
        <v>4</v>
      </c>
      <c r="N11" s="4">
        <v>-1</v>
      </c>
      <c r="O11" s="4">
        <v>13</v>
      </c>
      <c r="P11" s="4">
        <v>1</v>
      </c>
      <c r="Q11" s="4">
        <v>16</v>
      </c>
      <c r="R11" s="4">
        <v>6</v>
      </c>
      <c r="S11" s="4">
        <v>3</v>
      </c>
    </row>
    <row r="12" spans="1:19" ht="18" customHeight="1" x14ac:dyDescent="0.25">
      <c r="A12" s="5">
        <v>44136</v>
      </c>
      <c r="B12" s="4">
        <v>10</v>
      </c>
      <c r="C12" s="4">
        <v>-1</v>
      </c>
      <c r="D12" s="4">
        <v>-4</v>
      </c>
      <c r="E12" s="4">
        <v>5</v>
      </c>
      <c r="F12" s="4">
        <v>1</v>
      </c>
      <c r="G12" s="4">
        <v>9</v>
      </c>
      <c r="H12" s="4">
        <v>12</v>
      </c>
      <c r="I12" s="4">
        <v>2</v>
      </c>
      <c r="J12" s="4">
        <v>13</v>
      </c>
      <c r="K12" s="4">
        <v>6</v>
      </c>
      <c r="L12" s="4">
        <v>-2</v>
      </c>
      <c r="M12" s="4">
        <v>8</v>
      </c>
      <c r="N12" s="4">
        <v>3</v>
      </c>
      <c r="O12" s="4">
        <v>-3</v>
      </c>
      <c r="P12" s="4">
        <v>7</v>
      </c>
      <c r="Q12" s="4">
        <v>14</v>
      </c>
      <c r="R12" s="4">
        <v>11</v>
      </c>
      <c r="S12" s="4">
        <v>4</v>
      </c>
    </row>
    <row r="13" spans="1:19" ht="18" customHeight="1" x14ac:dyDescent="0.25">
      <c r="A13" s="5">
        <v>44166</v>
      </c>
      <c r="B13" s="4">
        <v>-4</v>
      </c>
      <c r="C13" s="4">
        <v>6</v>
      </c>
      <c r="D13" s="4">
        <v>0</v>
      </c>
      <c r="E13" s="4">
        <v>-2</v>
      </c>
      <c r="F13" s="4">
        <v>-1</v>
      </c>
      <c r="G13" s="4">
        <v>3</v>
      </c>
      <c r="H13" s="4">
        <v>10</v>
      </c>
      <c r="I13" s="4">
        <v>8</v>
      </c>
      <c r="J13" s="4">
        <v>11</v>
      </c>
      <c r="K13" s="4">
        <v>5</v>
      </c>
      <c r="L13" s="4">
        <v>-5</v>
      </c>
      <c r="M13" s="4">
        <v>2</v>
      </c>
      <c r="N13" s="4">
        <v>0</v>
      </c>
      <c r="O13" s="4">
        <v>-3</v>
      </c>
      <c r="P13" s="4">
        <v>7</v>
      </c>
      <c r="Q13" s="4">
        <v>9</v>
      </c>
      <c r="R13" s="4">
        <v>1</v>
      </c>
      <c r="S13" s="4">
        <v>4</v>
      </c>
    </row>
    <row r="14" spans="1:19" ht="18" customHeight="1" x14ac:dyDescent="0.25">
      <c r="A14" s="5">
        <v>44197</v>
      </c>
      <c r="B14" s="4">
        <v>6</v>
      </c>
      <c r="C14" s="4">
        <v>0</v>
      </c>
      <c r="D14" s="4">
        <v>0</v>
      </c>
      <c r="E14" s="4">
        <v>10</v>
      </c>
      <c r="F14" s="4">
        <v>-1</v>
      </c>
      <c r="G14" s="4">
        <v>9</v>
      </c>
      <c r="H14" s="4">
        <v>5</v>
      </c>
      <c r="I14" s="4">
        <v>1</v>
      </c>
      <c r="J14" s="4">
        <v>0</v>
      </c>
      <c r="K14" s="4">
        <v>0</v>
      </c>
      <c r="L14" s="4">
        <v>0</v>
      </c>
      <c r="M14" s="4">
        <v>4</v>
      </c>
      <c r="N14" s="4">
        <v>3</v>
      </c>
      <c r="O14" s="4">
        <v>8</v>
      </c>
      <c r="P14" s="4">
        <v>-2</v>
      </c>
      <c r="Q14" s="4">
        <v>0</v>
      </c>
      <c r="R14" s="4">
        <v>2</v>
      </c>
      <c r="S14" s="4">
        <v>7</v>
      </c>
    </row>
    <row r="15" spans="1:19" ht="18" customHeight="1" x14ac:dyDescent="0.25">
      <c r="A15" s="5">
        <v>44228</v>
      </c>
      <c r="B15" s="4">
        <v>14</v>
      </c>
      <c r="C15" s="4">
        <v>-2</v>
      </c>
      <c r="D15" s="4">
        <v>13</v>
      </c>
      <c r="E15" s="4">
        <v>6</v>
      </c>
      <c r="F15" s="4">
        <v>8</v>
      </c>
      <c r="G15" s="4">
        <v>4</v>
      </c>
      <c r="H15" s="4">
        <v>3</v>
      </c>
      <c r="I15" s="4">
        <v>2</v>
      </c>
      <c r="J15" s="4">
        <v>7</v>
      </c>
      <c r="K15" s="4">
        <v>5</v>
      </c>
      <c r="L15" s="4">
        <v>-1</v>
      </c>
      <c r="M15" s="4">
        <v>1</v>
      </c>
      <c r="N15" s="4">
        <v>10</v>
      </c>
      <c r="O15" s="4">
        <v>-3</v>
      </c>
      <c r="P15" s="4">
        <v>0</v>
      </c>
      <c r="Q15" s="4">
        <v>11</v>
      </c>
      <c r="R15" s="4">
        <v>9</v>
      </c>
      <c r="S15" s="4">
        <v>12</v>
      </c>
    </row>
    <row r="16" spans="1:19" ht="18" customHeight="1" x14ac:dyDescent="0.25">
      <c r="A16" s="5">
        <v>44256</v>
      </c>
      <c r="B16" s="4">
        <v>14</v>
      </c>
      <c r="C16" s="4">
        <v>12</v>
      </c>
      <c r="D16" s="4">
        <v>17</v>
      </c>
      <c r="E16" s="4">
        <v>5</v>
      </c>
      <c r="F16" s="4">
        <v>2</v>
      </c>
      <c r="G16" s="4">
        <v>9</v>
      </c>
      <c r="H16" s="4">
        <v>6</v>
      </c>
      <c r="I16" s="4">
        <v>4</v>
      </c>
      <c r="J16" s="4">
        <v>15</v>
      </c>
      <c r="K16" s="4">
        <v>16</v>
      </c>
      <c r="L16" s="4">
        <v>-1</v>
      </c>
      <c r="M16" s="4">
        <v>1</v>
      </c>
      <c r="N16" s="4">
        <v>8</v>
      </c>
      <c r="O16" s="4">
        <v>11</v>
      </c>
      <c r="P16" s="4">
        <v>3</v>
      </c>
      <c r="Q16" s="4">
        <v>7</v>
      </c>
      <c r="R16" s="4">
        <v>10</v>
      </c>
      <c r="S16" s="4">
        <v>13</v>
      </c>
    </row>
    <row r="17" spans="1:19" ht="18" customHeight="1" x14ac:dyDescent="0.25">
      <c r="A17" s="5">
        <v>44287</v>
      </c>
      <c r="B17" s="4">
        <v>10</v>
      </c>
      <c r="C17" s="4">
        <v>-1</v>
      </c>
      <c r="D17" s="4">
        <v>17</v>
      </c>
      <c r="E17" s="4">
        <v>8</v>
      </c>
      <c r="F17" s="4">
        <v>9</v>
      </c>
      <c r="G17" s="4">
        <v>7</v>
      </c>
      <c r="H17" s="4">
        <v>6</v>
      </c>
      <c r="I17" s="4">
        <v>2</v>
      </c>
      <c r="J17" s="4">
        <v>15</v>
      </c>
      <c r="K17" s="4">
        <v>12</v>
      </c>
      <c r="L17" s="4">
        <v>3</v>
      </c>
      <c r="M17" s="4">
        <v>4</v>
      </c>
      <c r="N17" s="4">
        <v>14</v>
      </c>
      <c r="O17" s="4">
        <v>1</v>
      </c>
      <c r="P17" s="4">
        <v>11</v>
      </c>
      <c r="Q17" s="4">
        <v>5</v>
      </c>
      <c r="R17" s="4">
        <v>13</v>
      </c>
      <c r="S17" s="4">
        <v>16</v>
      </c>
    </row>
    <row r="18" spans="1:19" ht="18" customHeight="1" x14ac:dyDescent="0.25">
      <c r="A18" s="5">
        <v>44317</v>
      </c>
      <c r="B18" s="4">
        <v>4</v>
      </c>
      <c r="C18" s="4">
        <v>3</v>
      </c>
      <c r="D18" s="4">
        <v>17</v>
      </c>
      <c r="E18" s="4">
        <v>13</v>
      </c>
      <c r="F18" s="4">
        <v>5</v>
      </c>
      <c r="G18" s="4">
        <v>15</v>
      </c>
      <c r="H18" s="4">
        <v>8</v>
      </c>
      <c r="I18" s="4">
        <v>9</v>
      </c>
      <c r="J18" s="4">
        <v>7</v>
      </c>
      <c r="K18" s="4">
        <v>14</v>
      </c>
      <c r="L18" s="4">
        <v>6</v>
      </c>
      <c r="M18" s="4">
        <v>2</v>
      </c>
      <c r="N18" s="4">
        <v>1</v>
      </c>
      <c r="O18" s="4">
        <v>12</v>
      </c>
      <c r="P18" s="4">
        <v>18</v>
      </c>
      <c r="Q18" s="4">
        <v>10</v>
      </c>
      <c r="R18" s="4">
        <v>11</v>
      </c>
      <c r="S18" s="4">
        <v>16</v>
      </c>
    </row>
    <row r="19" spans="1:19" ht="18" customHeight="1" x14ac:dyDescent="0.25">
      <c r="A19" s="5">
        <v>44348</v>
      </c>
      <c r="B19" s="4">
        <v>4</v>
      </c>
      <c r="C19" s="4">
        <v>-1</v>
      </c>
      <c r="D19" s="4">
        <v>16</v>
      </c>
      <c r="E19" s="4">
        <v>8</v>
      </c>
      <c r="F19" s="4">
        <v>2</v>
      </c>
      <c r="G19" s="4">
        <v>5</v>
      </c>
      <c r="H19" s="4">
        <v>6</v>
      </c>
      <c r="I19" s="4">
        <v>10</v>
      </c>
      <c r="J19" s="4">
        <v>14</v>
      </c>
      <c r="K19" s="4">
        <v>3</v>
      </c>
      <c r="L19" s="4">
        <v>15</v>
      </c>
      <c r="M19" s="4">
        <v>1</v>
      </c>
      <c r="N19" s="4">
        <v>7</v>
      </c>
      <c r="O19" s="4">
        <v>-2</v>
      </c>
      <c r="P19" s="4">
        <v>9</v>
      </c>
      <c r="Q19" s="4">
        <v>11</v>
      </c>
      <c r="R19" s="4">
        <v>13</v>
      </c>
      <c r="S19" s="4">
        <v>12</v>
      </c>
    </row>
    <row r="20" spans="1:19" ht="18" customHeight="1" x14ac:dyDescent="0.25">
      <c r="A20" s="5">
        <v>44378</v>
      </c>
      <c r="B20" s="4">
        <v>12</v>
      </c>
      <c r="C20" s="4">
        <v>0</v>
      </c>
      <c r="D20" s="4">
        <v>17</v>
      </c>
      <c r="E20" s="4">
        <v>5</v>
      </c>
      <c r="F20" s="4">
        <v>2</v>
      </c>
      <c r="G20" s="4">
        <v>3</v>
      </c>
      <c r="H20" s="4">
        <v>10</v>
      </c>
      <c r="I20" s="4">
        <v>11</v>
      </c>
      <c r="J20" s="4">
        <v>16</v>
      </c>
      <c r="K20" s="4">
        <v>1</v>
      </c>
      <c r="L20" s="4">
        <v>6</v>
      </c>
      <c r="M20" s="4">
        <v>4</v>
      </c>
      <c r="N20" s="4">
        <v>8</v>
      </c>
      <c r="O20" s="4">
        <v>13</v>
      </c>
      <c r="P20" s="4">
        <v>14</v>
      </c>
      <c r="Q20" s="4">
        <v>9</v>
      </c>
      <c r="R20" s="4">
        <v>7</v>
      </c>
      <c r="S20" s="4">
        <v>15</v>
      </c>
    </row>
    <row r="21" spans="1:19" ht="18" customHeight="1" x14ac:dyDescent="0.25">
      <c r="A21" s="5">
        <v>44409</v>
      </c>
      <c r="B21" s="4">
        <v>9</v>
      </c>
      <c r="C21" s="4">
        <v>-0.5</v>
      </c>
      <c r="D21" s="4">
        <v>16.5</v>
      </c>
      <c r="E21" s="4">
        <v>4</v>
      </c>
      <c r="F21" s="4">
        <v>8.5</v>
      </c>
      <c r="G21" s="4">
        <v>5.5</v>
      </c>
      <c r="H21" s="4">
        <v>11.5</v>
      </c>
      <c r="I21" s="4">
        <v>10.5</v>
      </c>
      <c r="J21" s="4">
        <v>14</v>
      </c>
      <c r="K21" s="4">
        <v>1.5</v>
      </c>
      <c r="L21" s="4">
        <v>5</v>
      </c>
      <c r="M21" s="4">
        <v>7.5</v>
      </c>
      <c r="N21" s="4">
        <v>6.5</v>
      </c>
      <c r="O21" s="4">
        <v>13.5</v>
      </c>
      <c r="P21" s="4">
        <v>15.5</v>
      </c>
      <c r="Q21" s="4">
        <v>5</v>
      </c>
      <c r="R21" s="4">
        <v>8</v>
      </c>
      <c r="S21" s="4">
        <v>11</v>
      </c>
    </row>
    <row r="22" spans="1:19" ht="18" customHeight="1" x14ac:dyDescent="0.25">
      <c r="A22" s="5">
        <v>44440</v>
      </c>
      <c r="B22" s="4">
        <v>6</v>
      </c>
      <c r="C22" s="4">
        <v>-1</v>
      </c>
      <c r="D22" s="4">
        <v>16</v>
      </c>
      <c r="E22" s="4">
        <v>3</v>
      </c>
      <c r="F22" s="4">
        <v>15</v>
      </c>
      <c r="G22" s="4">
        <v>8</v>
      </c>
      <c r="H22" s="4">
        <v>13</v>
      </c>
      <c r="I22" s="4">
        <v>10</v>
      </c>
      <c r="J22" s="4">
        <v>12</v>
      </c>
      <c r="K22" s="4">
        <v>2</v>
      </c>
      <c r="L22" s="4">
        <v>4</v>
      </c>
      <c r="M22" s="4">
        <v>11</v>
      </c>
      <c r="N22" s="4">
        <v>5</v>
      </c>
      <c r="O22" s="4">
        <v>14</v>
      </c>
      <c r="P22" s="4">
        <v>17</v>
      </c>
      <c r="Q22" s="4">
        <v>1</v>
      </c>
      <c r="R22" s="4">
        <v>9</v>
      </c>
      <c r="S22" s="4">
        <v>7</v>
      </c>
    </row>
    <row r="23" spans="1:19" ht="18" customHeight="1" x14ac:dyDescent="0.25">
      <c r="A23" s="5">
        <v>44470</v>
      </c>
      <c r="B23" s="4">
        <v>3</v>
      </c>
      <c r="C23" s="4">
        <v>-1</v>
      </c>
      <c r="D23" s="4">
        <v>10</v>
      </c>
      <c r="E23" s="4">
        <v>4</v>
      </c>
      <c r="F23" s="4">
        <v>13</v>
      </c>
      <c r="G23" s="4">
        <v>7</v>
      </c>
      <c r="H23" s="4">
        <v>11</v>
      </c>
      <c r="I23" s="4">
        <v>15</v>
      </c>
      <c r="J23" s="4">
        <v>6</v>
      </c>
      <c r="K23" s="4">
        <v>9</v>
      </c>
      <c r="L23" s="4">
        <v>5</v>
      </c>
      <c r="M23" s="4">
        <v>2</v>
      </c>
      <c r="N23" s="4">
        <v>1</v>
      </c>
      <c r="O23" s="4">
        <v>17</v>
      </c>
      <c r="P23" s="4">
        <v>16</v>
      </c>
      <c r="Q23" s="4">
        <v>14</v>
      </c>
      <c r="R23" s="4">
        <v>12</v>
      </c>
      <c r="S23" s="4">
        <v>8</v>
      </c>
    </row>
    <row r="24" spans="1:19" ht="18" customHeight="1" x14ac:dyDescent="0.25">
      <c r="A24" s="5">
        <v>44501</v>
      </c>
      <c r="B24" s="4">
        <v>0</v>
      </c>
      <c r="C24" s="4">
        <v>8</v>
      </c>
      <c r="D24" s="4">
        <v>0</v>
      </c>
      <c r="E24" s="4">
        <v>6</v>
      </c>
      <c r="F24" s="4">
        <v>1</v>
      </c>
      <c r="G24" s="4">
        <v>5</v>
      </c>
      <c r="H24" s="4">
        <v>11</v>
      </c>
      <c r="I24" s="4">
        <v>4</v>
      </c>
      <c r="J24" s="4">
        <v>16</v>
      </c>
      <c r="K24" s="4">
        <v>3</v>
      </c>
      <c r="L24" s="4">
        <v>7</v>
      </c>
      <c r="M24" s="4">
        <v>2</v>
      </c>
      <c r="N24" s="4">
        <v>9</v>
      </c>
      <c r="O24" s="4">
        <v>14</v>
      </c>
      <c r="P24" s="4">
        <v>15</v>
      </c>
      <c r="Q24" s="4">
        <v>13</v>
      </c>
      <c r="R24" s="4">
        <v>10</v>
      </c>
      <c r="S24" s="4">
        <v>12</v>
      </c>
    </row>
    <row r="25" spans="1:19" ht="18" customHeight="1" x14ac:dyDescent="0.25">
      <c r="A25" s="5">
        <v>44531</v>
      </c>
      <c r="B25" s="4">
        <v>15</v>
      </c>
      <c r="C25" s="4">
        <v>-2</v>
      </c>
      <c r="D25" s="4">
        <v>9</v>
      </c>
      <c r="E25" s="4">
        <v>8</v>
      </c>
      <c r="F25" s="4">
        <v>-1</v>
      </c>
      <c r="G25" s="4">
        <v>6</v>
      </c>
      <c r="H25" s="4">
        <v>11</v>
      </c>
      <c r="I25" s="4">
        <v>3</v>
      </c>
      <c r="J25" s="4">
        <v>10</v>
      </c>
      <c r="K25" s="4">
        <v>-3</v>
      </c>
      <c r="L25" s="4">
        <v>7</v>
      </c>
      <c r="M25" s="4">
        <v>2</v>
      </c>
      <c r="N25" s="4">
        <v>1</v>
      </c>
      <c r="O25" s="4">
        <v>5</v>
      </c>
      <c r="P25" s="4">
        <v>13</v>
      </c>
      <c r="Q25" s="4">
        <v>14</v>
      </c>
      <c r="R25" s="4">
        <v>4</v>
      </c>
      <c r="S25" s="4">
        <v>12</v>
      </c>
    </row>
    <row r="26" spans="1:19" ht="18" customHeight="1" x14ac:dyDescent="0.25">
      <c r="A26" s="5">
        <v>44562</v>
      </c>
      <c r="B26" s="4">
        <v>-4</v>
      </c>
      <c r="C26" s="4">
        <v>-6</v>
      </c>
      <c r="D26" s="4">
        <v>-7</v>
      </c>
      <c r="E26" s="4">
        <v>6</v>
      </c>
      <c r="F26" s="4">
        <v>-1</v>
      </c>
      <c r="G26" s="4">
        <v>2</v>
      </c>
      <c r="H26" s="4">
        <v>7</v>
      </c>
      <c r="I26" s="4">
        <v>-5</v>
      </c>
      <c r="J26" s="4">
        <v>1</v>
      </c>
      <c r="K26" s="4">
        <v>0</v>
      </c>
      <c r="L26" s="4">
        <v>0</v>
      </c>
      <c r="M26" s="4">
        <v>3</v>
      </c>
      <c r="N26" s="4">
        <v>5</v>
      </c>
      <c r="O26" s="4">
        <v>-2</v>
      </c>
      <c r="P26" s="4">
        <v>8</v>
      </c>
      <c r="Q26" s="4">
        <v>-3</v>
      </c>
      <c r="R26" s="4">
        <v>4</v>
      </c>
      <c r="S26" s="4">
        <v>0</v>
      </c>
    </row>
    <row r="27" spans="1:19" ht="18" customHeight="1" x14ac:dyDescent="0.25">
      <c r="A27" s="5">
        <v>44593</v>
      </c>
      <c r="B27" s="4">
        <v>-1</v>
      </c>
      <c r="C27" s="4">
        <v>-2</v>
      </c>
      <c r="D27" s="4">
        <v>-3</v>
      </c>
      <c r="E27" s="4">
        <v>7</v>
      </c>
      <c r="F27" s="4">
        <v>12</v>
      </c>
      <c r="G27" s="4">
        <v>8</v>
      </c>
      <c r="H27" s="4">
        <v>1</v>
      </c>
      <c r="I27" s="4">
        <v>0</v>
      </c>
      <c r="J27" s="4">
        <v>13</v>
      </c>
      <c r="K27" s="4">
        <v>10</v>
      </c>
      <c r="L27" s="4">
        <v>3</v>
      </c>
      <c r="M27" s="4">
        <v>4</v>
      </c>
      <c r="N27" s="4">
        <v>6</v>
      </c>
      <c r="O27" s="4">
        <v>-4</v>
      </c>
      <c r="P27" s="4">
        <v>2</v>
      </c>
      <c r="Q27" s="4">
        <v>11</v>
      </c>
      <c r="R27" s="4">
        <v>5</v>
      </c>
      <c r="S27" s="4">
        <v>9</v>
      </c>
    </row>
    <row r="28" spans="1:19" ht="18" customHeight="1" x14ac:dyDescent="0.25">
      <c r="A28" s="5">
        <v>44621</v>
      </c>
      <c r="B28" s="4">
        <v>8</v>
      </c>
      <c r="C28" s="4">
        <v>-2</v>
      </c>
      <c r="D28" s="4">
        <v>13</v>
      </c>
      <c r="E28" s="4">
        <v>6</v>
      </c>
      <c r="F28" s="4">
        <v>12</v>
      </c>
      <c r="G28" s="4">
        <v>3</v>
      </c>
      <c r="H28" s="4">
        <v>-1</v>
      </c>
      <c r="I28" s="4">
        <v>7</v>
      </c>
      <c r="J28" s="4">
        <v>2</v>
      </c>
      <c r="K28" s="4">
        <v>0</v>
      </c>
      <c r="L28" s="4">
        <v>10</v>
      </c>
      <c r="M28" s="4">
        <v>1</v>
      </c>
      <c r="N28" s="4">
        <v>5</v>
      </c>
      <c r="O28" s="4">
        <v>0</v>
      </c>
      <c r="P28" s="4">
        <v>0</v>
      </c>
      <c r="Q28" s="4">
        <v>4</v>
      </c>
      <c r="R28" s="4">
        <v>9</v>
      </c>
      <c r="S28" s="4">
        <v>11</v>
      </c>
    </row>
    <row r="29" spans="1:19" ht="18" customHeight="1" x14ac:dyDescent="0.25">
      <c r="A29" s="5">
        <v>44652</v>
      </c>
      <c r="B29" s="4">
        <v>13</v>
      </c>
      <c r="C29" s="4">
        <v>0</v>
      </c>
      <c r="D29" s="4">
        <v>0</v>
      </c>
      <c r="E29" s="4">
        <v>6</v>
      </c>
      <c r="F29" s="4">
        <v>12</v>
      </c>
      <c r="G29" s="4">
        <v>1</v>
      </c>
      <c r="H29" s="4">
        <v>4</v>
      </c>
      <c r="I29" s="4">
        <v>0</v>
      </c>
      <c r="J29" s="4">
        <v>5</v>
      </c>
      <c r="K29" s="4">
        <v>11</v>
      </c>
      <c r="L29" s="4">
        <v>2</v>
      </c>
      <c r="M29" s="4">
        <v>7</v>
      </c>
      <c r="N29" s="4">
        <v>10</v>
      </c>
      <c r="O29" s="4">
        <v>14</v>
      </c>
      <c r="P29" s="4">
        <v>0</v>
      </c>
      <c r="Q29" s="4">
        <v>8</v>
      </c>
      <c r="R29" s="4">
        <v>9</v>
      </c>
      <c r="S29" s="4">
        <v>3</v>
      </c>
    </row>
    <row r="30" spans="1:19" ht="18" customHeight="1" x14ac:dyDescent="0.25">
      <c r="A30" s="5">
        <v>44682</v>
      </c>
      <c r="B30" s="4">
        <v>5</v>
      </c>
      <c r="C30" s="4">
        <v>-3</v>
      </c>
      <c r="D30" s="4">
        <v>10</v>
      </c>
      <c r="E30" s="4">
        <v>12</v>
      </c>
      <c r="F30" s="4">
        <v>11</v>
      </c>
      <c r="G30" s="4">
        <v>0</v>
      </c>
      <c r="H30" s="4">
        <v>1</v>
      </c>
      <c r="I30" s="4">
        <v>-1</v>
      </c>
      <c r="J30" s="4">
        <v>9</v>
      </c>
      <c r="K30" s="4">
        <v>13</v>
      </c>
      <c r="L30" s="4">
        <v>0</v>
      </c>
      <c r="M30" s="4">
        <v>6</v>
      </c>
      <c r="N30" s="4">
        <v>3</v>
      </c>
      <c r="O30" s="4">
        <v>8</v>
      </c>
      <c r="P30" s="4">
        <v>-2</v>
      </c>
      <c r="Q30" s="4">
        <v>2</v>
      </c>
      <c r="R30" s="4">
        <v>7</v>
      </c>
      <c r="S30" s="4">
        <v>4</v>
      </c>
    </row>
    <row r="31" spans="1:19" ht="18" customHeight="1" x14ac:dyDescent="0.25">
      <c r="A31" s="5">
        <v>44713</v>
      </c>
      <c r="B31" s="4">
        <v>12</v>
      </c>
      <c r="C31" s="4">
        <v>0</v>
      </c>
      <c r="D31" s="4">
        <v>11</v>
      </c>
      <c r="E31" s="4">
        <v>14</v>
      </c>
      <c r="F31" s="4">
        <v>5</v>
      </c>
      <c r="G31" s="4">
        <v>7</v>
      </c>
      <c r="H31" s="4">
        <v>4</v>
      </c>
      <c r="I31" s="4">
        <v>3</v>
      </c>
      <c r="J31" s="4">
        <v>15</v>
      </c>
      <c r="K31" s="4">
        <v>10</v>
      </c>
      <c r="L31" s="4">
        <v>13</v>
      </c>
      <c r="M31" s="4">
        <v>9</v>
      </c>
      <c r="N31" s="4">
        <v>1</v>
      </c>
      <c r="O31" s="4">
        <v>0</v>
      </c>
      <c r="P31" s="4">
        <v>0</v>
      </c>
      <c r="Q31" s="4">
        <v>2</v>
      </c>
      <c r="R31" s="4">
        <v>8</v>
      </c>
      <c r="S31" s="4">
        <v>6</v>
      </c>
    </row>
    <row r="32" spans="1:19" ht="18" customHeight="1" x14ac:dyDescent="0.25">
      <c r="A32" s="5">
        <v>44743</v>
      </c>
      <c r="B32" s="4">
        <v>-3</v>
      </c>
      <c r="C32" s="4">
        <v>-4</v>
      </c>
      <c r="D32" s="4">
        <v>0</v>
      </c>
      <c r="E32" s="4">
        <v>7</v>
      </c>
      <c r="F32" s="4">
        <v>11</v>
      </c>
      <c r="G32" s="4">
        <v>-1</v>
      </c>
      <c r="H32" s="4">
        <v>4</v>
      </c>
      <c r="I32" s="4">
        <v>1</v>
      </c>
      <c r="J32" s="4">
        <v>9</v>
      </c>
      <c r="K32" s="4">
        <v>13</v>
      </c>
      <c r="L32" s="4">
        <v>6</v>
      </c>
      <c r="M32" s="4">
        <v>5</v>
      </c>
      <c r="N32" s="4">
        <v>10</v>
      </c>
      <c r="O32" s="4">
        <v>12</v>
      </c>
      <c r="P32" s="4">
        <v>-2</v>
      </c>
      <c r="Q32" s="4">
        <v>2</v>
      </c>
      <c r="R32" s="4">
        <v>8</v>
      </c>
      <c r="S32" s="4">
        <v>3</v>
      </c>
    </row>
    <row r="33" spans="1:19" ht="18" customHeight="1" x14ac:dyDescent="0.25">
      <c r="A33" s="5">
        <v>44774</v>
      </c>
      <c r="B33" s="4">
        <v>-2</v>
      </c>
      <c r="C33" s="4">
        <v>-3</v>
      </c>
      <c r="D33" s="4">
        <v>-1</v>
      </c>
      <c r="E33" s="4">
        <v>7</v>
      </c>
      <c r="F33" s="4">
        <v>8</v>
      </c>
      <c r="G33" s="4">
        <v>1</v>
      </c>
      <c r="H33" s="4">
        <v>2</v>
      </c>
      <c r="I33" s="4">
        <v>9</v>
      </c>
      <c r="J33" s="4">
        <v>0</v>
      </c>
      <c r="K33" s="4">
        <v>0</v>
      </c>
      <c r="L33" s="4">
        <v>0</v>
      </c>
      <c r="M33" s="4">
        <v>3</v>
      </c>
      <c r="N33" s="4">
        <v>4</v>
      </c>
      <c r="O33" s="4">
        <v>11</v>
      </c>
      <c r="P33" s="4">
        <v>0</v>
      </c>
      <c r="Q33" s="4">
        <v>5</v>
      </c>
      <c r="R33" s="4">
        <v>10</v>
      </c>
      <c r="S33" s="4">
        <v>6</v>
      </c>
    </row>
    <row r="34" spans="1:19" ht="18" customHeight="1" x14ac:dyDescent="0.25">
      <c r="A34" s="5">
        <v>44805</v>
      </c>
      <c r="B34" s="4">
        <v>-2</v>
      </c>
      <c r="C34" s="4">
        <v>6</v>
      </c>
      <c r="D34" s="4">
        <v>-1</v>
      </c>
      <c r="E34" s="4">
        <v>0</v>
      </c>
      <c r="F34" s="4">
        <v>11</v>
      </c>
      <c r="G34" s="4">
        <v>8</v>
      </c>
      <c r="H34" s="4">
        <v>9</v>
      </c>
      <c r="I34" s="4">
        <v>13</v>
      </c>
      <c r="J34" s="4">
        <v>0</v>
      </c>
      <c r="K34" s="4">
        <v>14</v>
      </c>
      <c r="L34" s="4">
        <v>12</v>
      </c>
      <c r="M34" s="4">
        <v>3</v>
      </c>
      <c r="N34" s="4">
        <v>4</v>
      </c>
      <c r="O34" s="4">
        <v>5</v>
      </c>
      <c r="P34" s="4">
        <v>2</v>
      </c>
      <c r="Q34" s="4">
        <v>1</v>
      </c>
      <c r="R34" s="4">
        <v>7</v>
      </c>
      <c r="S34" s="4">
        <v>10</v>
      </c>
    </row>
    <row r="35" spans="1:19" ht="18" customHeight="1" x14ac:dyDescent="0.25">
      <c r="A35" s="5">
        <v>44835</v>
      </c>
      <c r="B35" s="4">
        <v>7</v>
      </c>
      <c r="C35" s="4">
        <v>14</v>
      </c>
      <c r="D35" s="4">
        <v>11</v>
      </c>
      <c r="E35" s="4">
        <v>13</v>
      </c>
      <c r="F35" s="4">
        <v>10</v>
      </c>
      <c r="G35" s="4">
        <v>4</v>
      </c>
      <c r="H35" s="4">
        <v>1</v>
      </c>
      <c r="I35" s="4">
        <v>12</v>
      </c>
      <c r="J35" s="4">
        <v>-1</v>
      </c>
      <c r="K35" s="4">
        <v>15</v>
      </c>
      <c r="L35" s="4">
        <v>5</v>
      </c>
      <c r="M35" s="4">
        <v>6</v>
      </c>
      <c r="N35" s="4">
        <v>0</v>
      </c>
      <c r="O35" s="4">
        <v>-2</v>
      </c>
      <c r="P35" s="4">
        <v>3</v>
      </c>
      <c r="Q35" s="4">
        <v>9</v>
      </c>
      <c r="R35" s="4">
        <v>8</v>
      </c>
      <c r="S35" s="4">
        <v>2</v>
      </c>
    </row>
    <row r="36" spans="1:19" ht="18" customHeight="1" x14ac:dyDescent="0.25">
      <c r="A36" s="5">
        <v>44866</v>
      </c>
      <c r="B36" s="4">
        <v>12</v>
      </c>
      <c r="C36" s="4">
        <v>7</v>
      </c>
      <c r="D36" s="4">
        <v>0</v>
      </c>
      <c r="E36" s="4">
        <v>8</v>
      </c>
      <c r="F36" s="4">
        <v>0</v>
      </c>
      <c r="G36" s="4">
        <v>-1</v>
      </c>
      <c r="H36" s="4">
        <v>6</v>
      </c>
      <c r="I36" s="4">
        <v>5</v>
      </c>
      <c r="J36" s="4">
        <v>0</v>
      </c>
      <c r="K36" s="4">
        <v>11</v>
      </c>
      <c r="L36" s="4">
        <v>10</v>
      </c>
      <c r="M36" s="4">
        <v>4</v>
      </c>
      <c r="N36" s="4">
        <v>9</v>
      </c>
      <c r="O36" s="4">
        <v>13</v>
      </c>
      <c r="P36" s="4">
        <v>3</v>
      </c>
      <c r="Q36" s="4">
        <v>2</v>
      </c>
      <c r="R36" s="4">
        <v>0</v>
      </c>
      <c r="S36" s="4">
        <v>1</v>
      </c>
    </row>
    <row r="37" spans="1:19" ht="18" customHeight="1" x14ac:dyDescent="0.25">
      <c r="A37" s="5">
        <v>44896</v>
      </c>
      <c r="B37" s="4">
        <v>8</v>
      </c>
      <c r="C37" s="4">
        <v>0</v>
      </c>
      <c r="D37" s="4">
        <v>0</v>
      </c>
      <c r="E37" s="4">
        <v>1</v>
      </c>
      <c r="F37" s="4">
        <v>2</v>
      </c>
      <c r="G37" s="4">
        <v>3</v>
      </c>
      <c r="H37" s="4">
        <v>9</v>
      </c>
      <c r="I37" s="4">
        <v>-1</v>
      </c>
      <c r="J37" s="4">
        <v>6</v>
      </c>
      <c r="K37" s="4">
        <v>10</v>
      </c>
      <c r="L37" s="4">
        <v>-3</v>
      </c>
      <c r="M37" s="4">
        <v>0</v>
      </c>
      <c r="N37" s="4">
        <v>7</v>
      </c>
      <c r="O37" s="4">
        <v>-4</v>
      </c>
      <c r="P37" s="4">
        <v>11</v>
      </c>
      <c r="Q37" s="4">
        <v>4</v>
      </c>
      <c r="R37" s="4">
        <v>5</v>
      </c>
      <c r="S37" s="4">
        <v>-2</v>
      </c>
    </row>
    <row r="38" spans="1:19" ht="18" customHeight="1" x14ac:dyDescent="0.25">
      <c r="A38" s="5">
        <v>44927</v>
      </c>
      <c r="B38" s="1">
        <v>6</v>
      </c>
      <c r="C38" s="1">
        <v>12</v>
      </c>
      <c r="D38" s="1">
        <v>0</v>
      </c>
      <c r="E38" s="1">
        <v>4</v>
      </c>
      <c r="F38" s="1">
        <v>7</v>
      </c>
      <c r="G38" s="1">
        <v>2</v>
      </c>
      <c r="H38" s="1">
        <v>5</v>
      </c>
      <c r="I38" s="1">
        <v>-1</v>
      </c>
      <c r="J38" s="1">
        <v>8</v>
      </c>
      <c r="K38" s="1">
        <v>-3</v>
      </c>
      <c r="L38" s="1">
        <v>9</v>
      </c>
      <c r="M38" s="1">
        <v>3</v>
      </c>
      <c r="N38" s="1">
        <v>10</v>
      </c>
      <c r="O38" s="1">
        <v>0</v>
      </c>
      <c r="P38" s="1">
        <v>-2</v>
      </c>
      <c r="Q38" s="1">
        <v>-4</v>
      </c>
      <c r="R38" s="1">
        <v>11</v>
      </c>
      <c r="S38" s="1">
        <v>1</v>
      </c>
    </row>
    <row r="39" spans="1:19" ht="18" customHeight="1" x14ac:dyDescent="0.25">
      <c r="A39" s="5">
        <v>44958</v>
      </c>
      <c r="B39" s="1">
        <v>1</v>
      </c>
      <c r="C39" s="1">
        <v>14</v>
      </c>
      <c r="D39" s="1">
        <v>0</v>
      </c>
      <c r="E39" s="1">
        <v>11</v>
      </c>
      <c r="F39" s="1">
        <v>6</v>
      </c>
      <c r="G39" s="1">
        <v>4</v>
      </c>
      <c r="H39" s="1">
        <v>5</v>
      </c>
      <c r="I39" s="1">
        <v>10</v>
      </c>
      <c r="J39" s="1">
        <v>3</v>
      </c>
      <c r="K39" s="1">
        <v>0</v>
      </c>
      <c r="L39" s="1">
        <v>8</v>
      </c>
      <c r="M39" s="1">
        <v>7</v>
      </c>
      <c r="N39" s="1">
        <v>13</v>
      </c>
      <c r="O39" s="1">
        <v>-2</v>
      </c>
      <c r="P39" s="1">
        <v>12</v>
      </c>
      <c r="Q39" s="1">
        <v>2</v>
      </c>
      <c r="R39" s="1">
        <v>9</v>
      </c>
      <c r="S39" s="1">
        <v>-1</v>
      </c>
    </row>
    <row r="40" spans="1:19" ht="18" customHeight="1" x14ac:dyDescent="0.25">
      <c r="A40" s="5">
        <v>44986</v>
      </c>
      <c r="B40" s="1">
        <v>0</v>
      </c>
      <c r="C40" s="1">
        <v>9</v>
      </c>
      <c r="D40" s="1">
        <v>13</v>
      </c>
      <c r="E40" s="1">
        <v>5</v>
      </c>
      <c r="F40" s="1">
        <v>11</v>
      </c>
      <c r="G40" s="1">
        <v>-2</v>
      </c>
      <c r="H40" s="1">
        <v>1</v>
      </c>
      <c r="I40" s="1">
        <v>12</v>
      </c>
      <c r="J40" s="1">
        <v>10</v>
      </c>
      <c r="K40" s="1">
        <v>8</v>
      </c>
      <c r="L40" s="1">
        <v>14</v>
      </c>
      <c r="M40" s="1">
        <v>6</v>
      </c>
      <c r="N40" s="1">
        <v>7</v>
      </c>
      <c r="O40" s="1">
        <v>0</v>
      </c>
      <c r="P40" s="1">
        <v>3</v>
      </c>
      <c r="Q40" s="1">
        <v>2</v>
      </c>
      <c r="R40" s="1">
        <v>4</v>
      </c>
      <c r="S40" s="1">
        <v>-1</v>
      </c>
    </row>
    <row r="41" spans="1:19" ht="18" customHeight="1" x14ac:dyDescent="0.25">
      <c r="A41" s="5">
        <v>45017</v>
      </c>
      <c r="B41" s="1">
        <v>13</v>
      </c>
      <c r="C41" s="1">
        <v>0</v>
      </c>
      <c r="D41" s="1">
        <v>12</v>
      </c>
      <c r="E41" s="1">
        <v>2</v>
      </c>
      <c r="F41" s="1">
        <v>11</v>
      </c>
      <c r="G41" s="1">
        <v>1</v>
      </c>
      <c r="H41" s="1">
        <v>4</v>
      </c>
      <c r="I41" s="1">
        <v>3</v>
      </c>
      <c r="J41" s="1">
        <v>-1</v>
      </c>
      <c r="K41" s="1">
        <v>-2</v>
      </c>
      <c r="L41" s="1">
        <v>14</v>
      </c>
      <c r="M41" s="1">
        <v>5</v>
      </c>
      <c r="N41" s="1">
        <v>10</v>
      </c>
      <c r="O41" s="1">
        <v>0</v>
      </c>
      <c r="P41" s="1">
        <v>7</v>
      </c>
      <c r="Q41" s="1">
        <v>9</v>
      </c>
      <c r="R41" s="1">
        <v>8</v>
      </c>
      <c r="S41" s="1">
        <v>6</v>
      </c>
    </row>
    <row r="42" spans="1:19" ht="18" customHeight="1" x14ac:dyDescent="0.25">
      <c r="A42" s="5">
        <v>45047</v>
      </c>
      <c r="B42" s="1">
        <v>13</v>
      </c>
      <c r="C42" s="1">
        <v>-2</v>
      </c>
      <c r="D42" s="1">
        <v>9</v>
      </c>
      <c r="E42" s="1">
        <v>10</v>
      </c>
      <c r="F42" s="1">
        <v>3</v>
      </c>
      <c r="G42" s="1">
        <v>2</v>
      </c>
      <c r="H42" s="1">
        <v>1</v>
      </c>
      <c r="I42" s="1">
        <v>-1</v>
      </c>
      <c r="J42" s="1">
        <v>12</v>
      </c>
      <c r="K42" s="1">
        <v>-3</v>
      </c>
      <c r="L42" s="1">
        <v>7</v>
      </c>
      <c r="M42" s="1">
        <v>4</v>
      </c>
      <c r="N42" s="1">
        <v>5</v>
      </c>
      <c r="O42" s="1">
        <v>-4</v>
      </c>
      <c r="P42" s="1">
        <v>11</v>
      </c>
      <c r="Q42" s="1">
        <v>6</v>
      </c>
      <c r="R42" s="1">
        <v>8</v>
      </c>
      <c r="S42" s="1">
        <v>0</v>
      </c>
    </row>
    <row r="43" spans="1:19" ht="18" customHeight="1" x14ac:dyDescent="0.25">
      <c r="A43" s="5">
        <v>45078</v>
      </c>
      <c r="B43" s="1">
        <v>15</v>
      </c>
      <c r="C43" s="1">
        <v>-2</v>
      </c>
      <c r="D43" s="1">
        <v>14</v>
      </c>
      <c r="E43" s="1">
        <v>1</v>
      </c>
      <c r="F43" s="1">
        <v>11</v>
      </c>
      <c r="G43" s="1">
        <v>13</v>
      </c>
      <c r="H43" s="1">
        <v>4</v>
      </c>
      <c r="I43" s="1">
        <v>5</v>
      </c>
      <c r="J43" s="1">
        <v>0</v>
      </c>
      <c r="K43" s="1">
        <v>-1</v>
      </c>
      <c r="L43" s="1">
        <v>7</v>
      </c>
      <c r="M43" s="1">
        <v>3</v>
      </c>
      <c r="N43" s="1">
        <v>8</v>
      </c>
      <c r="O43" s="1">
        <v>12</v>
      </c>
      <c r="P43" s="1">
        <v>2</v>
      </c>
      <c r="Q43" s="1">
        <v>9</v>
      </c>
      <c r="R43" s="1">
        <v>6</v>
      </c>
      <c r="S43" s="1">
        <v>10</v>
      </c>
    </row>
    <row r="44" spans="1:19" ht="18" customHeight="1" x14ac:dyDescent="0.25">
      <c r="A44" s="5">
        <v>45108</v>
      </c>
      <c r="B44" s="1">
        <v>12</v>
      </c>
      <c r="C44" s="1">
        <v>-2</v>
      </c>
      <c r="D44" s="1">
        <v>-3</v>
      </c>
      <c r="E44" s="1">
        <v>10</v>
      </c>
      <c r="F44" s="1">
        <v>4</v>
      </c>
      <c r="G44" s="1">
        <v>1</v>
      </c>
      <c r="H44" s="1">
        <v>-1</v>
      </c>
      <c r="I44" s="1">
        <v>5</v>
      </c>
      <c r="J44" s="1">
        <v>13</v>
      </c>
      <c r="K44" s="1">
        <v>0</v>
      </c>
      <c r="L44" s="1">
        <v>14</v>
      </c>
      <c r="M44" s="1">
        <v>3</v>
      </c>
      <c r="N44" s="1">
        <v>8</v>
      </c>
      <c r="O44" s="1">
        <v>11</v>
      </c>
      <c r="P44" s="1">
        <v>2</v>
      </c>
      <c r="Q44" s="1">
        <v>9</v>
      </c>
      <c r="R44" s="1">
        <v>7</v>
      </c>
      <c r="S44" s="1">
        <v>6</v>
      </c>
    </row>
    <row r="45" spans="1:19" ht="18" customHeight="1" x14ac:dyDescent="0.25">
      <c r="A45" s="5">
        <v>45139</v>
      </c>
      <c r="B45" s="1">
        <v>12</v>
      </c>
      <c r="C45" s="1">
        <v>-3</v>
      </c>
      <c r="D45" s="1">
        <v>6</v>
      </c>
      <c r="E45" s="1">
        <v>4</v>
      </c>
      <c r="F45" s="1">
        <v>5</v>
      </c>
      <c r="G45" s="1">
        <v>7</v>
      </c>
      <c r="H45" s="1">
        <v>0</v>
      </c>
      <c r="I45" s="1">
        <v>9</v>
      </c>
      <c r="J45" s="1">
        <v>0</v>
      </c>
      <c r="K45" s="1">
        <v>-2</v>
      </c>
      <c r="L45" s="1">
        <v>11</v>
      </c>
      <c r="M45" s="1">
        <v>-1</v>
      </c>
      <c r="N45" s="1">
        <v>8</v>
      </c>
      <c r="O45" s="1">
        <v>10</v>
      </c>
      <c r="P45" s="1">
        <v>1</v>
      </c>
      <c r="Q45" s="1">
        <v>0</v>
      </c>
      <c r="R45" s="1">
        <v>2</v>
      </c>
      <c r="S45" s="1">
        <v>3</v>
      </c>
    </row>
    <row r="46" spans="1:19" ht="18" customHeight="1" x14ac:dyDescent="0.25">
      <c r="A46" s="5">
        <v>45170</v>
      </c>
      <c r="B46" s="1">
        <v>-2</v>
      </c>
      <c r="C46" s="1">
        <v>-3</v>
      </c>
      <c r="D46" s="1">
        <v>0</v>
      </c>
      <c r="E46" s="1">
        <v>-1</v>
      </c>
      <c r="F46" s="1">
        <v>3</v>
      </c>
      <c r="G46" s="1">
        <v>6</v>
      </c>
      <c r="H46" s="1">
        <v>11</v>
      </c>
      <c r="I46" s="1">
        <v>7</v>
      </c>
      <c r="J46" s="1">
        <v>1</v>
      </c>
      <c r="K46" s="1">
        <v>10</v>
      </c>
      <c r="L46" s="1">
        <v>9</v>
      </c>
      <c r="M46" s="1">
        <v>4</v>
      </c>
      <c r="N46" s="1">
        <v>5</v>
      </c>
      <c r="O46" s="1">
        <v>14</v>
      </c>
      <c r="P46" s="1">
        <v>13</v>
      </c>
      <c r="Q46" s="1">
        <v>8</v>
      </c>
      <c r="R46" s="1">
        <v>12</v>
      </c>
      <c r="S46" s="1">
        <v>2</v>
      </c>
    </row>
    <row r="47" spans="1:19" ht="18" customHeight="1" x14ac:dyDescent="0.25">
      <c r="A47" s="5">
        <v>45200</v>
      </c>
      <c r="B47" s="1">
        <v>-2</v>
      </c>
      <c r="C47" s="1">
        <v>0</v>
      </c>
      <c r="D47" s="1">
        <v>13</v>
      </c>
      <c r="E47" s="1">
        <v>9</v>
      </c>
      <c r="F47" s="1">
        <v>4</v>
      </c>
      <c r="G47" s="1">
        <v>12</v>
      </c>
      <c r="H47" s="1">
        <v>3</v>
      </c>
      <c r="I47" s="1">
        <v>7</v>
      </c>
      <c r="J47" s="1">
        <v>5</v>
      </c>
      <c r="K47" s="1">
        <v>0</v>
      </c>
      <c r="L47" s="1">
        <v>11</v>
      </c>
      <c r="M47" s="1">
        <v>-1</v>
      </c>
      <c r="N47" s="1">
        <v>8</v>
      </c>
      <c r="O47" s="1">
        <v>-3</v>
      </c>
      <c r="P47" s="1">
        <v>1</v>
      </c>
      <c r="Q47" s="1">
        <v>10</v>
      </c>
      <c r="R47" s="1">
        <v>2</v>
      </c>
      <c r="S47" s="1">
        <v>6</v>
      </c>
    </row>
    <row r="48" spans="1:19" ht="18" customHeight="1" x14ac:dyDescent="0.25">
      <c r="A48" s="5">
        <v>45231</v>
      </c>
      <c r="B48" s="1">
        <v>0</v>
      </c>
      <c r="C48" s="1">
        <v>11</v>
      </c>
      <c r="D48" s="1">
        <v>9</v>
      </c>
      <c r="E48" s="1">
        <v>-2</v>
      </c>
      <c r="F48" s="1">
        <v>1</v>
      </c>
      <c r="G48" s="1">
        <v>8</v>
      </c>
      <c r="H48" s="1">
        <v>10</v>
      </c>
      <c r="I48" s="1">
        <v>-3</v>
      </c>
      <c r="J48" s="1">
        <v>5</v>
      </c>
      <c r="K48" s="1">
        <v>-4</v>
      </c>
      <c r="L48" s="1">
        <v>0</v>
      </c>
      <c r="M48" s="1">
        <v>-1</v>
      </c>
      <c r="N48" s="1">
        <v>2</v>
      </c>
      <c r="O48" s="1">
        <v>6</v>
      </c>
      <c r="P48" s="1">
        <v>3</v>
      </c>
      <c r="Q48" s="1">
        <v>7</v>
      </c>
      <c r="R48" s="1">
        <v>4</v>
      </c>
      <c r="S48" s="1">
        <v>0</v>
      </c>
    </row>
    <row r="49" spans="1:19" ht="18" customHeight="1" x14ac:dyDescent="0.25">
      <c r="A49" s="5">
        <v>45261</v>
      </c>
      <c r="B49" s="1">
        <v>9</v>
      </c>
      <c r="C49" s="1">
        <v>12</v>
      </c>
      <c r="D49" s="1">
        <v>-4</v>
      </c>
      <c r="E49" s="1">
        <v>-3</v>
      </c>
      <c r="F49" s="1">
        <v>-1</v>
      </c>
      <c r="G49" s="1">
        <v>8</v>
      </c>
      <c r="H49" s="1">
        <v>11</v>
      </c>
      <c r="I49" s="1">
        <v>1</v>
      </c>
      <c r="J49" s="1">
        <v>-2</v>
      </c>
      <c r="K49" s="1">
        <v>5</v>
      </c>
      <c r="L49" s="1">
        <v>6</v>
      </c>
      <c r="M49" s="1">
        <v>3</v>
      </c>
      <c r="N49" s="1">
        <v>2</v>
      </c>
      <c r="O49" s="1">
        <v>-5</v>
      </c>
      <c r="P49" s="1">
        <v>10</v>
      </c>
      <c r="Q49" s="1">
        <v>7</v>
      </c>
      <c r="R49" s="1">
        <v>4</v>
      </c>
      <c r="S49" s="1">
        <v>0</v>
      </c>
    </row>
    <row r="50" spans="1:19" ht="18" customHeight="1" x14ac:dyDescent="0.25">
      <c r="A50" s="5">
        <v>45292</v>
      </c>
      <c r="B50" s="1">
        <v>0</v>
      </c>
      <c r="C50" s="1">
        <v>10</v>
      </c>
      <c r="D50" s="1">
        <v>-1</v>
      </c>
      <c r="E50" s="1">
        <v>0</v>
      </c>
      <c r="F50" s="1">
        <v>2</v>
      </c>
      <c r="G50" s="1">
        <v>3</v>
      </c>
      <c r="H50" s="1">
        <v>9</v>
      </c>
      <c r="I50" s="1">
        <v>-3</v>
      </c>
      <c r="J50" s="1">
        <v>7</v>
      </c>
      <c r="K50" s="1">
        <v>-2</v>
      </c>
      <c r="L50" s="1">
        <v>0</v>
      </c>
      <c r="M50" s="1">
        <v>5</v>
      </c>
      <c r="N50" s="1">
        <v>6</v>
      </c>
      <c r="O50" s="1">
        <v>-4</v>
      </c>
      <c r="P50" s="1">
        <v>-5</v>
      </c>
      <c r="Q50" s="1">
        <v>1</v>
      </c>
      <c r="R50" s="1">
        <v>8</v>
      </c>
      <c r="S50" s="1">
        <v>4</v>
      </c>
    </row>
    <row r="51" spans="1:19" ht="18" customHeight="1" x14ac:dyDescent="0.25">
      <c r="A51" s="5">
        <v>45323</v>
      </c>
      <c r="B51" s="1">
        <v>9</v>
      </c>
      <c r="C51" s="1">
        <v>12</v>
      </c>
      <c r="D51" s="1">
        <v>-4</v>
      </c>
      <c r="E51" s="1">
        <v>7</v>
      </c>
      <c r="F51" s="1">
        <v>1</v>
      </c>
      <c r="G51" s="1">
        <v>11</v>
      </c>
      <c r="H51" s="1">
        <v>6</v>
      </c>
      <c r="I51" s="1">
        <v>2</v>
      </c>
      <c r="J51" s="1">
        <v>5</v>
      </c>
      <c r="K51" s="1">
        <v>-2</v>
      </c>
      <c r="L51" s="1">
        <v>-3</v>
      </c>
      <c r="M51" s="1">
        <v>3</v>
      </c>
      <c r="N51" s="1">
        <v>8</v>
      </c>
      <c r="O51" s="1">
        <v>0</v>
      </c>
      <c r="P51" s="1">
        <v>13</v>
      </c>
      <c r="Q51" s="1">
        <v>-1</v>
      </c>
      <c r="R51" s="1">
        <v>4</v>
      </c>
      <c r="S51" s="1">
        <v>10</v>
      </c>
    </row>
    <row r="52" spans="1:19" ht="18" customHeight="1" x14ac:dyDescent="0.25">
      <c r="A52" s="5">
        <v>45352</v>
      </c>
      <c r="B52" s="1">
        <v>12</v>
      </c>
      <c r="C52" s="1">
        <v>11</v>
      </c>
      <c r="D52" s="1">
        <v>0</v>
      </c>
      <c r="E52" s="1">
        <v>2</v>
      </c>
      <c r="F52" s="1">
        <v>9</v>
      </c>
      <c r="G52" s="1">
        <v>10</v>
      </c>
      <c r="H52" s="1">
        <v>1</v>
      </c>
      <c r="I52" s="1">
        <v>0</v>
      </c>
      <c r="J52" s="1">
        <v>7</v>
      </c>
      <c r="K52" s="1">
        <v>-2</v>
      </c>
      <c r="L52" s="1">
        <v>0</v>
      </c>
      <c r="M52" s="1">
        <v>5</v>
      </c>
      <c r="N52" s="1">
        <v>3</v>
      </c>
      <c r="O52" s="1">
        <v>0</v>
      </c>
      <c r="P52" s="1">
        <v>8</v>
      </c>
      <c r="Q52" s="1">
        <v>-1</v>
      </c>
      <c r="R52" s="1">
        <v>6</v>
      </c>
      <c r="S52" s="1">
        <v>4</v>
      </c>
    </row>
    <row r="53" spans="1:19" ht="18" customHeight="1" x14ac:dyDescent="0.25">
      <c r="A53" s="5">
        <v>45383</v>
      </c>
      <c r="B53" s="1">
        <v>13</v>
      </c>
      <c r="C53" s="1">
        <v>12</v>
      </c>
      <c r="D53" s="1">
        <v>-3</v>
      </c>
      <c r="E53" s="1">
        <v>4</v>
      </c>
      <c r="F53" s="1">
        <v>7</v>
      </c>
      <c r="G53" s="1">
        <v>11</v>
      </c>
      <c r="H53" s="1">
        <v>3</v>
      </c>
      <c r="I53" s="1">
        <v>-1</v>
      </c>
      <c r="J53" s="1">
        <v>2</v>
      </c>
      <c r="K53" s="1">
        <v>10</v>
      </c>
      <c r="L53" s="1">
        <v>-4</v>
      </c>
      <c r="M53" s="1">
        <v>0</v>
      </c>
      <c r="N53" s="1">
        <v>6</v>
      </c>
      <c r="O53" s="1">
        <v>-2</v>
      </c>
      <c r="P53" s="1">
        <v>5</v>
      </c>
      <c r="Q53" s="1">
        <v>1</v>
      </c>
      <c r="R53" s="1">
        <v>8</v>
      </c>
      <c r="S53" s="1">
        <v>9</v>
      </c>
    </row>
    <row r="54" spans="1:19" ht="18" customHeight="1" x14ac:dyDescent="0.25">
      <c r="A54" s="5">
        <v>45413</v>
      </c>
      <c r="B54" s="1">
        <v>10</v>
      </c>
      <c r="C54" s="1">
        <v>-1</v>
      </c>
      <c r="D54" s="1">
        <v>-2</v>
      </c>
      <c r="E54" s="1">
        <v>4</v>
      </c>
      <c r="F54" s="1">
        <v>7</v>
      </c>
      <c r="G54" s="1">
        <v>2</v>
      </c>
      <c r="H54" s="1">
        <v>9</v>
      </c>
      <c r="I54" s="1">
        <v>0</v>
      </c>
      <c r="J54" s="1">
        <v>8</v>
      </c>
      <c r="K54" s="1">
        <v>-3</v>
      </c>
      <c r="L54" s="1">
        <v>11</v>
      </c>
      <c r="M54" s="1">
        <v>1</v>
      </c>
      <c r="N54" s="1">
        <v>3</v>
      </c>
      <c r="O54" s="1">
        <v>13</v>
      </c>
      <c r="P54" s="1">
        <v>0</v>
      </c>
      <c r="Q54" s="1">
        <v>12</v>
      </c>
      <c r="R54" s="1">
        <v>5</v>
      </c>
      <c r="S54" s="1">
        <v>6</v>
      </c>
    </row>
    <row r="55" spans="1:19" ht="18" customHeight="1" x14ac:dyDescent="0.25">
      <c r="A55" s="5">
        <v>45444</v>
      </c>
      <c r="B55" s="1">
        <v>9</v>
      </c>
      <c r="C55" s="1">
        <v>-4</v>
      </c>
      <c r="D55" s="1">
        <v>0</v>
      </c>
      <c r="E55" s="1">
        <v>8</v>
      </c>
      <c r="F55" s="1">
        <v>6</v>
      </c>
      <c r="G55" s="1">
        <v>7</v>
      </c>
      <c r="H55" s="1">
        <v>4</v>
      </c>
      <c r="I55" s="1">
        <v>2</v>
      </c>
      <c r="J55" s="1">
        <v>3</v>
      </c>
      <c r="K55" s="1">
        <v>-5</v>
      </c>
      <c r="L55" s="1">
        <v>10</v>
      </c>
      <c r="M55" s="1">
        <v>0</v>
      </c>
      <c r="N55" s="1">
        <v>-2</v>
      </c>
      <c r="O55" s="1">
        <v>-6</v>
      </c>
      <c r="P55" s="1">
        <v>-3</v>
      </c>
      <c r="Q55" s="1">
        <v>1</v>
      </c>
      <c r="R55" s="1">
        <v>5</v>
      </c>
      <c r="S55" s="1">
        <v>-1</v>
      </c>
    </row>
    <row r="56" spans="1:19" ht="18" customHeight="1" x14ac:dyDescent="0.25">
      <c r="A56" s="5">
        <v>45474</v>
      </c>
      <c r="B56" s="1">
        <v>10</v>
      </c>
      <c r="C56" s="1">
        <v>-3</v>
      </c>
      <c r="D56" s="1">
        <v>11</v>
      </c>
      <c r="E56" s="1">
        <v>9</v>
      </c>
      <c r="F56" s="1">
        <v>3</v>
      </c>
      <c r="G56" s="1">
        <v>7</v>
      </c>
      <c r="H56" s="1">
        <v>1</v>
      </c>
      <c r="I56" s="1">
        <v>6</v>
      </c>
      <c r="J56" s="1">
        <v>8</v>
      </c>
      <c r="K56" s="1">
        <v>0</v>
      </c>
      <c r="L56" s="1">
        <v>0</v>
      </c>
      <c r="M56" s="1">
        <v>-1</v>
      </c>
      <c r="N56" s="1">
        <v>5</v>
      </c>
      <c r="O56" s="1">
        <v>0</v>
      </c>
      <c r="P56" s="1">
        <v>0</v>
      </c>
      <c r="Q56" s="1">
        <v>4</v>
      </c>
      <c r="R56" s="1">
        <v>2</v>
      </c>
      <c r="S56" s="1">
        <v>-2</v>
      </c>
    </row>
    <row r="57" spans="1:19" ht="18" customHeight="1" x14ac:dyDescent="0.25">
      <c r="A57" s="5">
        <v>45505</v>
      </c>
      <c r="B57" s="1">
        <v>0</v>
      </c>
      <c r="C57" s="1">
        <v>-3</v>
      </c>
      <c r="D57" s="1">
        <v>9</v>
      </c>
      <c r="E57" s="1">
        <v>-2</v>
      </c>
      <c r="F57" s="1">
        <v>2</v>
      </c>
      <c r="G57" s="1">
        <v>4</v>
      </c>
      <c r="H57" s="1">
        <v>3</v>
      </c>
      <c r="I57" s="1">
        <v>5</v>
      </c>
      <c r="J57" s="1">
        <v>0</v>
      </c>
      <c r="K57" s="1">
        <v>7</v>
      </c>
      <c r="L57" s="1">
        <v>8</v>
      </c>
      <c r="M57" s="1">
        <v>-1</v>
      </c>
      <c r="N57" s="1">
        <v>1</v>
      </c>
      <c r="O57" s="1">
        <v>0</v>
      </c>
      <c r="P57" s="1">
        <v>-4</v>
      </c>
      <c r="Q57" s="1">
        <v>6</v>
      </c>
      <c r="R57" s="1">
        <v>0</v>
      </c>
      <c r="S57" s="1">
        <v>0</v>
      </c>
    </row>
    <row r="58" spans="1:19" ht="18" customHeight="1" x14ac:dyDescent="0.25">
      <c r="A58" s="5">
        <v>45536</v>
      </c>
      <c r="B58" s="1">
        <v>8</v>
      </c>
      <c r="C58" s="1">
        <v>-2</v>
      </c>
      <c r="D58" s="1">
        <v>0</v>
      </c>
      <c r="E58" s="1">
        <v>10</v>
      </c>
      <c r="F58" s="1">
        <v>7</v>
      </c>
      <c r="G58" s="1">
        <v>6</v>
      </c>
      <c r="H58" s="1">
        <v>4</v>
      </c>
      <c r="I58" s="1">
        <v>3</v>
      </c>
      <c r="J58" s="1">
        <v>11</v>
      </c>
      <c r="K58" s="1">
        <v>0</v>
      </c>
      <c r="L58" s="1">
        <v>-3</v>
      </c>
      <c r="M58" s="1">
        <v>1</v>
      </c>
      <c r="N58" s="1">
        <v>9</v>
      </c>
      <c r="O58" s="1">
        <v>12</v>
      </c>
      <c r="P58" s="1">
        <v>0</v>
      </c>
      <c r="Q58" s="1">
        <v>5</v>
      </c>
      <c r="R58" s="1">
        <v>2</v>
      </c>
      <c r="S58" s="1">
        <v>-1</v>
      </c>
    </row>
    <row r="59" spans="1:19" ht="18" customHeight="1" x14ac:dyDescent="0.25">
      <c r="A59" s="5">
        <v>45566</v>
      </c>
      <c r="B59" s="1">
        <v>0</v>
      </c>
      <c r="C59" s="1">
        <v>0</v>
      </c>
      <c r="D59" s="1">
        <v>0</v>
      </c>
      <c r="E59" s="1">
        <v>5</v>
      </c>
      <c r="F59" s="1">
        <v>3</v>
      </c>
      <c r="G59" s="1">
        <v>9</v>
      </c>
      <c r="H59" s="1">
        <v>0</v>
      </c>
      <c r="I59" s="1">
        <v>6</v>
      </c>
      <c r="J59" s="1">
        <v>-1</v>
      </c>
      <c r="K59" s="1">
        <v>0</v>
      </c>
      <c r="L59" s="1">
        <v>-2</v>
      </c>
      <c r="M59" s="1">
        <v>2</v>
      </c>
      <c r="N59" s="1">
        <v>4</v>
      </c>
      <c r="O59" s="1">
        <v>0</v>
      </c>
      <c r="P59" s="1">
        <v>8</v>
      </c>
      <c r="Q59" s="1">
        <v>7</v>
      </c>
      <c r="R59" s="1">
        <v>1</v>
      </c>
      <c r="S59" s="1">
        <v>0</v>
      </c>
    </row>
    <row r="60" spans="1:19" ht="18" customHeight="1" x14ac:dyDescent="0.25">
      <c r="A60" s="5">
        <v>45597</v>
      </c>
      <c r="B60" s="1">
        <v>13</v>
      </c>
      <c r="C60" s="1">
        <v>7</v>
      </c>
      <c r="D60" s="1">
        <v>14</v>
      </c>
      <c r="E60" s="1">
        <v>0</v>
      </c>
      <c r="F60" s="1">
        <v>2</v>
      </c>
      <c r="G60" s="1">
        <v>12</v>
      </c>
      <c r="H60" s="1">
        <v>9</v>
      </c>
      <c r="I60" s="1">
        <v>11</v>
      </c>
      <c r="J60" s="1">
        <v>4</v>
      </c>
      <c r="K60" s="1">
        <v>0</v>
      </c>
      <c r="L60" s="1">
        <v>-1</v>
      </c>
      <c r="M60" s="1">
        <v>3</v>
      </c>
      <c r="N60" s="1">
        <v>8</v>
      </c>
      <c r="O60" s="1">
        <v>-2</v>
      </c>
      <c r="P60" s="1">
        <v>10</v>
      </c>
      <c r="Q60" s="1">
        <v>6</v>
      </c>
      <c r="R60" s="1">
        <v>1</v>
      </c>
      <c r="S60" s="1">
        <v>5</v>
      </c>
    </row>
    <row r="61" spans="1:19" ht="18" customHeight="1" x14ac:dyDescent="0.25">
      <c r="A61" s="5">
        <v>45627</v>
      </c>
    </row>
    <row r="62" spans="1:19" ht="18" customHeight="1" x14ac:dyDescent="0.25">
      <c r="A62" s="5">
        <v>45658</v>
      </c>
    </row>
    <row r="63" spans="1:19" ht="18" customHeight="1" x14ac:dyDescent="0.25">
      <c r="A63" s="5">
        <v>45689</v>
      </c>
    </row>
    <row r="64" spans="1:19"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row r="92" ht="18" customHeight="1" x14ac:dyDescent="0.25"/>
    <row r="93" ht="18" customHeight="1" x14ac:dyDescent="0.25"/>
    <row r="94" ht="18" customHeight="1" x14ac:dyDescent="0.25"/>
    <row r="95" ht="18" customHeight="1" x14ac:dyDescent="0.25"/>
    <row r="96" ht="18" customHeight="1" x14ac:dyDescent="0.25"/>
    <row r="97" ht="18" customHeight="1" x14ac:dyDescent="0.25"/>
    <row r="98" ht="18" customHeight="1" x14ac:dyDescent="0.25"/>
  </sheetData>
  <hyperlinks>
    <hyperlink ref="Q1" r:id="rId1" display="Textile Mills" xr:uid="{431C3398-4CC1-4920-827C-58D8905A31DD}"/>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ISM Manu</vt:lpstr>
      <vt:lpstr>industry notes</vt:lpstr>
      <vt:lpstr>manu_pmi</vt:lpstr>
      <vt:lpstr>manu_rank</vt:lpstr>
      <vt:lpstr>manu_rank_pct</vt:lpstr>
      <vt:lpstr>manu_no</vt:lpstr>
      <vt:lpstr>ISM Non-Manu</vt:lpstr>
      <vt:lpstr>serv_pmi</vt:lpstr>
      <vt:lpstr>serv_rank</vt:lpstr>
      <vt:lpstr>serv_rank_pct</vt:lpstr>
      <vt:lpstr>serv_no</vt:lpstr>
      <vt:lpstr>QUAL</vt:lpstr>
      <vt:lpstr>serv_biz_act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 Sobczak</dc:creator>
  <cp:lastModifiedBy>Rand Sobczak</cp:lastModifiedBy>
  <dcterms:created xsi:type="dcterms:W3CDTF">2022-12-09T00:19:55Z</dcterms:created>
  <dcterms:modified xsi:type="dcterms:W3CDTF">2025-11-16T17:29:30Z</dcterms:modified>
</cp:coreProperties>
</file>